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8C4F3A21-4466-42A4-8C9E-367E096CD3DD}" xr6:coauthVersionLast="47" xr6:coauthVersionMax="47" xr10:uidLastSave="{00000000-0000-0000-0000-000000000000}"/>
  <bookViews>
    <workbookView xWindow="-108" yWindow="-108" windowWidth="23256" windowHeight="12456" activeTab="1" xr2:uid="{8395BCFC-328C-483A-9BC7-B5B953DA1D45}"/>
  </bookViews>
  <sheets>
    <sheet name="Sheet1" sheetId="2" r:id="rId1"/>
    <sheet name="WA_Fn-UseC_-HR-Employee-Attriti" sheetId="1" r:id="rId2"/>
  </sheets>
  <calcPr calcId="0"/>
  <pivotCaches>
    <pivotCache cacheId="2" r:id="rId3"/>
  </pivotCaches>
</workbook>
</file>

<file path=xl/calcChain.xml><?xml version="1.0" encoding="utf-8"?>
<calcChain xmlns="http://schemas.openxmlformats.org/spreadsheetml/2006/main">
  <c r="P2947" i="1" l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2946" i="1"/>
  <c r="R4415" i="1"/>
  <c r="Q4415" i="1"/>
  <c r="R4414" i="1"/>
  <c r="Q4414" i="1"/>
  <c r="R4413" i="1"/>
  <c r="Q4413" i="1"/>
  <c r="R4412" i="1"/>
  <c r="Q4412" i="1"/>
  <c r="R4411" i="1"/>
  <c r="Q4411" i="1"/>
  <c r="R4410" i="1"/>
  <c r="Q4410" i="1"/>
  <c r="R4409" i="1"/>
  <c r="Q4409" i="1"/>
  <c r="R4408" i="1"/>
  <c r="Q4408" i="1"/>
  <c r="R4407" i="1"/>
  <c r="Q4407" i="1"/>
  <c r="R4406" i="1"/>
  <c r="Q4406" i="1"/>
  <c r="R4405" i="1"/>
  <c r="Q4405" i="1"/>
  <c r="R4404" i="1"/>
  <c r="Q4404" i="1"/>
  <c r="R4403" i="1"/>
  <c r="Q4403" i="1"/>
  <c r="R4402" i="1"/>
  <c r="Q4402" i="1"/>
  <c r="R4401" i="1"/>
  <c r="Q4401" i="1"/>
  <c r="R4400" i="1"/>
  <c r="Q4400" i="1"/>
  <c r="R4399" i="1"/>
  <c r="Q4399" i="1"/>
  <c r="R4398" i="1"/>
  <c r="Q4398" i="1"/>
  <c r="R4397" i="1"/>
  <c r="Q4397" i="1"/>
  <c r="R4396" i="1"/>
  <c r="Q4396" i="1"/>
  <c r="R4395" i="1"/>
  <c r="Q4395" i="1"/>
  <c r="R4394" i="1"/>
  <c r="Q4394" i="1"/>
  <c r="R4393" i="1"/>
  <c r="Q4393" i="1"/>
  <c r="R4392" i="1"/>
  <c r="Q4392" i="1"/>
  <c r="R4391" i="1"/>
  <c r="Q4391" i="1"/>
  <c r="R4390" i="1"/>
  <c r="Q4390" i="1"/>
  <c r="R4389" i="1"/>
  <c r="Q4389" i="1"/>
  <c r="R4388" i="1"/>
  <c r="Q4388" i="1"/>
  <c r="R4387" i="1"/>
  <c r="Q4387" i="1"/>
  <c r="R4386" i="1"/>
  <c r="Q4386" i="1"/>
  <c r="R4385" i="1"/>
  <c r="Q4385" i="1"/>
  <c r="R4384" i="1"/>
  <c r="Q4384" i="1"/>
  <c r="R4383" i="1"/>
  <c r="Q4383" i="1"/>
  <c r="R4382" i="1"/>
  <c r="Q4382" i="1"/>
  <c r="R4381" i="1"/>
  <c r="Q4381" i="1"/>
  <c r="R4380" i="1"/>
  <c r="Q4380" i="1"/>
  <c r="R4379" i="1"/>
  <c r="Q4379" i="1"/>
  <c r="R4378" i="1"/>
  <c r="Q4378" i="1"/>
  <c r="R4377" i="1"/>
  <c r="Q4377" i="1"/>
  <c r="R4376" i="1"/>
  <c r="Q4376" i="1"/>
  <c r="R4375" i="1"/>
  <c r="Q4375" i="1"/>
  <c r="R4374" i="1"/>
  <c r="Q4374" i="1"/>
  <c r="R4373" i="1"/>
  <c r="Q4373" i="1"/>
  <c r="R4372" i="1"/>
  <c r="Q4372" i="1"/>
  <c r="R4371" i="1"/>
  <c r="Q4371" i="1"/>
  <c r="R4370" i="1"/>
  <c r="Q4370" i="1"/>
  <c r="R4369" i="1"/>
  <c r="Q4369" i="1"/>
  <c r="R4368" i="1"/>
  <c r="Q4368" i="1"/>
  <c r="R4367" i="1"/>
  <c r="Q4367" i="1"/>
  <c r="R4366" i="1"/>
  <c r="Q4366" i="1"/>
  <c r="R4365" i="1"/>
  <c r="Q4365" i="1"/>
  <c r="R4364" i="1"/>
  <c r="Q4364" i="1"/>
  <c r="R4363" i="1"/>
  <c r="Q4363" i="1"/>
  <c r="R4362" i="1"/>
  <c r="Q4362" i="1"/>
  <c r="R4361" i="1"/>
  <c r="Q4361" i="1"/>
  <c r="R4360" i="1"/>
  <c r="Q4360" i="1"/>
  <c r="R4359" i="1"/>
  <c r="Q4359" i="1"/>
  <c r="R4358" i="1"/>
  <c r="Q4358" i="1"/>
  <c r="R4357" i="1"/>
  <c r="Q4357" i="1"/>
  <c r="R4356" i="1"/>
  <c r="Q4356" i="1"/>
  <c r="R4355" i="1"/>
  <c r="Q4355" i="1"/>
  <c r="R4354" i="1"/>
  <c r="Q4354" i="1"/>
  <c r="R4353" i="1"/>
  <c r="Q4353" i="1"/>
  <c r="R4352" i="1"/>
  <c r="Q4352" i="1"/>
  <c r="R4351" i="1"/>
  <c r="Q4351" i="1"/>
  <c r="R4350" i="1"/>
  <c r="Q4350" i="1"/>
  <c r="R4349" i="1"/>
  <c r="Q4349" i="1"/>
  <c r="R4348" i="1"/>
  <c r="Q4348" i="1"/>
  <c r="R4347" i="1"/>
  <c r="Q4347" i="1"/>
  <c r="R4346" i="1"/>
  <c r="Q4346" i="1"/>
  <c r="R4345" i="1"/>
  <c r="Q4345" i="1"/>
  <c r="R4344" i="1"/>
  <c r="Q4344" i="1"/>
  <c r="R4343" i="1"/>
  <c r="Q4343" i="1"/>
  <c r="R4342" i="1"/>
  <c r="Q4342" i="1"/>
  <c r="R4341" i="1"/>
  <c r="Q4341" i="1"/>
  <c r="R4340" i="1"/>
  <c r="Q4340" i="1"/>
  <c r="R4339" i="1"/>
  <c r="Q4339" i="1"/>
  <c r="R4338" i="1"/>
  <c r="Q4338" i="1"/>
  <c r="R4337" i="1"/>
  <c r="Q4337" i="1"/>
  <c r="R4336" i="1"/>
  <c r="Q4336" i="1"/>
  <c r="R4335" i="1"/>
  <c r="Q4335" i="1"/>
  <c r="R4334" i="1"/>
  <c r="Q4334" i="1"/>
  <c r="R4333" i="1"/>
  <c r="Q4333" i="1"/>
  <c r="R4332" i="1"/>
  <c r="Q4332" i="1"/>
  <c r="R4331" i="1"/>
  <c r="Q4331" i="1"/>
  <c r="R4330" i="1"/>
  <c r="Q4330" i="1"/>
  <c r="R4329" i="1"/>
  <c r="Q4329" i="1"/>
  <c r="R4328" i="1"/>
  <c r="Q4328" i="1"/>
  <c r="R4327" i="1"/>
  <c r="Q4327" i="1"/>
  <c r="R4326" i="1"/>
  <c r="Q4326" i="1"/>
  <c r="R4325" i="1"/>
  <c r="Q4325" i="1"/>
  <c r="R4324" i="1"/>
  <c r="Q4324" i="1"/>
  <c r="R4323" i="1"/>
  <c r="Q4323" i="1"/>
  <c r="R4322" i="1"/>
  <c r="Q4322" i="1"/>
  <c r="R4321" i="1"/>
  <c r="Q4321" i="1"/>
  <c r="R4320" i="1"/>
  <c r="Q4320" i="1"/>
  <c r="R4319" i="1"/>
  <c r="Q4319" i="1"/>
  <c r="R4318" i="1"/>
  <c r="Q4318" i="1"/>
  <c r="R4317" i="1"/>
  <c r="Q4317" i="1"/>
  <c r="R4316" i="1"/>
  <c r="Q4316" i="1"/>
  <c r="R4315" i="1"/>
  <c r="Q4315" i="1"/>
  <c r="R4314" i="1"/>
  <c r="Q4314" i="1"/>
  <c r="R4313" i="1"/>
  <c r="Q4313" i="1"/>
  <c r="R4312" i="1"/>
  <c r="Q4312" i="1"/>
  <c r="R4311" i="1"/>
  <c r="Q4311" i="1"/>
  <c r="R4310" i="1"/>
  <c r="Q4310" i="1"/>
  <c r="R4309" i="1"/>
  <c r="Q4309" i="1"/>
  <c r="R4308" i="1"/>
  <c r="Q4308" i="1"/>
  <c r="R4307" i="1"/>
  <c r="Q4307" i="1"/>
  <c r="R4306" i="1"/>
  <c r="Q4306" i="1"/>
  <c r="R4305" i="1"/>
  <c r="Q4305" i="1"/>
  <c r="R4304" i="1"/>
  <c r="Q4304" i="1"/>
  <c r="R4303" i="1"/>
  <c r="Q4303" i="1"/>
  <c r="R4302" i="1"/>
  <c r="Q4302" i="1"/>
  <c r="R4301" i="1"/>
  <c r="Q4301" i="1"/>
  <c r="R4300" i="1"/>
  <c r="Q4300" i="1"/>
  <c r="R4299" i="1"/>
  <c r="Q4299" i="1"/>
  <c r="R4298" i="1"/>
  <c r="Q4298" i="1"/>
  <c r="R4297" i="1"/>
  <c r="Q4297" i="1"/>
  <c r="R4296" i="1"/>
  <c r="Q4296" i="1"/>
  <c r="R4295" i="1"/>
  <c r="Q4295" i="1"/>
  <c r="R4294" i="1"/>
  <c r="Q4294" i="1"/>
  <c r="R4293" i="1"/>
  <c r="Q4293" i="1"/>
  <c r="R4292" i="1"/>
  <c r="Q4292" i="1"/>
  <c r="R4291" i="1"/>
  <c r="Q4291" i="1"/>
  <c r="R4290" i="1"/>
  <c r="Q4290" i="1"/>
  <c r="R4289" i="1"/>
  <c r="Q4289" i="1"/>
  <c r="R4288" i="1"/>
  <c r="Q4288" i="1"/>
  <c r="R4287" i="1"/>
  <c r="Q4287" i="1"/>
  <c r="R4286" i="1"/>
  <c r="Q4286" i="1"/>
  <c r="R4285" i="1"/>
  <c r="Q4285" i="1"/>
  <c r="R4284" i="1"/>
  <c r="Q4284" i="1"/>
  <c r="R4283" i="1"/>
  <c r="Q4283" i="1"/>
  <c r="R4282" i="1"/>
  <c r="Q4282" i="1"/>
  <c r="R4281" i="1"/>
  <c r="Q4281" i="1"/>
  <c r="R4280" i="1"/>
  <c r="Q4280" i="1"/>
  <c r="R4279" i="1"/>
  <c r="Q4279" i="1"/>
  <c r="R4278" i="1"/>
  <c r="Q4278" i="1"/>
  <c r="R4277" i="1"/>
  <c r="Q4277" i="1"/>
  <c r="R4276" i="1"/>
  <c r="Q4276" i="1"/>
  <c r="R4275" i="1"/>
  <c r="Q4275" i="1"/>
  <c r="R4274" i="1"/>
  <c r="Q4274" i="1"/>
  <c r="R4273" i="1"/>
  <c r="Q4273" i="1"/>
  <c r="R4272" i="1"/>
  <c r="Q4272" i="1"/>
  <c r="R4271" i="1"/>
  <c r="Q4271" i="1"/>
  <c r="R4270" i="1"/>
  <c r="Q4270" i="1"/>
  <c r="R4269" i="1"/>
  <c r="Q4269" i="1"/>
  <c r="R4268" i="1"/>
  <c r="Q4268" i="1"/>
  <c r="R4267" i="1"/>
  <c r="Q4267" i="1"/>
  <c r="R4266" i="1"/>
  <c r="Q4266" i="1"/>
  <c r="R4265" i="1"/>
  <c r="Q4265" i="1"/>
  <c r="R4264" i="1"/>
  <c r="Q4264" i="1"/>
  <c r="R4263" i="1"/>
  <c r="Q4263" i="1"/>
  <c r="R4262" i="1"/>
  <c r="Q4262" i="1"/>
  <c r="R4261" i="1"/>
  <c r="Q4261" i="1"/>
  <c r="R4260" i="1"/>
  <c r="Q4260" i="1"/>
  <c r="R4259" i="1"/>
  <c r="Q4259" i="1"/>
  <c r="R4258" i="1"/>
  <c r="Q4258" i="1"/>
  <c r="R4257" i="1"/>
  <c r="Q4257" i="1"/>
  <c r="R4256" i="1"/>
  <c r="Q4256" i="1"/>
  <c r="R4255" i="1"/>
  <c r="Q4255" i="1"/>
  <c r="R4254" i="1"/>
  <c r="Q4254" i="1"/>
  <c r="R4253" i="1"/>
  <c r="Q4253" i="1"/>
  <c r="R4252" i="1"/>
  <c r="Q4252" i="1"/>
  <c r="R4251" i="1"/>
  <c r="Q4251" i="1"/>
  <c r="R4250" i="1"/>
  <c r="Q4250" i="1"/>
  <c r="R4249" i="1"/>
  <c r="Q4249" i="1"/>
  <c r="R4248" i="1"/>
  <c r="Q4248" i="1"/>
  <c r="R4247" i="1"/>
  <c r="Q4247" i="1"/>
  <c r="R4246" i="1"/>
  <c r="Q4246" i="1"/>
  <c r="R4245" i="1"/>
  <c r="Q4245" i="1"/>
  <c r="R4244" i="1"/>
  <c r="Q4244" i="1"/>
  <c r="R4243" i="1"/>
  <c r="Q4243" i="1"/>
  <c r="R4242" i="1"/>
  <c r="Q4242" i="1"/>
  <c r="R4241" i="1"/>
  <c r="Q4241" i="1"/>
  <c r="R4240" i="1"/>
  <c r="Q4240" i="1"/>
  <c r="R4239" i="1"/>
  <c r="Q4239" i="1"/>
  <c r="R4238" i="1"/>
  <c r="Q4238" i="1"/>
  <c r="R4237" i="1"/>
  <c r="Q4237" i="1"/>
  <c r="R4236" i="1"/>
  <c r="Q4236" i="1"/>
  <c r="R4235" i="1"/>
  <c r="Q4235" i="1"/>
  <c r="R4234" i="1"/>
  <c r="Q4234" i="1"/>
  <c r="R4233" i="1"/>
  <c r="Q4233" i="1"/>
  <c r="R4232" i="1"/>
  <c r="Q4232" i="1"/>
  <c r="R4231" i="1"/>
  <c r="Q4231" i="1"/>
  <c r="R4230" i="1"/>
  <c r="Q4230" i="1"/>
  <c r="R4229" i="1"/>
  <c r="Q4229" i="1"/>
  <c r="R4228" i="1"/>
  <c r="Q4228" i="1"/>
  <c r="R4227" i="1"/>
  <c r="Q4227" i="1"/>
  <c r="R4226" i="1"/>
  <c r="Q4226" i="1"/>
  <c r="R4225" i="1"/>
  <c r="Q4225" i="1"/>
  <c r="R4224" i="1"/>
  <c r="Q4224" i="1"/>
  <c r="R4223" i="1"/>
  <c r="Q4223" i="1"/>
  <c r="R4222" i="1"/>
  <c r="Q4222" i="1"/>
  <c r="R4221" i="1"/>
  <c r="Q4221" i="1"/>
  <c r="R4220" i="1"/>
  <c r="Q4220" i="1"/>
  <c r="R4219" i="1"/>
  <c r="Q4219" i="1"/>
  <c r="R4218" i="1"/>
  <c r="Q4218" i="1"/>
  <c r="R4217" i="1"/>
  <c r="Q4217" i="1"/>
  <c r="R4216" i="1"/>
  <c r="Q4216" i="1"/>
  <c r="R4215" i="1"/>
  <c r="Q4215" i="1"/>
  <c r="R4214" i="1"/>
  <c r="Q4214" i="1"/>
  <c r="R4213" i="1"/>
  <c r="Q4213" i="1"/>
  <c r="R4212" i="1"/>
  <c r="Q4212" i="1"/>
  <c r="R4211" i="1"/>
  <c r="Q4211" i="1"/>
  <c r="R4210" i="1"/>
  <c r="Q4210" i="1"/>
  <c r="R4209" i="1"/>
  <c r="Q4209" i="1"/>
  <c r="R4208" i="1"/>
  <c r="Q4208" i="1"/>
  <c r="R4207" i="1"/>
  <c r="Q4207" i="1"/>
  <c r="R4206" i="1"/>
  <c r="Q4206" i="1"/>
  <c r="R4205" i="1"/>
  <c r="Q4205" i="1"/>
  <c r="R4204" i="1"/>
  <c r="Q4204" i="1"/>
  <c r="R4203" i="1"/>
  <c r="Q4203" i="1"/>
  <c r="R4202" i="1"/>
  <c r="Q4202" i="1"/>
  <c r="R4201" i="1"/>
  <c r="Q4201" i="1"/>
  <c r="R4200" i="1"/>
  <c r="Q4200" i="1"/>
  <c r="R4199" i="1"/>
  <c r="Q4199" i="1"/>
  <c r="R4198" i="1"/>
  <c r="Q4198" i="1"/>
  <c r="R4197" i="1"/>
  <c r="Q4197" i="1"/>
  <c r="R4196" i="1"/>
  <c r="Q4196" i="1"/>
  <c r="R4195" i="1"/>
  <c r="Q4195" i="1"/>
  <c r="R4194" i="1"/>
  <c r="Q4194" i="1"/>
  <c r="R4193" i="1"/>
  <c r="Q4193" i="1"/>
  <c r="R4192" i="1"/>
  <c r="Q4192" i="1"/>
  <c r="R4191" i="1"/>
  <c r="Q4191" i="1"/>
  <c r="R4190" i="1"/>
  <c r="Q4190" i="1"/>
  <c r="R4189" i="1"/>
  <c r="Q4189" i="1"/>
  <c r="R4188" i="1"/>
  <c r="Q4188" i="1"/>
  <c r="R4187" i="1"/>
  <c r="Q4187" i="1"/>
  <c r="R4186" i="1"/>
  <c r="Q4186" i="1"/>
  <c r="R4185" i="1"/>
  <c r="Q4185" i="1"/>
  <c r="R4184" i="1"/>
  <c r="Q4184" i="1"/>
  <c r="R4183" i="1"/>
  <c r="Q4183" i="1"/>
  <c r="R4182" i="1"/>
  <c r="Q4182" i="1"/>
  <c r="R4181" i="1"/>
  <c r="Q4181" i="1"/>
  <c r="R4180" i="1"/>
  <c r="Q4180" i="1"/>
  <c r="R4179" i="1"/>
  <c r="Q4179" i="1"/>
  <c r="R4178" i="1"/>
  <c r="Q4178" i="1"/>
  <c r="R4177" i="1"/>
  <c r="Q4177" i="1"/>
  <c r="R4176" i="1"/>
  <c r="Q4176" i="1"/>
  <c r="R4175" i="1"/>
  <c r="Q4175" i="1"/>
  <c r="R4174" i="1"/>
  <c r="Q4174" i="1"/>
  <c r="R4173" i="1"/>
  <c r="Q4173" i="1"/>
  <c r="R4172" i="1"/>
  <c r="Q4172" i="1"/>
  <c r="R4171" i="1"/>
  <c r="Q4171" i="1"/>
  <c r="R4170" i="1"/>
  <c r="Q4170" i="1"/>
  <c r="R4169" i="1"/>
  <c r="Q4169" i="1"/>
  <c r="R4168" i="1"/>
  <c r="Q4168" i="1"/>
  <c r="R4167" i="1"/>
  <c r="Q4167" i="1"/>
  <c r="R4166" i="1"/>
  <c r="Q4166" i="1"/>
  <c r="R4165" i="1"/>
  <c r="Q4165" i="1"/>
  <c r="R4164" i="1"/>
  <c r="Q4164" i="1"/>
  <c r="R4163" i="1"/>
  <c r="Q4163" i="1"/>
  <c r="R4162" i="1"/>
  <c r="Q4162" i="1"/>
  <c r="R4161" i="1"/>
  <c r="Q4161" i="1"/>
  <c r="R4160" i="1"/>
  <c r="Q4160" i="1"/>
  <c r="R4159" i="1"/>
  <c r="Q4159" i="1"/>
  <c r="R4158" i="1"/>
  <c r="Q4158" i="1"/>
  <c r="R4157" i="1"/>
  <c r="Q4157" i="1"/>
  <c r="R4156" i="1"/>
  <c r="Q4156" i="1"/>
  <c r="R4155" i="1"/>
  <c r="Q4155" i="1"/>
  <c r="R4154" i="1"/>
  <c r="Q4154" i="1"/>
  <c r="R4153" i="1"/>
  <c r="Q4153" i="1"/>
  <c r="R4152" i="1"/>
  <c r="Q4152" i="1"/>
  <c r="R4151" i="1"/>
  <c r="Q4151" i="1"/>
  <c r="R4150" i="1"/>
  <c r="Q4150" i="1"/>
  <c r="R4149" i="1"/>
  <c r="Q4149" i="1"/>
  <c r="R4148" i="1"/>
  <c r="Q4148" i="1"/>
  <c r="R4147" i="1"/>
  <c r="Q4147" i="1"/>
  <c r="R4146" i="1"/>
  <c r="Q4146" i="1"/>
  <c r="R4145" i="1"/>
  <c r="Q4145" i="1"/>
  <c r="R4144" i="1"/>
  <c r="Q4144" i="1"/>
  <c r="R4143" i="1"/>
  <c r="Q4143" i="1"/>
  <c r="R4142" i="1"/>
  <c r="Q4142" i="1"/>
  <c r="R4141" i="1"/>
  <c r="Q4141" i="1"/>
  <c r="R4140" i="1"/>
  <c r="Q4140" i="1"/>
  <c r="R4139" i="1"/>
  <c r="Q4139" i="1"/>
  <c r="R4138" i="1"/>
  <c r="Q4138" i="1"/>
  <c r="R4137" i="1"/>
  <c r="Q4137" i="1"/>
  <c r="R4136" i="1"/>
  <c r="Q4136" i="1"/>
  <c r="R4135" i="1"/>
  <c r="Q4135" i="1"/>
  <c r="R4134" i="1"/>
  <c r="Q4134" i="1"/>
  <c r="R4133" i="1"/>
  <c r="Q4133" i="1"/>
  <c r="R4132" i="1"/>
  <c r="Q4132" i="1"/>
  <c r="R4131" i="1"/>
  <c r="Q4131" i="1"/>
  <c r="R4130" i="1"/>
  <c r="Q4130" i="1"/>
  <c r="R4129" i="1"/>
  <c r="Q4129" i="1"/>
  <c r="R4128" i="1"/>
  <c r="Q4128" i="1"/>
  <c r="R4127" i="1"/>
  <c r="Q4127" i="1"/>
  <c r="R4126" i="1"/>
  <c r="Q4126" i="1"/>
  <c r="R4125" i="1"/>
  <c r="Q4125" i="1"/>
  <c r="R4124" i="1"/>
  <c r="Q4124" i="1"/>
  <c r="R4123" i="1"/>
  <c r="Q4123" i="1"/>
  <c r="R4122" i="1"/>
  <c r="Q4122" i="1"/>
  <c r="R4121" i="1"/>
  <c r="Q4121" i="1"/>
  <c r="R4120" i="1"/>
  <c r="Q4120" i="1"/>
  <c r="R4119" i="1"/>
  <c r="Q4119" i="1"/>
  <c r="R4118" i="1"/>
  <c r="Q4118" i="1"/>
  <c r="R4117" i="1"/>
  <c r="Q4117" i="1"/>
  <c r="R4116" i="1"/>
  <c r="Q4116" i="1"/>
  <c r="R4115" i="1"/>
  <c r="Q4115" i="1"/>
  <c r="R4114" i="1"/>
  <c r="Q4114" i="1"/>
  <c r="R4113" i="1"/>
  <c r="Q4113" i="1"/>
  <c r="R4112" i="1"/>
  <c r="Q4112" i="1"/>
  <c r="R4111" i="1"/>
  <c r="Q4111" i="1"/>
  <c r="R4110" i="1"/>
  <c r="Q4110" i="1"/>
  <c r="R4109" i="1"/>
  <c r="Q4109" i="1"/>
  <c r="R4108" i="1"/>
  <c r="Q4108" i="1"/>
  <c r="R4107" i="1"/>
  <c r="Q4107" i="1"/>
  <c r="R4106" i="1"/>
  <c r="Q4106" i="1"/>
  <c r="R4105" i="1"/>
  <c r="Q4105" i="1"/>
  <c r="R4104" i="1"/>
  <c r="Q4104" i="1"/>
  <c r="R4103" i="1"/>
  <c r="Q4103" i="1"/>
  <c r="R4102" i="1"/>
  <c r="Q4102" i="1"/>
  <c r="R4101" i="1"/>
  <c r="Q4101" i="1"/>
  <c r="R4100" i="1"/>
  <c r="Q4100" i="1"/>
  <c r="R4099" i="1"/>
  <c r="Q4099" i="1"/>
  <c r="R4098" i="1"/>
  <c r="Q4098" i="1"/>
  <c r="R4097" i="1"/>
  <c r="Q4097" i="1"/>
  <c r="R4096" i="1"/>
  <c r="Q4096" i="1"/>
  <c r="R4095" i="1"/>
  <c r="Q4095" i="1"/>
  <c r="R4094" i="1"/>
  <c r="Q4094" i="1"/>
  <c r="R4093" i="1"/>
  <c r="Q4093" i="1"/>
  <c r="R4092" i="1"/>
  <c r="Q4092" i="1"/>
  <c r="R4091" i="1"/>
  <c r="Q4091" i="1"/>
  <c r="R4090" i="1"/>
  <c r="Q4090" i="1"/>
  <c r="R4089" i="1"/>
  <c r="Q4089" i="1"/>
  <c r="R4088" i="1"/>
  <c r="Q4088" i="1"/>
  <c r="R4087" i="1"/>
  <c r="Q4087" i="1"/>
  <c r="R4086" i="1"/>
  <c r="Q4086" i="1"/>
  <c r="R4085" i="1"/>
  <c r="Q4085" i="1"/>
  <c r="R4084" i="1"/>
  <c r="Q4084" i="1"/>
  <c r="R4083" i="1"/>
  <c r="Q4083" i="1"/>
  <c r="R4082" i="1"/>
  <c r="Q4082" i="1"/>
  <c r="R4081" i="1"/>
  <c r="Q4081" i="1"/>
  <c r="R4080" i="1"/>
  <c r="Q4080" i="1"/>
  <c r="R4079" i="1"/>
  <c r="Q4079" i="1"/>
  <c r="R4078" i="1"/>
  <c r="Q4078" i="1"/>
  <c r="R4077" i="1"/>
  <c r="Q4077" i="1"/>
  <c r="R4076" i="1"/>
  <c r="Q4076" i="1"/>
  <c r="R4075" i="1"/>
  <c r="Q4075" i="1"/>
  <c r="R4074" i="1"/>
  <c r="Q4074" i="1"/>
  <c r="R4073" i="1"/>
  <c r="Q4073" i="1"/>
  <c r="R4072" i="1"/>
  <c r="Q4072" i="1"/>
  <c r="R4071" i="1"/>
  <c r="Q4071" i="1"/>
  <c r="R4070" i="1"/>
  <c r="Q4070" i="1"/>
  <c r="R4069" i="1"/>
  <c r="Q4069" i="1"/>
  <c r="R4068" i="1"/>
  <c r="Q4068" i="1"/>
  <c r="R4067" i="1"/>
  <c r="Q4067" i="1"/>
  <c r="R4066" i="1"/>
  <c r="Q4066" i="1"/>
  <c r="R4065" i="1"/>
  <c r="Q4065" i="1"/>
  <c r="R4064" i="1"/>
  <c r="Q4064" i="1"/>
  <c r="R4063" i="1"/>
  <c r="Q4063" i="1"/>
  <c r="R4062" i="1"/>
  <c r="Q4062" i="1"/>
  <c r="R4061" i="1"/>
  <c r="Q4061" i="1"/>
  <c r="R4060" i="1"/>
  <c r="Q4060" i="1"/>
  <c r="R4059" i="1"/>
  <c r="Q4059" i="1"/>
  <c r="R4058" i="1"/>
  <c r="Q4058" i="1"/>
  <c r="R4057" i="1"/>
  <c r="Q4057" i="1"/>
  <c r="R4056" i="1"/>
  <c r="Q4056" i="1"/>
  <c r="R4055" i="1"/>
  <c r="Q4055" i="1"/>
  <c r="R4054" i="1"/>
  <c r="Q4054" i="1"/>
  <c r="R4053" i="1"/>
  <c r="Q4053" i="1"/>
  <c r="R4052" i="1"/>
  <c r="Q4052" i="1"/>
  <c r="R4051" i="1"/>
  <c r="Q4051" i="1"/>
  <c r="R4050" i="1"/>
  <c r="Q4050" i="1"/>
  <c r="R4049" i="1"/>
  <c r="Q4049" i="1"/>
  <c r="R4048" i="1"/>
  <c r="Q4048" i="1"/>
  <c r="R4047" i="1"/>
  <c r="Q4047" i="1"/>
  <c r="R4046" i="1"/>
  <c r="Q4046" i="1"/>
  <c r="R4045" i="1"/>
  <c r="Q4045" i="1"/>
  <c r="R4044" i="1"/>
  <c r="Q4044" i="1"/>
  <c r="R4043" i="1"/>
  <c r="Q4043" i="1"/>
  <c r="R4042" i="1"/>
  <c r="Q4042" i="1"/>
  <c r="R4041" i="1"/>
  <c r="Q4041" i="1"/>
  <c r="R4040" i="1"/>
  <c r="Q4040" i="1"/>
  <c r="R4039" i="1"/>
  <c r="Q4039" i="1"/>
  <c r="R4038" i="1"/>
  <c r="Q4038" i="1"/>
  <c r="R4037" i="1"/>
  <c r="Q4037" i="1"/>
  <c r="R4036" i="1"/>
  <c r="Q4036" i="1"/>
  <c r="R4035" i="1"/>
  <c r="Q4035" i="1"/>
  <c r="R4034" i="1"/>
  <c r="Q4034" i="1"/>
  <c r="R4033" i="1"/>
  <c r="Q4033" i="1"/>
  <c r="R4032" i="1"/>
  <c r="Q4032" i="1"/>
  <c r="R4031" i="1"/>
  <c r="Q4031" i="1"/>
  <c r="R4030" i="1"/>
  <c r="Q4030" i="1"/>
  <c r="R4029" i="1"/>
  <c r="Q4029" i="1"/>
  <c r="R4028" i="1"/>
  <c r="Q4028" i="1"/>
  <c r="R4027" i="1"/>
  <c r="Q4027" i="1"/>
  <c r="R4026" i="1"/>
  <c r="Q4026" i="1"/>
  <c r="R4025" i="1"/>
  <c r="Q4025" i="1"/>
  <c r="R4024" i="1"/>
  <c r="Q4024" i="1"/>
  <c r="R4023" i="1"/>
  <c r="Q4023" i="1"/>
  <c r="R4022" i="1"/>
  <c r="Q4022" i="1"/>
  <c r="R4021" i="1"/>
  <c r="Q4021" i="1"/>
  <c r="R4020" i="1"/>
  <c r="Q4020" i="1"/>
  <c r="R4019" i="1"/>
  <c r="Q4019" i="1"/>
  <c r="R4018" i="1"/>
  <c r="Q4018" i="1"/>
  <c r="R4017" i="1"/>
  <c r="Q4017" i="1"/>
  <c r="R4016" i="1"/>
  <c r="Q4016" i="1"/>
  <c r="R4015" i="1"/>
  <c r="Q4015" i="1"/>
  <c r="R4014" i="1"/>
  <c r="Q4014" i="1"/>
  <c r="R4013" i="1"/>
  <c r="Q4013" i="1"/>
  <c r="R4012" i="1"/>
  <c r="Q4012" i="1"/>
  <c r="R4011" i="1"/>
  <c r="Q4011" i="1"/>
  <c r="R4010" i="1"/>
  <c r="Q4010" i="1"/>
  <c r="R4009" i="1"/>
  <c r="Q4009" i="1"/>
  <c r="R4008" i="1"/>
  <c r="Q4008" i="1"/>
  <c r="R4007" i="1"/>
  <c r="Q4007" i="1"/>
  <c r="R4006" i="1"/>
  <c r="Q4006" i="1"/>
  <c r="R4005" i="1"/>
  <c r="Q4005" i="1"/>
  <c r="R4004" i="1"/>
  <c r="Q4004" i="1"/>
  <c r="R4003" i="1"/>
  <c r="Q4003" i="1"/>
  <c r="R4002" i="1"/>
  <c r="Q4002" i="1"/>
  <c r="R4001" i="1"/>
  <c r="Q4001" i="1"/>
  <c r="R4000" i="1"/>
  <c r="Q4000" i="1"/>
  <c r="R3999" i="1"/>
  <c r="Q3999" i="1"/>
  <c r="R3998" i="1"/>
  <c r="Q3998" i="1"/>
  <c r="R3997" i="1"/>
  <c r="Q3997" i="1"/>
  <c r="R3996" i="1"/>
  <c r="Q3996" i="1"/>
  <c r="R3995" i="1"/>
  <c r="Q3995" i="1"/>
  <c r="R3994" i="1"/>
  <c r="Q3994" i="1"/>
  <c r="R3993" i="1"/>
  <c r="Q3993" i="1"/>
  <c r="R3992" i="1"/>
  <c r="Q3992" i="1"/>
  <c r="R3991" i="1"/>
  <c r="Q3991" i="1"/>
  <c r="R3990" i="1"/>
  <c r="Q3990" i="1"/>
  <c r="R3989" i="1"/>
  <c r="Q3989" i="1"/>
  <c r="R3988" i="1"/>
  <c r="Q3988" i="1"/>
  <c r="R3987" i="1"/>
  <c r="Q3987" i="1"/>
  <c r="R3986" i="1"/>
  <c r="Q3986" i="1"/>
  <c r="R3985" i="1"/>
  <c r="Q3985" i="1"/>
  <c r="R3984" i="1"/>
  <c r="Q3984" i="1"/>
  <c r="R3983" i="1"/>
  <c r="Q3983" i="1"/>
  <c r="R3982" i="1"/>
  <c r="Q3982" i="1"/>
  <c r="R3981" i="1"/>
  <c r="Q3981" i="1"/>
  <c r="R3980" i="1"/>
  <c r="Q3980" i="1"/>
  <c r="R3979" i="1"/>
  <c r="Q3979" i="1"/>
  <c r="R3978" i="1"/>
  <c r="Q3978" i="1"/>
  <c r="R3977" i="1"/>
  <c r="Q3977" i="1"/>
  <c r="R3976" i="1"/>
  <c r="Q3976" i="1"/>
  <c r="R3975" i="1"/>
  <c r="Q3975" i="1"/>
  <c r="R3974" i="1"/>
  <c r="Q3974" i="1"/>
  <c r="R3973" i="1"/>
  <c r="Q3973" i="1"/>
  <c r="R3972" i="1"/>
  <c r="Q3972" i="1"/>
  <c r="R3971" i="1"/>
  <c r="Q3971" i="1"/>
  <c r="R3970" i="1"/>
  <c r="Q3970" i="1"/>
  <c r="R3969" i="1"/>
  <c r="Q3969" i="1"/>
  <c r="R3968" i="1"/>
  <c r="Q3968" i="1"/>
  <c r="R3967" i="1"/>
  <c r="Q3967" i="1"/>
  <c r="R3966" i="1"/>
  <c r="Q3966" i="1"/>
  <c r="R3965" i="1"/>
  <c r="Q3965" i="1"/>
  <c r="R3964" i="1"/>
  <c r="Q3964" i="1"/>
  <c r="R3963" i="1"/>
  <c r="Q3963" i="1"/>
  <c r="R3962" i="1"/>
  <c r="Q3962" i="1"/>
  <c r="R3961" i="1"/>
  <c r="Q3961" i="1"/>
  <c r="R3960" i="1"/>
  <c r="Q3960" i="1"/>
  <c r="R3959" i="1"/>
  <c r="Q3959" i="1"/>
  <c r="R3958" i="1"/>
  <c r="Q3958" i="1"/>
  <c r="R3957" i="1"/>
  <c r="Q3957" i="1"/>
  <c r="R3956" i="1"/>
  <c r="Q3956" i="1"/>
  <c r="R3955" i="1"/>
  <c r="Q3955" i="1"/>
  <c r="R3954" i="1"/>
  <c r="Q3954" i="1"/>
  <c r="R3953" i="1"/>
  <c r="Q3953" i="1"/>
  <c r="R3952" i="1"/>
  <c r="Q3952" i="1"/>
  <c r="R3951" i="1"/>
  <c r="Q3951" i="1"/>
  <c r="R3950" i="1"/>
  <c r="Q3950" i="1"/>
  <c r="R3949" i="1"/>
  <c r="Q3949" i="1"/>
  <c r="R3948" i="1"/>
  <c r="Q3948" i="1"/>
  <c r="R3947" i="1"/>
  <c r="Q3947" i="1"/>
  <c r="R3946" i="1"/>
  <c r="Q3946" i="1"/>
  <c r="R3945" i="1"/>
  <c r="Q3945" i="1"/>
  <c r="R3944" i="1"/>
  <c r="Q3944" i="1"/>
  <c r="R3943" i="1"/>
  <c r="Q3943" i="1"/>
  <c r="R3942" i="1"/>
  <c r="Q3942" i="1"/>
  <c r="R3941" i="1"/>
  <c r="Q3941" i="1"/>
  <c r="R3940" i="1"/>
  <c r="Q3940" i="1"/>
  <c r="R3939" i="1"/>
  <c r="Q3939" i="1"/>
  <c r="R3938" i="1"/>
  <c r="Q3938" i="1"/>
  <c r="R3937" i="1"/>
  <c r="Q3937" i="1"/>
  <c r="R3936" i="1"/>
  <c r="Q3936" i="1"/>
  <c r="R3935" i="1"/>
  <c r="Q3935" i="1"/>
  <c r="R3934" i="1"/>
  <c r="Q3934" i="1"/>
  <c r="R3933" i="1"/>
  <c r="Q3933" i="1"/>
  <c r="R3932" i="1"/>
  <c r="Q3932" i="1"/>
  <c r="R3931" i="1"/>
  <c r="Q3931" i="1"/>
  <c r="R3930" i="1"/>
  <c r="Q3930" i="1"/>
  <c r="R3929" i="1"/>
  <c r="Q3929" i="1"/>
  <c r="R3928" i="1"/>
  <c r="Q3928" i="1"/>
  <c r="R3927" i="1"/>
  <c r="Q3927" i="1"/>
  <c r="R3926" i="1"/>
  <c r="Q3926" i="1"/>
  <c r="R3925" i="1"/>
  <c r="Q3925" i="1"/>
  <c r="R3924" i="1"/>
  <c r="Q3924" i="1"/>
  <c r="R3923" i="1"/>
  <c r="Q3923" i="1"/>
  <c r="R3922" i="1"/>
  <c r="Q3922" i="1"/>
  <c r="R3921" i="1"/>
  <c r="Q3921" i="1"/>
  <c r="R3920" i="1"/>
  <c r="Q3920" i="1"/>
  <c r="R3919" i="1"/>
  <c r="Q3919" i="1"/>
  <c r="R3918" i="1"/>
  <c r="Q3918" i="1"/>
  <c r="R3917" i="1"/>
  <c r="Q3917" i="1"/>
  <c r="R3916" i="1"/>
  <c r="Q3916" i="1"/>
  <c r="R3915" i="1"/>
  <c r="Q3915" i="1"/>
  <c r="R3914" i="1"/>
  <c r="Q3914" i="1"/>
  <c r="R3913" i="1"/>
  <c r="Q3913" i="1"/>
  <c r="R3912" i="1"/>
  <c r="Q3912" i="1"/>
  <c r="R3911" i="1"/>
  <c r="Q3911" i="1"/>
  <c r="R3910" i="1"/>
  <c r="Q3910" i="1"/>
  <c r="R3909" i="1"/>
  <c r="Q3909" i="1"/>
  <c r="R3908" i="1"/>
  <c r="Q3908" i="1"/>
  <c r="R3907" i="1"/>
  <c r="Q3907" i="1"/>
  <c r="R3906" i="1"/>
  <c r="Q3906" i="1"/>
  <c r="R3905" i="1"/>
  <c r="Q3905" i="1"/>
  <c r="R3904" i="1"/>
  <c r="Q3904" i="1"/>
  <c r="R3903" i="1"/>
  <c r="Q3903" i="1"/>
  <c r="R3902" i="1"/>
  <c r="Q3902" i="1"/>
  <c r="R3901" i="1"/>
  <c r="Q3901" i="1"/>
  <c r="R3900" i="1"/>
  <c r="Q3900" i="1"/>
  <c r="R3899" i="1"/>
  <c r="Q3899" i="1"/>
  <c r="R3898" i="1"/>
  <c r="Q3898" i="1"/>
  <c r="R3897" i="1"/>
  <c r="Q3897" i="1"/>
  <c r="R3896" i="1"/>
  <c r="Q3896" i="1"/>
  <c r="R3895" i="1"/>
  <c r="Q3895" i="1"/>
  <c r="R3894" i="1"/>
  <c r="Q3894" i="1"/>
  <c r="R3893" i="1"/>
  <c r="Q3893" i="1"/>
  <c r="R3892" i="1"/>
  <c r="Q3892" i="1"/>
  <c r="R3891" i="1"/>
  <c r="Q3891" i="1"/>
  <c r="R3890" i="1"/>
  <c r="Q3890" i="1"/>
  <c r="R3889" i="1"/>
  <c r="Q3889" i="1"/>
  <c r="R3888" i="1"/>
  <c r="Q3888" i="1"/>
  <c r="R3887" i="1"/>
  <c r="Q3887" i="1"/>
  <c r="R3886" i="1"/>
  <c r="Q3886" i="1"/>
  <c r="R3885" i="1"/>
  <c r="Q3885" i="1"/>
  <c r="R3884" i="1"/>
  <c r="Q3884" i="1"/>
  <c r="R3883" i="1"/>
  <c r="Q3883" i="1"/>
  <c r="R3882" i="1"/>
  <c r="Q3882" i="1"/>
  <c r="R3881" i="1"/>
  <c r="Q3881" i="1"/>
  <c r="R3880" i="1"/>
  <c r="Q3880" i="1"/>
  <c r="R3879" i="1"/>
  <c r="Q3879" i="1"/>
  <c r="R3878" i="1"/>
  <c r="Q3878" i="1"/>
  <c r="R3877" i="1"/>
  <c r="Q3877" i="1"/>
  <c r="R3876" i="1"/>
  <c r="Q3876" i="1"/>
  <c r="R3875" i="1"/>
  <c r="Q3875" i="1"/>
  <c r="R3874" i="1"/>
  <c r="Q3874" i="1"/>
  <c r="R3873" i="1"/>
  <c r="Q3873" i="1"/>
  <c r="R3872" i="1"/>
  <c r="Q3872" i="1"/>
  <c r="R3871" i="1"/>
  <c r="Q3871" i="1"/>
  <c r="R3870" i="1"/>
  <c r="Q3870" i="1"/>
  <c r="R3869" i="1"/>
  <c r="Q3869" i="1"/>
  <c r="R3868" i="1"/>
  <c r="Q3868" i="1"/>
  <c r="R3867" i="1"/>
  <c r="Q3867" i="1"/>
  <c r="R3866" i="1"/>
  <c r="Q3866" i="1"/>
  <c r="R3865" i="1"/>
  <c r="Q3865" i="1"/>
  <c r="R3864" i="1"/>
  <c r="Q3864" i="1"/>
  <c r="R3863" i="1"/>
  <c r="Q3863" i="1"/>
  <c r="R3862" i="1"/>
  <c r="Q3862" i="1"/>
  <c r="R3861" i="1"/>
  <c r="Q3861" i="1"/>
  <c r="R3860" i="1"/>
  <c r="Q3860" i="1"/>
  <c r="R3859" i="1"/>
  <c r="Q3859" i="1"/>
  <c r="R3858" i="1"/>
  <c r="Q3858" i="1"/>
  <c r="R3857" i="1"/>
  <c r="Q3857" i="1"/>
  <c r="R3856" i="1"/>
  <c r="Q3856" i="1"/>
  <c r="R3855" i="1"/>
  <c r="Q3855" i="1"/>
  <c r="R3854" i="1"/>
  <c r="Q3854" i="1"/>
  <c r="R3853" i="1"/>
  <c r="Q3853" i="1"/>
  <c r="R3852" i="1"/>
  <c r="Q3852" i="1"/>
  <c r="R3851" i="1"/>
  <c r="Q3851" i="1"/>
  <c r="R3850" i="1"/>
  <c r="Q3850" i="1"/>
  <c r="R3849" i="1"/>
  <c r="Q3849" i="1"/>
  <c r="R3848" i="1"/>
  <c r="Q3848" i="1"/>
  <c r="R3847" i="1"/>
  <c r="Q3847" i="1"/>
  <c r="R3846" i="1"/>
  <c r="Q3846" i="1"/>
  <c r="R3845" i="1"/>
  <c r="Q3845" i="1"/>
  <c r="R3844" i="1"/>
  <c r="Q3844" i="1"/>
  <c r="R3843" i="1"/>
  <c r="Q3843" i="1"/>
  <c r="R3842" i="1"/>
  <c r="Q3842" i="1"/>
  <c r="R3841" i="1"/>
  <c r="Q3841" i="1"/>
  <c r="R3840" i="1"/>
  <c r="Q3840" i="1"/>
  <c r="R3839" i="1"/>
  <c r="Q3839" i="1"/>
  <c r="R3838" i="1"/>
  <c r="Q3838" i="1"/>
  <c r="R3837" i="1"/>
  <c r="Q3837" i="1"/>
  <c r="R3836" i="1"/>
  <c r="Q3836" i="1"/>
  <c r="R3835" i="1"/>
  <c r="Q3835" i="1"/>
  <c r="R3834" i="1"/>
  <c r="Q3834" i="1"/>
  <c r="R3833" i="1"/>
  <c r="Q3833" i="1"/>
  <c r="R3832" i="1"/>
  <c r="Q3832" i="1"/>
  <c r="R3831" i="1"/>
  <c r="Q3831" i="1"/>
  <c r="R3830" i="1"/>
  <c r="Q3830" i="1"/>
  <c r="R3829" i="1"/>
  <c r="Q3829" i="1"/>
  <c r="R3828" i="1"/>
  <c r="Q3828" i="1"/>
  <c r="R3827" i="1"/>
  <c r="Q3827" i="1"/>
  <c r="R3826" i="1"/>
  <c r="Q3826" i="1"/>
  <c r="R3825" i="1"/>
  <c r="Q3825" i="1"/>
  <c r="R3824" i="1"/>
  <c r="Q3824" i="1"/>
  <c r="R3823" i="1"/>
  <c r="Q3823" i="1"/>
  <c r="R3822" i="1"/>
  <c r="Q3822" i="1"/>
  <c r="R3821" i="1"/>
  <c r="Q3821" i="1"/>
  <c r="R3820" i="1"/>
  <c r="Q3820" i="1"/>
  <c r="R3819" i="1"/>
  <c r="Q3819" i="1"/>
  <c r="R3818" i="1"/>
  <c r="Q3818" i="1"/>
  <c r="R3817" i="1"/>
  <c r="Q3817" i="1"/>
  <c r="R3816" i="1"/>
  <c r="Q3816" i="1"/>
  <c r="R3815" i="1"/>
  <c r="Q3815" i="1"/>
  <c r="R3814" i="1"/>
  <c r="Q3814" i="1"/>
  <c r="R3813" i="1"/>
  <c r="Q3813" i="1"/>
  <c r="R3812" i="1"/>
  <c r="Q3812" i="1"/>
  <c r="R3811" i="1"/>
  <c r="Q3811" i="1"/>
  <c r="R3810" i="1"/>
  <c r="Q3810" i="1"/>
  <c r="R3809" i="1"/>
  <c r="Q3809" i="1"/>
  <c r="R3808" i="1"/>
  <c r="Q3808" i="1"/>
  <c r="R3807" i="1"/>
  <c r="Q3807" i="1"/>
  <c r="R3806" i="1"/>
  <c r="Q3806" i="1"/>
  <c r="R3805" i="1"/>
  <c r="Q3805" i="1"/>
  <c r="R3804" i="1"/>
  <c r="Q3804" i="1"/>
  <c r="R3803" i="1"/>
  <c r="Q3803" i="1"/>
  <c r="R3802" i="1"/>
  <c r="Q3802" i="1"/>
  <c r="R3801" i="1"/>
  <c r="Q3801" i="1"/>
  <c r="R3800" i="1"/>
  <c r="Q3800" i="1"/>
  <c r="R3799" i="1"/>
  <c r="Q3799" i="1"/>
  <c r="R3798" i="1"/>
  <c r="Q3798" i="1"/>
  <c r="R3797" i="1"/>
  <c r="Q3797" i="1"/>
  <c r="R3796" i="1"/>
  <c r="Q3796" i="1"/>
  <c r="R3795" i="1"/>
  <c r="Q3795" i="1"/>
  <c r="R3794" i="1"/>
  <c r="Q3794" i="1"/>
  <c r="R3793" i="1"/>
  <c r="Q3793" i="1"/>
  <c r="R3792" i="1"/>
  <c r="Q3792" i="1"/>
  <c r="R3791" i="1"/>
  <c r="Q3791" i="1"/>
  <c r="R3790" i="1"/>
  <c r="Q3790" i="1"/>
  <c r="R3789" i="1"/>
  <c r="Q3789" i="1"/>
  <c r="R3788" i="1"/>
  <c r="Q3788" i="1"/>
  <c r="R3787" i="1"/>
  <c r="Q3787" i="1"/>
  <c r="R3786" i="1"/>
  <c r="Q3786" i="1"/>
  <c r="R3785" i="1"/>
  <c r="Q3785" i="1"/>
  <c r="R3784" i="1"/>
  <c r="Q3784" i="1"/>
  <c r="R3783" i="1"/>
  <c r="Q3783" i="1"/>
  <c r="R3782" i="1"/>
  <c r="Q3782" i="1"/>
  <c r="R3781" i="1"/>
  <c r="Q3781" i="1"/>
  <c r="R3780" i="1"/>
  <c r="Q3780" i="1"/>
  <c r="R3779" i="1"/>
  <c r="Q3779" i="1"/>
  <c r="R3778" i="1"/>
  <c r="Q3778" i="1"/>
  <c r="R3777" i="1"/>
  <c r="Q3777" i="1"/>
  <c r="R3776" i="1"/>
  <c r="Q3776" i="1"/>
  <c r="R3775" i="1"/>
  <c r="Q3775" i="1"/>
  <c r="R3774" i="1"/>
  <c r="Q3774" i="1"/>
  <c r="R3773" i="1"/>
  <c r="Q3773" i="1"/>
  <c r="R3772" i="1"/>
  <c r="Q3772" i="1"/>
  <c r="R3771" i="1"/>
  <c r="Q3771" i="1"/>
  <c r="R3770" i="1"/>
  <c r="Q3770" i="1"/>
  <c r="R3769" i="1"/>
  <c r="Q3769" i="1"/>
  <c r="R3768" i="1"/>
  <c r="Q3768" i="1"/>
  <c r="R3767" i="1"/>
  <c r="Q3767" i="1"/>
  <c r="R3766" i="1"/>
  <c r="Q3766" i="1"/>
  <c r="R3765" i="1"/>
  <c r="Q3765" i="1"/>
  <c r="R3764" i="1"/>
  <c r="Q3764" i="1"/>
  <c r="R3763" i="1"/>
  <c r="Q3763" i="1"/>
  <c r="R3762" i="1"/>
  <c r="Q3762" i="1"/>
  <c r="R3761" i="1"/>
  <c r="Q3761" i="1"/>
  <c r="R3760" i="1"/>
  <c r="Q3760" i="1"/>
  <c r="R3759" i="1"/>
  <c r="Q3759" i="1"/>
  <c r="R3758" i="1"/>
  <c r="Q3758" i="1"/>
  <c r="R3757" i="1"/>
  <c r="Q3757" i="1"/>
  <c r="R3756" i="1"/>
  <c r="Q3756" i="1"/>
  <c r="R3755" i="1"/>
  <c r="Q3755" i="1"/>
  <c r="R3754" i="1"/>
  <c r="Q3754" i="1"/>
  <c r="R3753" i="1"/>
  <c r="Q3753" i="1"/>
  <c r="R3752" i="1"/>
  <c r="Q3752" i="1"/>
  <c r="R3751" i="1"/>
  <c r="Q3751" i="1"/>
  <c r="R3750" i="1"/>
  <c r="Q3750" i="1"/>
  <c r="R3749" i="1"/>
  <c r="Q3749" i="1"/>
  <c r="R3748" i="1"/>
  <c r="Q3748" i="1"/>
  <c r="R3747" i="1"/>
  <c r="Q3747" i="1"/>
  <c r="R3746" i="1"/>
  <c r="Q3746" i="1"/>
  <c r="R3745" i="1"/>
  <c r="Q3745" i="1"/>
  <c r="R3744" i="1"/>
  <c r="Q3744" i="1"/>
  <c r="R3743" i="1"/>
  <c r="Q3743" i="1"/>
  <c r="R3742" i="1"/>
  <c r="Q3742" i="1"/>
  <c r="R3741" i="1"/>
  <c r="Q3741" i="1"/>
  <c r="R3740" i="1"/>
  <c r="Q3740" i="1"/>
  <c r="R3739" i="1"/>
  <c r="Q3739" i="1"/>
  <c r="R3738" i="1"/>
  <c r="Q3738" i="1"/>
  <c r="R3737" i="1"/>
  <c r="Q3737" i="1"/>
  <c r="R3736" i="1"/>
  <c r="Q3736" i="1"/>
  <c r="R3735" i="1"/>
  <c r="Q3735" i="1"/>
  <c r="R3734" i="1"/>
  <c r="Q3734" i="1"/>
  <c r="R3733" i="1"/>
  <c r="Q3733" i="1"/>
  <c r="R3732" i="1"/>
  <c r="Q3732" i="1"/>
  <c r="R3731" i="1"/>
  <c r="Q3731" i="1"/>
  <c r="R3730" i="1"/>
  <c r="Q3730" i="1"/>
  <c r="R3729" i="1"/>
  <c r="Q3729" i="1"/>
  <c r="R3728" i="1"/>
  <c r="Q3728" i="1"/>
  <c r="R3727" i="1"/>
  <c r="Q3727" i="1"/>
  <c r="R3726" i="1"/>
  <c r="Q3726" i="1"/>
  <c r="R3725" i="1"/>
  <c r="Q3725" i="1"/>
  <c r="R3724" i="1"/>
  <c r="Q3724" i="1"/>
  <c r="R3723" i="1"/>
  <c r="Q3723" i="1"/>
  <c r="R3722" i="1"/>
  <c r="Q3722" i="1"/>
  <c r="R3721" i="1"/>
  <c r="Q3721" i="1"/>
  <c r="R3720" i="1"/>
  <c r="Q3720" i="1"/>
  <c r="R3719" i="1"/>
  <c r="Q3719" i="1"/>
  <c r="R3718" i="1"/>
  <c r="Q3718" i="1"/>
  <c r="R3717" i="1"/>
  <c r="Q3717" i="1"/>
  <c r="R3716" i="1"/>
  <c r="Q3716" i="1"/>
  <c r="R3715" i="1"/>
  <c r="Q3715" i="1"/>
  <c r="R3714" i="1"/>
  <c r="Q3714" i="1"/>
  <c r="R3713" i="1"/>
  <c r="Q3713" i="1"/>
  <c r="R3712" i="1"/>
  <c r="Q3712" i="1"/>
  <c r="R3711" i="1"/>
  <c r="Q3711" i="1"/>
  <c r="R3710" i="1"/>
  <c r="Q3710" i="1"/>
  <c r="R3709" i="1"/>
  <c r="Q3709" i="1"/>
  <c r="R3708" i="1"/>
  <c r="Q3708" i="1"/>
  <c r="R3707" i="1"/>
  <c r="Q3707" i="1"/>
  <c r="R3706" i="1"/>
  <c r="Q3706" i="1"/>
  <c r="R3705" i="1"/>
  <c r="Q3705" i="1"/>
  <c r="R3704" i="1"/>
  <c r="Q3704" i="1"/>
  <c r="R3703" i="1"/>
  <c r="Q3703" i="1"/>
  <c r="R3702" i="1"/>
  <c r="Q3702" i="1"/>
  <c r="R3701" i="1"/>
  <c r="Q3701" i="1"/>
  <c r="R3700" i="1"/>
  <c r="Q3700" i="1"/>
  <c r="R3699" i="1"/>
  <c r="Q3699" i="1"/>
  <c r="R3698" i="1"/>
  <c r="Q3698" i="1"/>
  <c r="R3697" i="1"/>
  <c r="Q3697" i="1"/>
  <c r="R3696" i="1"/>
  <c r="Q3696" i="1"/>
  <c r="R3695" i="1"/>
  <c r="Q3695" i="1"/>
  <c r="R3694" i="1"/>
  <c r="Q3694" i="1"/>
  <c r="R3693" i="1"/>
  <c r="Q3693" i="1"/>
  <c r="R3692" i="1"/>
  <c r="Q3692" i="1"/>
  <c r="R3691" i="1"/>
  <c r="Q3691" i="1"/>
  <c r="R3690" i="1"/>
  <c r="Q3690" i="1"/>
  <c r="R3689" i="1"/>
  <c r="Q3689" i="1"/>
  <c r="R3688" i="1"/>
  <c r="Q3688" i="1"/>
  <c r="R3687" i="1"/>
  <c r="Q3687" i="1"/>
  <c r="R3686" i="1"/>
  <c r="Q3686" i="1"/>
  <c r="R3685" i="1"/>
  <c r="Q3685" i="1"/>
  <c r="R3684" i="1"/>
  <c r="Q3684" i="1"/>
  <c r="R3683" i="1"/>
  <c r="Q3683" i="1"/>
  <c r="R3682" i="1"/>
  <c r="Q3682" i="1"/>
  <c r="R3681" i="1"/>
  <c r="Q3681" i="1"/>
  <c r="R3680" i="1"/>
  <c r="Q3680" i="1"/>
  <c r="R3679" i="1"/>
  <c r="Q3679" i="1"/>
  <c r="R3678" i="1"/>
  <c r="Q3678" i="1"/>
  <c r="R3677" i="1"/>
  <c r="Q3677" i="1"/>
  <c r="R3676" i="1"/>
  <c r="Q3676" i="1"/>
  <c r="R3675" i="1"/>
  <c r="Q3675" i="1"/>
  <c r="R3674" i="1"/>
  <c r="Q3674" i="1"/>
  <c r="R3673" i="1"/>
  <c r="Q3673" i="1"/>
  <c r="R3672" i="1"/>
  <c r="Q3672" i="1"/>
  <c r="R3671" i="1"/>
  <c r="Q3671" i="1"/>
  <c r="R3670" i="1"/>
  <c r="Q3670" i="1"/>
  <c r="R3669" i="1"/>
  <c r="Q3669" i="1"/>
  <c r="R3668" i="1"/>
  <c r="Q3668" i="1"/>
  <c r="R3667" i="1"/>
  <c r="Q3667" i="1"/>
  <c r="R3666" i="1"/>
  <c r="Q3666" i="1"/>
  <c r="R3665" i="1"/>
  <c r="Q3665" i="1"/>
  <c r="R3664" i="1"/>
  <c r="Q3664" i="1"/>
  <c r="R3663" i="1"/>
  <c r="Q3663" i="1"/>
  <c r="R3662" i="1"/>
  <c r="Q3662" i="1"/>
  <c r="R3661" i="1"/>
  <c r="Q3661" i="1"/>
  <c r="R3660" i="1"/>
  <c r="Q3660" i="1"/>
  <c r="R3659" i="1"/>
  <c r="Q3659" i="1"/>
  <c r="R3658" i="1"/>
  <c r="Q3658" i="1"/>
  <c r="R3657" i="1"/>
  <c r="Q3657" i="1"/>
  <c r="R3656" i="1"/>
  <c r="Q3656" i="1"/>
  <c r="R3655" i="1"/>
  <c r="Q3655" i="1"/>
  <c r="R3654" i="1"/>
  <c r="Q3654" i="1"/>
  <c r="R3653" i="1"/>
  <c r="Q3653" i="1"/>
  <c r="R3652" i="1"/>
  <c r="Q3652" i="1"/>
  <c r="R3651" i="1"/>
  <c r="Q3651" i="1"/>
  <c r="R3650" i="1"/>
  <c r="Q3650" i="1"/>
  <c r="R3649" i="1"/>
  <c r="Q3649" i="1"/>
  <c r="R3648" i="1"/>
  <c r="Q3648" i="1"/>
  <c r="R3647" i="1"/>
  <c r="Q3647" i="1"/>
  <c r="R3646" i="1"/>
  <c r="Q3646" i="1"/>
  <c r="R3645" i="1"/>
  <c r="Q3645" i="1"/>
  <c r="R3644" i="1"/>
  <c r="Q3644" i="1"/>
  <c r="R3643" i="1"/>
  <c r="Q3643" i="1"/>
  <c r="R3642" i="1"/>
  <c r="Q3642" i="1"/>
  <c r="R3641" i="1"/>
  <c r="Q3641" i="1"/>
  <c r="R3640" i="1"/>
  <c r="Q3640" i="1"/>
  <c r="R3639" i="1"/>
  <c r="Q3639" i="1"/>
  <c r="R3638" i="1"/>
  <c r="Q3638" i="1"/>
  <c r="R3637" i="1"/>
  <c r="Q3637" i="1"/>
  <c r="R3636" i="1"/>
  <c r="Q3636" i="1"/>
  <c r="R3635" i="1"/>
  <c r="Q3635" i="1"/>
  <c r="R3634" i="1"/>
  <c r="Q3634" i="1"/>
  <c r="R3633" i="1"/>
  <c r="Q3633" i="1"/>
  <c r="R3632" i="1"/>
  <c r="Q3632" i="1"/>
  <c r="R3631" i="1"/>
  <c r="Q3631" i="1"/>
  <c r="R3630" i="1"/>
  <c r="Q3630" i="1"/>
  <c r="R3629" i="1"/>
  <c r="Q3629" i="1"/>
  <c r="R3628" i="1"/>
  <c r="Q3628" i="1"/>
  <c r="R3627" i="1"/>
  <c r="Q3627" i="1"/>
  <c r="R3626" i="1"/>
  <c r="Q3626" i="1"/>
  <c r="R3625" i="1"/>
  <c r="Q3625" i="1"/>
  <c r="R3624" i="1"/>
  <c r="Q3624" i="1"/>
  <c r="R3623" i="1"/>
  <c r="Q3623" i="1"/>
  <c r="R3622" i="1"/>
  <c r="Q3622" i="1"/>
  <c r="R3621" i="1"/>
  <c r="Q3621" i="1"/>
  <c r="R3620" i="1"/>
  <c r="Q3620" i="1"/>
  <c r="R3619" i="1"/>
  <c r="Q3619" i="1"/>
  <c r="R3618" i="1"/>
  <c r="Q3618" i="1"/>
  <c r="R3617" i="1"/>
  <c r="Q3617" i="1"/>
  <c r="R3616" i="1"/>
  <c r="Q3616" i="1"/>
  <c r="R3615" i="1"/>
  <c r="Q3615" i="1"/>
  <c r="R3614" i="1"/>
  <c r="Q3614" i="1"/>
  <c r="R3613" i="1"/>
  <c r="Q3613" i="1"/>
  <c r="R3612" i="1"/>
  <c r="Q3612" i="1"/>
  <c r="R3611" i="1"/>
  <c r="Q3611" i="1"/>
  <c r="R3610" i="1"/>
  <c r="Q3610" i="1"/>
  <c r="R3609" i="1"/>
  <c r="Q3609" i="1"/>
  <c r="R3608" i="1"/>
  <c r="Q3608" i="1"/>
  <c r="R3607" i="1"/>
  <c r="Q3607" i="1"/>
  <c r="R3606" i="1"/>
  <c r="Q3606" i="1"/>
  <c r="R3605" i="1"/>
  <c r="Q3605" i="1"/>
  <c r="R3604" i="1"/>
  <c r="Q3604" i="1"/>
  <c r="R3603" i="1"/>
  <c r="Q3603" i="1"/>
  <c r="R3602" i="1"/>
  <c r="Q3602" i="1"/>
  <c r="R3601" i="1"/>
  <c r="Q3601" i="1"/>
  <c r="R3600" i="1"/>
  <c r="Q3600" i="1"/>
  <c r="R3599" i="1"/>
  <c r="Q3599" i="1"/>
  <c r="R3598" i="1"/>
  <c r="Q3598" i="1"/>
  <c r="R3597" i="1"/>
  <c r="Q3597" i="1"/>
  <c r="R3596" i="1"/>
  <c r="Q3596" i="1"/>
  <c r="R3595" i="1"/>
  <c r="Q3595" i="1"/>
  <c r="R3594" i="1"/>
  <c r="Q3594" i="1"/>
  <c r="R3593" i="1"/>
  <c r="Q3593" i="1"/>
  <c r="R3592" i="1"/>
  <c r="Q3592" i="1"/>
  <c r="R3591" i="1"/>
  <c r="Q3591" i="1"/>
  <c r="R3590" i="1"/>
  <c r="Q3590" i="1"/>
  <c r="R3589" i="1"/>
  <c r="Q3589" i="1"/>
  <c r="R3588" i="1"/>
  <c r="Q3588" i="1"/>
  <c r="R3587" i="1"/>
  <c r="Q3587" i="1"/>
  <c r="R3586" i="1"/>
  <c r="Q3586" i="1"/>
  <c r="R3585" i="1"/>
  <c r="Q3585" i="1"/>
  <c r="R3584" i="1"/>
  <c r="Q3584" i="1"/>
  <c r="R3583" i="1"/>
  <c r="Q3583" i="1"/>
  <c r="R3582" i="1"/>
  <c r="Q3582" i="1"/>
  <c r="R3581" i="1"/>
  <c r="Q3581" i="1"/>
  <c r="R3580" i="1"/>
  <c r="Q3580" i="1"/>
  <c r="R3579" i="1"/>
  <c r="Q3579" i="1"/>
  <c r="R3578" i="1"/>
  <c r="Q3578" i="1"/>
  <c r="R3577" i="1"/>
  <c r="Q3577" i="1"/>
  <c r="R3576" i="1"/>
  <c r="Q3576" i="1"/>
  <c r="R3575" i="1"/>
  <c r="Q3575" i="1"/>
  <c r="R3574" i="1"/>
  <c r="Q3574" i="1"/>
  <c r="R3573" i="1"/>
  <c r="Q3573" i="1"/>
  <c r="R3572" i="1"/>
  <c r="Q3572" i="1"/>
  <c r="R3571" i="1"/>
  <c r="Q3571" i="1"/>
  <c r="R3570" i="1"/>
  <c r="Q3570" i="1"/>
  <c r="R3569" i="1"/>
  <c r="Q3569" i="1"/>
  <c r="R3568" i="1"/>
  <c r="Q3568" i="1"/>
  <c r="R3567" i="1"/>
  <c r="Q3567" i="1"/>
  <c r="R3566" i="1"/>
  <c r="Q3566" i="1"/>
  <c r="R3565" i="1"/>
  <c r="Q3565" i="1"/>
  <c r="R3564" i="1"/>
  <c r="Q3564" i="1"/>
  <c r="R3563" i="1"/>
  <c r="Q3563" i="1"/>
  <c r="R3562" i="1"/>
  <c r="Q3562" i="1"/>
  <c r="R3561" i="1"/>
  <c r="Q3561" i="1"/>
  <c r="R3560" i="1"/>
  <c r="Q3560" i="1"/>
  <c r="R3559" i="1"/>
  <c r="Q3559" i="1"/>
  <c r="R3558" i="1"/>
  <c r="Q3558" i="1"/>
  <c r="R3557" i="1"/>
  <c r="Q3557" i="1"/>
  <c r="R3556" i="1"/>
  <c r="Q3556" i="1"/>
  <c r="R3555" i="1"/>
  <c r="Q3555" i="1"/>
  <c r="R3554" i="1"/>
  <c r="Q3554" i="1"/>
  <c r="R3553" i="1"/>
  <c r="Q3553" i="1"/>
  <c r="R3552" i="1"/>
  <c r="Q3552" i="1"/>
  <c r="R3551" i="1"/>
  <c r="Q3551" i="1"/>
  <c r="R3550" i="1"/>
  <c r="Q3550" i="1"/>
  <c r="R3549" i="1"/>
  <c r="Q3549" i="1"/>
  <c r="R3548" i="1"/>
  <c r="Q3548" i="1"/>
  <c r="R3547" i="1"/>
  <c r="Q3547" i="1"/>
  <c r="R3546" i="1"/>
  <c r="Q3546" i="1"/>
  <c r="R3545" i="1"/>
  <c r="Q3545" i="1"/>
  <c r="R3544" i="1"/>
  <c r="Q3544" i="1"/>
  <c r="R3543" i="1"/>
  <c r="Q3543" i="1"/>
  <c r="R3542" i="1"/>
  <c r="Q3542" i="1"/>
  <c r="R3541" i="1"/>
  <c r="Q3541" i="1"/>
  <c r="R3540" i="1"/>
  <c r="Q3540" i="1"/>
  <c r="R3539" i="1"/>
  <c r="Q3539" i="1"/>
  <c r="R3538" i="1"/>
  <c r="Q3538" i="1"/>
  <c r="R3537" i="1"/>
  <c r="Q3537" i="1"/>
  <c r="R3536" i="1"/>
  <c r="Q3536" i="1"/>
  <c r="R3535" i="1"/>
  <c r="Q3535" i="1"/>
  <c r="R3534" i="1"/>
  <c r="Q3534" i="1"/>
  <c r="R3533" i="1"/>
  <c r="Q3533" i="1"/>
  <c r="R3532" i="1"/>
  <c r="Q3532" i="1"/>
  <c r="R3531" i="1"/>
  <c r="Q3531" i="1"/>
  <c r="R3530" i="1"/>
  <c r="Q3530" i="1"/>
  <c r="R3529" i="1"/>
  <c r="Q3529" i="1"/>
  <c r="R3528" i="1"/>
  <c r="Q3528" i="1"/>
  <c r="R3527" i="1"/>
  <c r="Q3527" i="1"/>
  <c r="R3526" i="1"/>
  <c r="Q3526" i="1"/>
  <c r="R3525" i="1"/>
  <c r="Q3525" i="1"/>
  <c r="R3524" i="1"/>
  <c r="Q3524" i="1"/>
  <c r="R3523" i="1"/>
  <c r="Q3523" i="1"/>
  <c r="R3522" i="1"/>
  <c r="Q3522" i="1"/>
  <c r="R3521" i="1"/>
  <c r="Q3521" i="1"/>
  <c r="R3520" i="1"/>
  <c r="Q3520" i="1"/>
  <c r="R3519" i="1"/>
  <c r="Q3519" i="1"/>
  <c r="R3518" i="1"/>
  <c r="Q3518" i="1"/>
  <c r="R3517" i="1"/>
  <c r="Q3517" i="1"/>
  <c r="R3516" i="1"/>
  <c r="Q3516" i="1"/>
  <c r="R3515" i="1"/>
  <c r="Q3515" i="1"/>
  <c r="R3514" i="1"/>
  <c r="Q3514" i="1"/>
  <c r="R3513" i="1"/>
  <c r="Q3513" i="1"/>
  <c r="R3512" i="1"/>
  <c r="Q3512" i="1"/>
  <c r="R3511" i="1"/>
  <c r="Q3511" i="1"/>
  <c r="R3510" i="1"/>
  <c r="Q3510" i="1"/>
  <c r="R3509" i="1"/>
  <c r="Q3509" i="1"/>
  <c r="R3508" i="1"/>
  <c r="Q3508" i="1"/>
  <c r="R3507" i="1"/>
  <c r="Q3507" i="1"/>
  <c r="R3506" i="1"/>
  <c r="Q3506" i="1"/>
  <c r="R3505" i="1"/>
  <c r="Q3505" i="1"/>
  <c r="R3504" i="1"/>
  <c r="Q3504" i="1"/>
  <c r="R3503" i="1"/>
  <c r="Q3503" i="1"/>
  <c r="R3502" i="1"/>
  <c r="Q3502" i="1"/>
  <c r="R3501" i="1"/>
  <c r="Q3501" i="1"/>
  <c r="R3500" i="1"/>
  <c r="Q3500" i="1"/>
  <c r="R3499" i="1"/>
  <c r="Q3499" i="1"/>
  <c r="R3498" i="1"/>
  <c r="Q3498" i="1"/>
  <c r="R3497" i="1"/>
  <c r="Q3497" i="1"/>
  <c r="R3496" i="1"/>
  <c r="Q3496" i="1"/>
  <c r="R3495" i="1"/>
  <c r="Q3495" i="1"/>
  <c r="R3494" i="1"/>
  <c r="Q3494" i="1"/>
  <c r="R3493" i="1"/>
  <c r="Q3493" i="1"/>
  <c r="R3492" i="1"/>
  <c r="Q3492" i="1"/>
  <c r="R3491" i="1"/>
  <c r="Q3491" i="1"/>
  <c r="R3490" i="1"/>
  <c r="Q3490" i="1"/>
  <c r="R3489" i="1"/>
  <c r="Q3489" i="1"/>
  <c r="R3488" i="1"/>
  <c r="Q3488" i="1"/>
  <c r="R3487" i="1"/>
  <c r="Q3487" i="1"/>
  <c r="R3486" i="1"/>
  <c r="Q3486" i="1"/>
  <c r="R3485" i="1"/>
  <c r="Q3485" i="1"/>
  <c r="R3484" i="1"/>
  <c r="Q3484" i="1"/>
  <c r="R3483" i="1"/>
  <c r="Q3483" i="1"/>
  <c r="R3482" i="1"/>
  <c r="Q3482" i="1"/>
  <c r="R3481" i="1"/>
  <c r="Q3481" i="1"/>
  <c r="R3480" i="1"/>
  <c r="Q3480" i="1"/>
  <c r="R3479" i="1"/>
  <c r="Q3479" i="1"/>
  <c r="R3478" i="1"/>
  <c r="Q3478" i="1"/>
  <c r="R3477" i="1"/>
  <c r="Q3477" i="1"/>
  <c r="R3476" i="1"/>
  <c r="Q3476" i="1"/>
  <c r="R3475" i="1"/>
  <c r="Q3475" i="1"/>
  <c r="R3474" i="1"/>
  <c r="Q3474" i="1"/>
  <c r="R3473" i="1"/>
  <c r="Q3473" i="1"/>
  <c r="R3472" i="1"/>
  <c r="Q3472" i="1"/>
  <c r="R3471" i="1"/>
  <c r="Q3471" i="1"/>
  <c r="R3470" i="1"/>
  <c r="Q3470" i="1"/>
  <c r="R3469" i="1"/>
  <c r="Q3469" i="1"/>
  <c r="R3468" i="1"/>
  <c r="Q3468" i="1"/>
  <c r="R3467" i="1"/>
  <c r="Q3467" i="1"/>
  <c r="R3466" i="1"/>
  <c r="Q3466" i="1"/>
  <c r="R3465" i="1"/>
  <c r="Q3465" i="1"/>
  <c r="R3464" i="1"/>
  <c r="Q3464" i="1"/>
  <c r="R3463" i="1"/>
  <c r="Q3463" i="1"/>
  <c r="R3462" i="1"/>
  <c r="Q3462" i="1"/>
  <c r="R3461" i="1"/>
  <c r="Q3461" i="1"/>
  <c r="R3460" i="1"/>
  <c r="Q3460" i="1"/>
  <c r="R3459" i="1"/>
  <c r="Q3459" i="1"/>
  <c r="R3458" i="1"/>
  <c r="Q3458" i="1"/>
  <c r="R3457" i="1"/>
  <c r="Q3457" i="1"/>
  <c r="R3456" i="1"/>
  <c r="Q3456" i="1"/>
  <c r="R3455" i="1"/>
  <c r="Q3455" i="1"/>
  <c r="R3454" i="1"/>
  <c r="Q3454" i="1"/>
  <c r="R3453" i="1"/>
  <c r="Q3453" i="1"/>
  <c r="R3452" i="1"/>
  <c r="Q3452" i="1"/>
  <c r="R3451" i="1"/>
  <c r="Q3451" i="1"/>
  <c r="R3450" i="1"/>
  <c r="Q3450" i="1"/>
  <c r="R3449" i="1"/>
  <c r="Q3449" i="1"/>
  <c r="R3448" i="1"/>
  <c r="Q3448" i="1"/>
  <c r="R3447" i="1"/>
  <c r="Q3447" i="1"/>
  <c r="R3446" i="1"/>
  <c r="Q3446" i="1"/>
  <c r="R3445" i="1"/>
  <c r="Q3445" i="1"/>
  <c r="R3444" i="1"/>
  <c r="Q3444" i="1"/>
  <c r="R3443" i="1"/>
  <c r="Q3443" i="1"/>
  <c r="R3442" i="1"/>
  <c r="Q3442" i="1"/>
  <c r="R3441" i="1"/>
  <c r="Q3441" i="1"/>
  <c r="R3440" i="1"/>
  <c r="Q3440" i="1"/>
  <c r="R3439" i="1"/>
  <c r="Q3439" i="1"/>
  <c r="R3438" i="1"/>
  <c r="Q3438" i="1"/>
  <c r="R3437" i="1"/>
  <c r="Q3437" i="1"/>
  <c r="R3436" i="1"/>
  <c r="Q3436" i="1"/>
  <c r="R3435" i="1"/>
  <c r="Q3435" i="1"/>
  <c r="R3434" i="1"/>
  <c r="Q3434" i="1"/>
  <c r="R3433" i="1"/>
  <c r="Q3433" i="1"/>
  <c r="R3432" i="1"/>
  <c r="Q3432" i="1"/>
  <c r="R3431" i="1"/>
  <c r="Q3431" i="1"/>
  <c r="R3430" i="1"/>
  <c r="Q3430" i="1"/>
  <c r="R3429" i="1"/>
  <c r="Q3429" i="1"/>
  <c r="R3428" i="1"/>
  <c r="Q3428" i="1"/>
  <c r="R3427" i="1"/>
  <c r="Q3427" i="1"/>
  <c r="R3426" i="1"/>
  <c r="Q3426" i="1"/>
  <c r="R3425" i="1"/>
  <c r="Q3425" i="1"/>
  <c r="R3424" i="1"/>
  <c r="Q3424" i="1"/>
  <c r="R3423" i="1"/>
  <c r="Q3423" i="1"/>
  <c r="R3422" i="1"/>
  <c r="Q3422" i="1"/>
  <c r="R3421" i="1"/>
  <c r="Q3421" i="1"/>
  <c r="R3420" i="1"/>
  <c r="Q3420" i="1"/>
  <c r="R3419" i="1"/>
  <c r="Q3419" i="1"/>
  <c r="R3418" i="1"/>
  <c r="Q3418" i="1"/>
  <c r="R3417" i="1"/>
  <c r="Q3417" i="1"/>
  <c r="R3416" i="1"/>
  <c r="Q3416" i="1"/>
  <c r="R3415" i="1"/>
  <c r="Q3415" i="1"/>
  <c r="R3414" i="1"/>
  <c r="Q3414" i="1"/>
  <c r="R3413" i="1"/>
  <c r="Q3413" i="1"/>
  <c r="R3412" i="1"/>
  <c r="Q3412" i="1"/>
  <c r="R3411" i="1"/>
  <c r="Q3411" i="1"/>
  <c r="R3410" i="1"/>
  <c r="Q3410" i="1"/>
  <c r="R3409" i="1"/>
  <c r="Q3409" i="1"/>
  <c r="R3408" i="1"/>
  <c r="Q3408" i="1"/>
  <c r="R3407" i="1"/>
  <c r="Q3407" i="1"/>
  <c r="R3406" i="1"/>
  <c r="Q3406" i="1"/>
  <c r="R3405" i="1"/>
  <c r="Q3405" i="1"/>
  <c r="R3404" i="1"/>
  <c r="Q3404" i="1"/>
  <c r="R3403" i="1"/>
  <c r="Q3403" i="1"/>
  <c r="R3402" i="1"/>
  <c r="Q3402" i="1"/>
  <c r="R3401" i="1"/>
  <c r="Q3401" i="1"/>
  <c r="R3400" i="1"/>
  <c r="Q3400" i="1"/>
  <c r="R3399" i="1"/>
  <c r="Q3399" i="1"/>
  <c r="R3398" i="1"/>
  <c r="Q3398" i="1"/>
  <c r="R3397" i="1"/>
  <c r="Q3397" i="1"/>
  <c r="R3396" i="1"/>
  <c r="Q3396" i="1"/>
  <c r="R3395" i="1"/>
  <c r="Q3395" i="1"/>
  <c r="R3394" i="1"/>
  <c r="Q3394" i="1"/>
  <c r="R3393" i="1"/>
  <c r="Q3393" i="1"/>
  <c r="R3392" i="1"/>
  <c r="Q3392" i="1"/>
  <c r="R3391" i="1"/>
  <c r="Q3391" i="1"/>
  <c r="R3390" i="1"/>
  <c r="Q3390" i="1"/>
  <c r="R3389" i="1"/>
  <c r="Q3389" i="1"/>
  <c r="R3388" i="1"/>
  <c r="Q3388" i="1"/>
  <c r="R3387" i="1"/>
  <c r="Q3387" i="1"/>
  <c r="R3386" i="1"/>
  <c r="Q3386" i="1"/>
  <c r="R3385" i="1"/>
  <c r="Q3385" i="1"/>
  <c r="R3384" i="1"/>
  <c r="Q3384" i="1"/>
  <c r="R3383" i="1"/>
  <c r="Q3383" i="1"/>
  <c r="R3382" i="1"/>
  <c r="Q3382" i="1"/>
  <c r="R3381" i="1"/>
  <c r="Q3381" i="1"/>
  <c r="R3380" i="1"/>
  <c r="Q3380" i="1"/>
  <c r="R3379" i="1"/>
  <c r="Q3379" i="1"/>
  <c r="R3378" i="1"/>
  <c r="Q3378" i="1"/>
  <c r="R3377" i="1"/>
  <c r="Q3377" i="1"/>
  <c r="R3376" i="1"/>
  <c r="Q3376" i="1"/>
  <c r="R3375" i="1"/>
  <c r="Q3375" i="1"/>
  <c r="R3374" i="1"/>
  <c r="Q3374" i="1"/>
  <c r="R3373" i="1"/>
  <c r="Q3373" i="1"/>
  <c r="R3372" i="1"/>
  <c r="Q3372" i="1"/>
  <c r="R3371" i="1"/>
  <c r="Q3371" i="1"/>
  <c r="R3370" i="1"/>
  <c r="Q3370" i="1"/>
  <c r="R3369" i="1"/>
  <c r="Q3369" i="1"/>
  <c r="R3368" i="1"/>
  <c r="Q3368" i="1"/>
  <c r="R3367" i="1"/>
  <c r="Q3367" i="1"/>
  <c r="R3366" i="1"/>
  <c r="Q3366" i="1"/>
  <c r="R3365" i="1"/>
  <c r="Q3365" i="1"/>
  <c r="R3364" i="1"/>
  <c r="Q3364" i="1"/>
  <c r="R3363" i="1"/>
  <c r="Q3363" i="1"/>
  <c r="R3362" i="1"/>
  <c r="Q3362" i="1"/>
  <c r="R3361" i="1"/>
  <c r="Q3361" i="1"/>
  <c r="R3360" i="1"/>
  <c r="Q3360" i="1"/>
  <c r="R3359" i="1"/>
  <c r="Q3359" i="1"/>
  <c r="R3358" i="1"/>
  <c r="Q3358" i="1"/>
  <c r="R3357" i="1"/>
  <c r="Q3357" i="1"/>
  <c r="R3356" i="1"/>
  <c r="Q3356" i="1"/>
  <c r="R3355" i="1"/>
  <c r="Q3355" i="1"/>
  <c r="R3354" i="1"/>
  <c r="Q3354" i="1"/>
  <c r="R3353" i="1"/>
  <c r="Q3353" i="1"/>
  <c r="R3352" i="1"/>
  <c r="Q3352" i="1"/>
  <c r="R3351" i="1"/>
  <c r="Q3351" i="1"/>
  <c r="R3350" i="1"/>
  <c r="Q3350" i="1"/>
  <c r="R3349" i="1"/>
  <c r="Q3349" i="1"/>
  <c r="R3348" i="1"/>
  <c r="Q3348" i="1"/>
  <c r="R3347" i="1"/>
  <c r="Q3347" i="1"/>
  <c r="R3346" i="1"/>
  <c r="Q3346" i="1"/>
  <c r="R3345" i="1"/>
  <c r="Q3345" i="1"/>
  <c r="R3344" i="1"/>
  <c r="Q3344" i="1"/>
  <c r="R3343" i="1"/>
  <c r="Q3343" i="1"/>
  <c r="R3342" i="1"/>
  <c r="Q3342" i="1"/>
  <c r="R3341" i="1"/>
  <c r="Q3341" i="1"/>
  <c r="R3340" i="1"/>
  <c r="Q3340" i="1"/>
  <c r="R3339" i="1"/>
  <c r="Q3339" i="1"/>
  <c r="R3338" i="1"/>
  <c r="Q3338" i="1"/>
  <c r="R3337" i="1"/>
  <c r="Q3337" i="1"/>
  <c r="R3336" i="1"/>
  <c r="Q3336" i="1"/>
  <c r="R3335" i="1"/>
  <c r="Q3335" i="1"/>
  <c r="R3334" i="1"/>
  <c r="Q3334" i="1"/>
  <c r="R3333" i="1"/>
  <c r="Q3333" i="1"/>
  <c r="R3332" i="1"/>
  <c r="Q3332" i="1"/>
  <c r="R3331" i="1"/>
  <c r="Q3331" i="1"/>
  <c r="R3330" i="1"/>
  <c r="Q3330" i="1"/>
  <c r="R3329" i="1"/>
  <c r="Q3329" i="1"/>
  <c r="R3328" i="1"/>
  <c r="Q3328" i="1"/>
  <c r="R3327" i="1"/>
  <c r="Q3327" i="1"/>
  <c r="R3326" i="1"/>
  <c r="Q3326" i="1"/>
  <c r="R3325" i="1"/>
  <c r="Q3325" i="1"/>
  <c r="R3324" i="1"/>
  <c r="Q3324" i="1"/>
  <c r="R3323" i="1"/>
  <c r="Q3323" i="1"/>
  <c r="R3322" i="1"/>
  <c r="Q3322" i="1"/>
  <c r="R3321" i="1"/>
  <c r="Q3321" i="1"/>
  <c r="R3320" i="1"/>
  <c r="Q3320" i="1"/>
  <c r="R3319" i="1"/>
  <c r="Q3319" i="1"/>
  <c r="R3318" i="1"/>
  <c r="Q3318" i="1"/>
  <c r="R3317" i="1"/>
  <c r="Q3317" i="1"/>
  <c r="R3316" i="1"/>
  <c r="Q3316" i="1"/>
  <c r="R3315" i="1"/>
  <c r="Q3315" i="1"/>
  <c r="R3314" i="1"/>
  <c r="Q3314" i="1"/>
  <c r="R3313" i="1"/>
  <c r="Q3313" i="1"/>
  <c r="R3312" i="1"/>
  <c r="Q3312" i="1"/>
  <c r="R3311" i="1"/>
  <c r="Q3311" i="1"/>
  <c r="R3310" i="1"/>
  <c r="Q3310" i="1"/>
  <c r="R3309" i="1"/>
  <c r="Q3309" i="1"/>
  <c r="R3308" i="1"/>
  <c r="Q3308" i="1"/>
  <c r="R3307" i="1"/>
  <c r="Q3307" i="1"/>
  <c r="R3306" i="1"/>
  <c r="Q3306" i="1"/>
  <c r="R3305" i="1"/>
  <c r="Q3305" i="1"/>
  <c r="R3304" i="1"/>
  <c r="Q3304" i="1"/>
  <c r="R3303" i="1"/>
  <c r="Q3303" i="1"/>
  <c r="R3302" i="1"/>
  <c r="Q3302" i="1"/>
  <c r="R3301" i="1"/>
  <c r="Q3301" i="1"/>
  <c r="R3300" i="1"/>
  <c r="Q3300" i="1"/>
  <c r="R3299" i="1"/>
  <c r="Q3299" i="1"/>
  <c r="R3298" i="1"/>
  <c r="Q3298" i="1"/>
  <c r="R3297" i="1"/>
  <c r="Q3297" i="1"/>
  <c r="R3296" i="1"/>
  <c r="Q3296" i="1"/>
  <c r="R3295" i="1"/>
  <c r="Q3295" i="1"/>
  <c r="R3294" i="1"/>
  <c r="Q3294" i="1"/>
  <c r="R3293" i="1"/>
  <c r="Q3293" i="1"/>
  <c r="R3292" i="1"/>
  <c r="Q3292" i="1"/>
  <c r="R3291" i="1"/>
  <c r="Q3291" i="1"/>
  <c r="R3290" i="1"/>
  <c r="Q3290" i="1"/>
  <c r="R3289" i="1"/>
  <c r="Q3289" i="1"/>
  <c r="R3288" i="1"/>
  <c r="Q3288" i="1"/>
  <c r="R3287" i="1"/>
  <c r="Q3287" i="1"/>
  <c r="R3286" i="1"/>
  <c r="Q3286" i="1"/>
  <c r="R3285" i="1"/>
  <c r="Q3285" i="1"/>
  <c r="R3284" i="1"/>
  <c r="Q3284" i="1"/>
  <c r="R3283" i="1"/>
  <c r="Q3283" i="1"/>
  <c r="R3282" i="1"/>
  <c r="Q3282" i="1"/>
  <c r="R3281" i="1"/>
  <c r="Q3281" i="1"/>
  <c r="R3280" i="1"/>
  <c r="Q3280" i="1"/>
  <c r="R3279" i="1"/>
  <c r="Q3279" i="1"/>
  <c r="R3278" i="1"/>
  <c r="Q3278" i="1"/>
  <c r="R3277" i="1"/>
  <c r="Q3277" i="1"/>
  <c r="R3276" i="1"/>
  <c r="Q3276" i="1"/>
  <c r="R3275" i="1"/>
  <c r="Q3275" i="1"/>
  <c r="R3274" i="1"/>
  <c r="Q3274" i="1"/>
  <c r="R3273" i="1"/>
  <c r="Q3273" i="1"/>
  <c r="R3272" i="1"/>
  <c r="Q3272" i="1"/>
  <c r="R3271" i="1"/>
  <c r="Q3271" i="1"/>
  <c r="R3270" i="1"/>
  <c r="Q3270" i="1"/>
  <c r="R3269" i="1"/>
  <c r="Q3269" i="1"/>
  <c r="R3268" i="1"/>
  <c r="Q3268" i="1"/>
  <c r="R3267" i="1"/>
  <c r="Q3267" i="1"/>
  <c r="R3266" i="1"/>
  <c r="Q3266" i="1"/>
  <c r="R3265" i="1"/>
  <c r="Q3265" i="1"/>
  <c r="R3264" i="1"/>
  <c r="Q3264" i="1"/>
  <c r="R3263" i="1"/>
  <c r="Q3263" i="1"/>
  <c r="R3262" i="1"/>
  <c r="Q3262" i="1"/>
  <c r="R3261" i="1"/>
  <c r="Q3261" i="1"/>
  <c r="R3260" i="1"/>
  <c r="Q3260" i="1"/>
  <c r="R3259" i="1"/>
  <c r="Q3259" i="1"/>
  <c r="R3258" i="1"/>
  <c r="Q3258" i="1"/>
  <c r="R3257" i="1"/>
  <c r="Q3257" i="1"/>
  <c r="R3256" i="1"/>
  <c r="Q3256" i="1"/>
  <c r="R3255" i="1"/>
  <c r="Q3255" i="1"/>
  <c r="R3254" i="1"/>
  <c r="Q3254" i="1"/>
  <c r="R3253" i="1"/>
  <c r="Q3253" i="1"/>
  <c r="R3252" i="1"/>
  <c r="Q3252" i="1"/>
  <c r="R3251" i="1"/>
  <c r="Q3251" i="1"/>
  <c r="R3250" i="1"/>
  <c r="Q3250" i="1"/>
  <c r="R3249" i="1"/>
  <c r="Q3249" i="1"/>
  <c r="R3248" i="1"/>
  <c r="Q3248" i="1"/>
  <c r="R3247" i="1"/>
  <c r="Q3247" i="1"/>
  <c r="R3246" i="1"/>
  <c r="Q3246" i="1"/>
  <c r="R3245" i="1"/>
  <c r="Q3245" i="1"/>
  <c r="R3244" i="1"/>
  <c r="Q3244" i="1"/>
  <c r="R3243" i="1"/>
  <c r="Q3243" i="1"/>
  <c r="R3242" i="1"/>
  <c r="Q3242" i="1"/>
  <c r="R3241" i="1"/>
  <c r="Q3241" i="1"/>
  <c r="R3240" i="1"/>
  <c r="Q3240" i="1"/>
  <c r="R3239" i="1"/>
  <c r="Q3239" i="1"/>
  <c r="R3238" i="1"/>
  <c r="Q3238" i="1"/>
  <c r="R3237" i="1"/>
  <c r="Q3237" i="1"/>
  <c r="R3236" i="1"/>
  <c r="Q3236" i="1"/>
  <c r="R3235" i="1"/>
  <c r="Q3235" i="1"/>
  <c r="R3234" i="1"/>
  <c r="Q3234" i="1"/>
  <c r="R3233" i="1"/>
  <c r="Q3233" i="1"/>
  <c r="R3232" i="1"/>
  <c r="Q3232" i="1"/>
  <c r="R3231" i="1"/>
  <c r="Q3231" i="1"/>
  <c r="R3230" i="1"/>
  <c r="Q3230" i="1"/>
  <c r="R3229" i="1"/>
  <c r="Q3229" i="1"/>
  <c r="R3228" i="1"/>
  <c r="Q3228" i="1"/>
  <c r="R3227" i="1"/>
  <c r="Q3227" i="1"/>
  <c r="R3226" i="1"/>
  <c r="Q3226" i="1"/>
  <c r="R3225" i="1"/>
  <c r="Q3225" i="1"/>
  <c r="R3224" i="1"/>
  <c r="Q3224" i="1"/>
  <c r="R3223" i="1"/>
  <c r="Q3223" i="1"/>
  <c r="R3222" i="1"/>
  <c r="Q3222" i="1"/>
  <c r="R3221" i="1"/>
  <c r="Q3221" i="1"/>
  <c r="R3220" i="1"/>
  <c r="Q3220" i="1"/>
  <c r="R3219" i="1"/>
  <c r="Q3219" i="1"/>
  <c r="R3218" i="1"/>
  <c r="Q3218" i="1"/>
  <c r="R3217" i="1"/>
  <c r="Q3217" i="1"/>
  <c r="R3216" i="1"/>
  <c r="Q3216" i="1"/>
  <c r="R3215" i="1"/>
  <c r="Q3215" i="1"/>
  <c r="R3214" i="1"/>
  <c r="Q3214" i="1"/>
  <c r="R3213" i="1"/>
  <c r="Q3213" i="1"/>
  <c r="R3212" i="1"/>
  <c r="Q3212" i="1"/>
  <c r="R3211" i="1"/>
  <c r="Q3211" i="1"/>
  <c r="R3210" i="1"/>
  <c r="Q3210" i="1"/>
  <c r="R3209" i="1"/>
  <c r="Q3209" i="1"/>
  <c r="R3208" i="1"/>
  <c r="Q3208" i="1"/>
  <c r="R3207" i="1"/>
  <c r="Q3207" i="1"/>
  <c r="R3206" i="1"/>
  <c r="Q3206" i="1"/>
  <c r="R3205" i="1"/>
  <c r="Q3205" i="1"/>
  <c r="R3204" i="1"/>
  <c r="Q3204" i="1"/>
  <c r="R3203" i="1"/>
  <c r="Q3203" i="1"/>
  <c r="R3202" i="1"/>
  <c r="Q3202" i="1"/>
  <c r="R3201" i="1"/>
  <c r="Q3201" i="1"/>
  <c r="R3200" i="1"/>
  <c r="Q3200" i="1"/>
  <c r="R3199" i="1"/>
  <c r="Q3199" i="1"/>
  <c r="R3198" i="1"/>
  <c r="Q3198" i="1"/>
  <c r="R3197" i="1"/>
  <c r="Q3197" i="1"/>
  <c r="R3196" i="1"/>
  <c r="Q3196" i="1"/>
  <c r="R3195" i="1"/>
  <c r="Q3195" i="1"/>
  <c r="R3194" i="1"/>
  <c r="Q3194" i="1"/>
  <c r="R3193" i="1"/>
  <c r="Q3193" i="1"/>
  <c r="R3192" i="1"/>
  <c r="Q3192" i="1"/>
  <c r="R3191" i="1"/>
  <c r="Q3191" i="1"/>
  <c r="R3190" i="1"/>
  <c r="Q3190" i="1"/>
  <c r="R3189" i="1"/>
  <c r="Q3189" i="1"/>
  <c r="R3188" i="1"/>
  <c r="Q3188" i="1"/>
  <c r="R3187" i="1"/>
  <c r="Q3187" i="1"/>
  <c r="R3186" i="1"/>
  <c r="Q3186" i="1"/>
  <c r="R3185" i="1"/>
  <c r="Q3185" i="1"/>
  <c r="R3184" i="1"/>
  <c r="Q3184" i="1"/>
  <c r="R3183" i="1"/>
  <c r="Q3183" i="1"/>
  <c r="R3182" i="1"/>
  <c r="Q3182" i="1"/>
  <c r="R3181" i="1"/>
  <c r="Q3181" i="1"/>
  <c r="R3180" i="1"/>
  <c r="Q3180" i="1"/>
  <c r="R3179" i="1"/>
  <c r="Q3179" i="1"/>
  <c r="R3178" i="1"/>
  <c r="Q3178" i="1"/>
  <c r="R3177" i="1"/>
  <c r="Q3177" i="1"/>
  <c r="R3176" i="1"/>
  <c r="Q3176" i="1"/>
  <c r="R3175" i="1"/>
  <c r="Q3175" i="1"/>
  <c r="R3174" i="1"/>
  <c r="Q3174" i="1"/>
  <c r="R3173" i="1"/>
  <c r="Q3173" i="1"/>
  <c r="R3172" i="1"/>
  <c r="Q3172" i="1"/>
  <c r="R3171" i="1"/>
  <c r="Q3171" i="1"/>
  <c r="R3170" i="1"/>
  <c r="Q3170" i="1"/>
  <c r="R3169" i="1"/>
  <c r="Q3169" i="1"/>
  <c r="R3168" i="1"/>
  <c r="Q3168" i="1"/>
  <c r="R3167" i="1"/>
  <c r="Q3167" i="1"/>
  <c r="R3166" i="1"/>
  <c r="Q3166" i="1"/>
  <c r="R3165" i="1"/>
  <c r="Q3165" i="1"/>
  <c r="R3164" i="1"/>
  <c r="Q3164" i="1"/>
  <c r="R3163" i="1"/>
  <c r="Q3163" i="1"/>
  <c r="R3162" i="1"/>
  <c r="Q3162" i="1"/>
  <c r="R3161" i="1"/>
  <c r="Q3161" i="1"/>
  <c r="R3160" i="1"/>
  <c r="Q3160" i="1"/>
  <c r="R3159" i="1"/>
  <c r="Q3159" i="1"/>
  <c r="R3158" i="1"/>
  <c r="Q3158" i="1"/>
  <c r="R3157" i="1"/>
  <c r="Q3157" i="1"/>
  <c r="R3156" i="1"/>
  <c r="Q3156" i="1"/>
  <c r="R3155" i="1"/>
  <c r="Q3155" i="1"/>
  <c r="R3154" i="1"/>
  <c r="Q3154" i="1"/>
  <c r="R3153" i="1"/>
  <c r="Q3153" i="1"/>
  <c r="R3152" i="1"/>
  <c r="Q3152" i="1"/>
  <c r="R3151" i="1"/>
  <c r="Q3151" i="1"/>
  <c r="R3150" i="1"/>
  <c r="Q3150" i="1"/>
  <c r="R3149" i="1"/>
  <c r="Q3149" i="1"/>
  <c r="R3148" i="1"/>
  <c r="Q3148" i="1"/>
  <c r="R3147" i="1"/>
  <c r="Q3147" i="1"/>
  <c r="R3146" i="1"/>
  <c r="Q3146" i="1"/>
  <c r="R3145" i="1"/>
  <c r="Q3145" i="1"/>
  <c r="R3144" i="1"/>
  <c r="Q3144" i="1"/>
  <c r="R3143" i="1"/>
  <c r="Q3143" i="1"/>
  <c r="R3142" i="1"/>
  <c r="Q3142" i="1"/>
  <c r="R3141" i="1"/>
  <c r="Q3141" i="1"/>
  <c r="R3140" i="1"/>
  <c r="Q3140" i="1"/>
  <c r="R3139" i="1"/>
  <c r="Q3139" i="1"/>
  <c r="R3138" i="1"/>
  <c r="Q3138" i="1"/>
  <c r="R3137" i="1"/>
  <c r="Q3137" i="1"/>
  <c r="R3136" i="1"/>
  <c r="Q3136" i="1"/>
  <c r="R3135" i="1"/>
  <c r="Q3135" i="1"/>
  <c r="R3134" i="1"/>
  <c r="Q3134" i="1"/>
  <c r="R3133" i="1"/>
  <c r="Q3133" i="1"/>
  <c r="R3132" i="1"/>
  <c r="Q3132" i="1"/>
  <c r="R3131" i="1"/>
  <c r="Q3131" i="1"/>
  <c r="R3130" i="1"/>
  <c r="Q3130" i="1"/>
  <c r="R3129" i="1"/>
  <c r="Q3129" i="1"/>
  <c r="R3128" i="1"/>
  <c r="Q3128" i="1"/>
  <c r="R3127" i="1"/>
  <c r="Q3127" i="1"/>
  <c r="R3126" i="1"/>
  <c r="Q3126" i="1"/>
  <c r="R3125" i="1"/>
  <c r="Q3125" i="1"/>
  <c r="R3124" i="1"/>
  <c r="Q3124" i="1"/>
  <c r="R3123" i="1"/>
  <c r="Q3123" i="1"/>
  <c r="R3122" i="1"/>
  <c r="Q3122" i="1"/>
  <c r="R3121" i="1"/>
  <c r="Q3121" i="1"/>
  <c r="R3120" i="1"/>
  <c r="Q3120" i="1"/>
  <c r="R3119" i="1"/>
  <c r="Q3119" i="1"/>
  <c r="R3118" i="1"/>
  <c r="Q3118" i="1"/>
  <c r="R3117" i="1"/>
  <c r="Q3117" i="1"/>
  <c r="R3116" i="1"/>
  <c r="Q3116" i="1"/>
  <c r="R3115" i="1"/>
  <c r="Q3115" i="1"/>
  <c r="R3114" i="1"/>
  <c r="Q3114" i="1"/>
  <c r="R3113" i="1"/>
  <c r="Q3113" i="1"/>
  <c r="R3112" i="1"/>
  <c r="Q3112" i="1"/>
  <c r="R3111" i="1"/>
  <c r="Q3111" i="1"/>
  <c r="R3110" i="1"/>
  <c r="Q3110" i="1"/>
  <c r="R3109" i="1"/>
  <c r="Q3109" i="1"/>
  <c r="R3108" i="1"/>
  <c r="Q3108" i="1"/>
  <c r="R3107" i="1"/>
  <c r="Q3107" i="1"/>
  <c r="R3106" i="1"/>
  <c r="Q3106" i="1"/>
  <c r="R3105" i="1"/>
  <c r="Q3105" i="1"/>
  <c r="R3104" i="1"/>
  <c r="Q3104" i="1"/>
  <c r="R3103" i="1"/>
  <c r="Q3103" i="1"/>
  <c r="R3102" i="1"/>
  <c r="Q3102" i="1"/>
  <c r="R3101" i="1"/>
  <c r="Q3101" i="1"/>
  <c r="R3100" i="1"/>
  <c r="Q3100" i="1"/>
  <c r="R3099" i="1"/>
  <c r="Q3099" i="1"/>
  <c r="R3098" i="1"/>
  <c r="Q3098" i="1"/>
  <c r="R3097" i="1"/>
  <c r="Q3097" i="1"/>
  <c r="R3096" i="1"/>
  <c r="Q3096" i="1"/>
  <c r="R3095" i="1"/>
  <c r="Q3095" i="1"/>
  <c r="R3094" i="1"/>
  <c r="Q3094" i="1"/>
  <c r="R3093" i="1"/>
  <c r="Q3093" i="1"/>
  <c r="R3092" i="1"/>
  <c r="Q3092" i="1"/>
  <c r="R3091" i="1"/>
  <c r="Q3091" i="1"/>
  <c r="R3090" i="1"/>
  <c r="Q3090" i="1"/>
  <c r="R3089" i="1"/>
  <c r="Q3089" i="1"/>
  <c r="R3088" i="1"/>
  <c r="Q3088" i="1"/>
  <c r="R3087" i="1"/>
  <c r="Q3087" i="1"/>
  <c r="R3086" i="1"/>
  <c r="Q3086" i="1"/>
  <c r="R3085" i="1"/>
  <c r="Q3085" i="1"/>
  <c r="R3084" i="1"/>
  <c r="Q3084" i="1"/>
  <c r="R3083" i="1"/>
  <c r="Q3083" i="1"/>
  <c r="R3082" i="1"/>
  <c r="Q3082" i="1"/>
  <c r="R3081" i="1"/>
  <c r="Q3081" i="1"/>
  <c r="R3080" i="1"/>
  <c r="Q3080" i="1"/>
  <c r="R3079" i="1"/>
  <c r="Q3079" i="1"/>
  <c r="R3078" i="1"/>
  <c r="Q3078" i="1"/>
  <c r="R3077" i="1"/>
  <c r="Q3077" i="1"/>
  <c r="R3076" i="1"/>
  <c r="Q3076" i="1"/>
  <c r="R3075" i="1"/>
  <c r="Q3075" i="1"/>
  <c r="R3074" i="1"/>
  <c r="Q3074" i="1"/>
  <c r="R3073" i="1"/>
  <c r="Q3073" i="1"/>
  <c r="R3072" i="1"/>
  <c r="Q3072" i="1"/>
  <c r="R3071" i="1"/>
  <c r="Q3071" i="1"/>
  <c r="R3070" i="1"/>
  <c r="Q3070" i="1"/>
  <c r="R3069" i="1"/>
  <c r="Q3069" i="1"/>
  <c r="R3068" i="1"/>
  <c r="Q3068" i="1"/>
  <c r="R3067" i="1"/>
  <c r="Q3067" i="1"/>
  <c r="R3066" i="1"/>
  <c r="Q3066" i="1"/>
  <c r="R3065" i="1"/>
  <c r="Q3065" i="1"/>
  <c r="R3064" i="1"/>
  <c r="Q3064" i="1"/>
  <c r="R3063" i="1"/>
  <c r="Q3063" i="1"/>
  <c r="R3062" i="1"/>
  <c r="Q3062" i="1"/>
  <c r="R3061" i="1"/>
  <c r="Q3061" i="1"/>
  <c r="R3060" i="1"/>
  <c r="Q3060" i="1"/>
  <c r="R3059" i="1"/>
  <c r="Q3059" i="1"/>
  <c r="R3058" i="1"/>
  <c r="Q3058" i="1"/>
  <c r="R3057" i="1"/>
  <c r="Q3057" i="1"/>
  <c r="R3056" i="1"/>
  <c r="Q3056" i="1"/>
  <c r="R3055" i="1"/>
  <c r="Q3055" i="1"/>
  <c r="R3054" i="1"/>
  <c r="Q3054" i="1"/>
  <c r="R3053" i="1"/>
  <c r="Q3053" i="1"/>
  <c r="R3052" i="1"/>
  <c r="Q3052" i="1"/>
  <c r="R3051" i="1"/>
  <c r="Q3051" i="1"/>
  <c r="R3050" i="1"/>
  <c r="Q3050" i="1"/>
  <c r="R3049" i="1"/>
  <c r="Q3049" i="1"/>
  <c r="R3048" i="1"/>
  <c r="Q3048" i="1"/>
  <c r="R3047" i="1"/>
  <c r="Q3047" i="1"/>
  <c r="R3046" i="1"/>
  <c r="Q3046" i="1"/>
  <c r="R3045" i="1"/>
  <c r="Q3045" i="1"/>
  <c r="R3044" i="1"/>
  <c r="Q3044" i="1"/>
  <c r="R3043" i="1"/>
  <c r="Q3043" i="1"/>
  <c r="R3042" i="1"/>
  <c r="Q3042" i="1"/>
  <c r="R3041" i="1"/>
  <c r="Q3041" i="1"/>
  <c r="R3040" i="1"/>
  <c r="Q3040" i="1"/>
  <c r="R3039" i="1"/>
  <c r="Q3039" i="1"/>
  <c r="R3038" i="1"/>
  <c r="Q3038" i="1"/>
  <c r="R3037" i="1"/>
  <c r="Q3037" i="1"/>
  <c r="R3036" i="1"/>
  <c r="Q3036" i="1"/>
  <c r="R3035" i="1"/>
  <c r="Q3035" i="1"/>
  <c r="R3034" i="1"/>
  <c r="Q3034" i="1"/>
  <c r="R3033" i="1"/>
  <c r="Q3033" i="1"/>
  <c r="R3032" i="1"/>
  <c r="Q3032" i="1"/>
  <c r="R3031" i="1"/>
  <c r="Q3031" i="1"/>
  <c r="R3030" i="1"/>
  <c r="Q3030" i="1"/>
  <c r="R3029" i="1"/>
  <c r="Q3029" i="1"/>
  <c r="R3028" i="1"/>
  <c r="Q3028" i="1"/>
  <c r="R3027" i="1"/>
  <c r="Q3027" i="1"/>
  <c r="R3026" i="1"/>
  <c r="Q3026" i="1"/>
  <c r="R3025" i="1"/>
  <c r="Q3025" i="1"/>
  <c r="R3024" i="1"/>
  <c r="Q3024" i="1"/>
  <c r="R3023" i="1"/>
  <c r="Q3023" i="1"/>
  <c r="R3022" i="1"/>
  <c r="Q3022" i="1"/>
  <c r="R3021" i="1"/>
  <c r="Q3021" i="1"/>
  <c r="R3020" i="1"/>
  <c r="Q3020" i="1"/>
  <c r="R3019" i="1"/>
  <c r="Q3019" i="1"/>
  <c r="R3018" i="1"/>
  <c r="Q3018" i="1"/>
  <c r="R3017" i="1"/>
  <c r="Q3017" i="1"/>
  <c r="R3016" i="1"/>
  <c r="Q3016" i="1"/>
  <c r="R3015" i="1"/>
  <c r="Q3015" i="1"/>
  <c r="R3014" i="1"/>
  <c r="Q3014" i="1"/>
  <c r="R3013" i="1"/>
  <c r="Q3013" i="1"/>
  <c r="R3012" i="1"/>
  <c r="Q3012" i="1"/>
  <c r="R3011" i="1"/>
  <c r="Q3011" i="1"/>
  <c r="R3010" i="1"/>
  <c r="Q3010" i="1"/>
  <c r="R3009" i="1"/>
  <c r="Q3009" i="1"/>
  <c r="R3008" i="1"/>
  <c r="Q3008" i="1"/>
  <c r="R3007" i="1"/>
  <c r="Q3007" i="1"/>
  <c r="R3006" i="1"/>
  <c r="Q3006" i="1"/>
  <c r="R3005" i="1"/>
  <c r="Q3005" i="1"/>
  <c r="R3004" i="1"/>
  <c r="Q3004" i="1"/>
  <c r="R3003" i="1"/>
  <c r="Q3003" i="1"/>
  <c r="R3002" i="1"/>
  <c r="Q3002" i="1"/>
  <c r="R3001" i="1"/>
  <c r="Q3001" i="1"/>
  <c r="R3000" i="1"/>
  <c r="Q3000" i="1"/>
  <c r="R2999" i="1"/>
  <c r="Q2999" i="1"/>
  <c r="R2998" i="1"/>
  <c r="Q2998" i="1"/>
  <c r="R2997" i="1"/>
  <c r="Q2997" i="1"/>
  <c r="R2996" i="1"/>
  <c r="Q2996" i="1"/>
  <c r="R2995" i="1"/>
  <c r="Q2995" i="1"/>
  <c r="R2994" i="1"/>
  <c r="Q2994" i="1"/>
  <c r="R2993" i="1"/>
  <c r="Q2993" i="1"/>
  <c r="R2992" i="1"/>
  <c r="Q2992" i="1"/>
  <c r="R2991" i="1"/>
  <c r="Q2991" i="1"/>
  <c r="R2990" i="1"/>
  <c r="Q2990" i="1"/>
  <c r="R2989" i="1"/>
  <c r="Q2989" i="1"/>
  <c r="R2988" i="1"/>
  <c r="Q2988" i="1"/>
  <c r="R2987" i="1"/>
  <c r="Q2987" i="1"/>
  <c r="R2986" i="1"/>
  <c r="Q2986" i="1"/>
  <c r="R2985" i="1"/>
  <c r="Q2985" i="1"/>
  <c r="R2984" i="1"/>
  <c r="Q2984" i="1"/>
  <c r="R2983" i="1"/>
  <c r="Q2983" i="1"/>
  <c r="R2982" i="1"/>
  <c r="Q2982" i="1"/>
  <c r="R2981" i="1"/>
  <c r="Q2981" i="1"/>
  <c r="R2980" i="1"/>
  <c r="Q2980" i="1"/>
  <c r="R2979" i="1"/>
  <c r="Q2979" i="1"/>
  <c r="R2978" i="1"/>
  <c r="Q2978" i="1"/>
  <c r="R2977" i="1"/>
  <c r="Q2977" i="1"/>
  <c r="R2976" i="1"/>
  <c r="Q2976" i="1"/>
  <c r="R2975" i="1"/>
  <c r="Q2975" i="1"/>
  <c r="R2974" i="1"/>
  <c r="Q2974" i="1"/>
  <c r="R2973" i="1"/>
  <c r="Q2973" i="1"/>
  <c r="R2972" i="1"/>
  <c r="Q2972" i="1"/>
  <c r="R2971" i="1"/>
  <c r="Q2971" i="1"/>
  <c r="R2970" i="1"/>
  <c r="Q2970" i="1"/>
  <c r="R2969" i="1"/>
  <c r="Q2969" i="1"/>
  <c r="R2968" i="1"/>
  <c r="Q2968" i="1"/>
  <c r="R2967" i="1"/>
  <c r="Q2967" i="1"/>
  <c r="R2966" i="1"/>
  <c r="Q2966" i="1"/>
  <c r="R2965" i="1"/>
  <c r="Q2965" i="1"/>
  <c r="R2964" i="1"/>
  <c r="Q2964" i="1"/>
  <c r="R2963" i="1"/>
  <c r="Q2963" i="1"/>
  <c r="R2962" i="1"/>
  <c r="Q2962" i="1"/>
  <c r="R2961" i="1"/>
  <c r="Q2961" i="1"/>
  <c r="R2960" i="1"/>
  <c r="Q2960" i="1"/>
  <c r="R2959" i="1"/>
  <c r="Q2959" i="1"/>
  <c r="R2958" i="1"/>
  <c r="Q2958" i="1"/>
  <c r="R2957" i="1"/>
  <c r="Q2957" i="1"/>
  <c r="R2956" i="1"/>
  <c r="Q2956" i="1"/>
  <c r="R2955" i="1"/>
  <c r="Q2955" i="1"/>
  <c r="R2954" i="1"/>
  <c r="Q2954" i="1"/>
  <c r="R2953" i="1"/>
  <c r="Q2953" i="1"/>
  <c r="R2952" i="1"/>
  <c r="Q2952" i="1"/>
  <c r="R2951" i="1"/>
  <c r="Q2951" i="1"/>
  <c r="R2950" i="1"/>
  <c r="Q2950" i="1"/>
  <c r="R2949" i="1"/>
  <c r="Q2949" i="1"/>
  <c r="R2948" i="1"/>
  <c r="Q2948" i="1"/>
  <c r="R2947" i="1"/>
  <c r="Q2947" i="1"/>
  <c r="R2946" i="1"/>
  <c r="Q2946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2" i="1"/>
</calcChain>
</file>

<file path=xl/sharedStrings.xml><?xml version="1.0" encoding="utf-8"?>
<sst xmlns="http://schemas.openxmlformats.org/spreadsheetml/2006/main" count="8855" uniqueCount="31">
  <si>
    <t>Age</t>
  </si>
  <si>
    <t>DailyRate</t>
  </si>
  <si>
    <t>Department</t>
  </si>
  <si>
    <t>Gender</t>
  </si>
  <si>
    <t>HourlyRate</t>
  </si>
  <si>
    <t>JobRole</t>
  </si>
  <si>
    <t>MonthlyIncome</t>
  </si>
  <si>
    <t>MonthlyRate</t>
  </si>
  <si>
    <t>PercentSalaryHike</t>
  </si>
  <si>
    <t>TotalWorkingYears</t>
  </si>
  <si>
    <t>YearsAtCompany</t>
  </si>
  <si>
    <t>YearsInCurrentRole</t>
  </si>
  <si>
    <t>YearsSinceLastPromotion</t>
  </si>
  <si>
    <t>YearsWithCurrManager</t>
  </si>
  <si>
    <t>Sales</t>
  </si>
  <si>
    <t>Female</t>
  </si>
  <si>
    <t>Sales Executive</t>
  </si>
  <si>
    <t>Research &amp; Development</t>
  </si>
  <si>
    <t>Male</t>
  </si>
  <si>
    <t>Research Scientist</t>
  </si>
  <si>
    <t>Laboratory Technician</t>
  </si>
  <si>
    <t>Manufacturing Director</t>
  </si>
  <si>
    <t>Healthcare Representative</t>
  </si>
  <si>
    <t>Manager</t>
  </si>
  <si>
    <t>Sales Representative</t>
  </si>
  <si>
    <t>Research Director</t>
  </si>
  <si>
    <t>Human Resources</t>
  </si>
  <si>
    <t>Bonus</t>
  </si>
  <si>
    <t>Annual Salary</t>
  </si>
  <si>
    <t>Experience Ratio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</si>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</sst>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11.558173032405" createdVersion="8" refreshedVersion="8" minRefreshableVersion="3" recordCount="1470" xr:uid="{35F4BE1E-52CC-47CD-8A15-759EB2285A8F}">
  <cacheSource type="worksheet">
    <worksheetSource ref="A1:N1471" sheet="WA_Fn-UseC_-HR-Employee-Attriti"/>
  </cacheSource>
  <cacheFields count="31">
    <cacheField name="Age" numFmtId="0">
      <sharedItems containsSemiMixedTypes="0" containsString="0" containsNumber="1" containsInteger="1" minValue="18" maxValue="60"/>
    </cacheField>
    <cacheField name="Attrition" numFmtId="0">
      <sharedItems/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/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s v="Yes"/>
    <s v="Travel_Rarely"/>
    <n v="1102"/>
    <s v="Sales"/>
    <n v="1"/>
    <n v="2"/>
    <s v="Life Sciences"/>
    <n v="2"/>
    <s v="Male"/>
    <n v="94"/>
    <n v="3"/>
    <n v="2"/>
    <s v="Sales Executive"/>
    <n v="4"/>
    <s v="Single"/>
    <n v="5993"/>
    <n v="19479"/>
    <n v="8"/>
    <s v="Yes"/>
    <n v="11"/>
    <n v="3"/>
    <n v="1"/>
    <n v="0"/>
    <n v="8"/>
    <n v="0"/>
    <n v="1"/>
    <n v="6"/>
    <n v="4"/>
    <n v="0"/>
    <n v="5"/>
  </r>
  <r>
    <n v="49"/>
    <s v="No"/>
    <s v="Travel_Frequently"/>
    <n v="279"/>
    <s v="Research &amp; Development"/>
    <n v="8"/>
    <n v="1"/>
    <s v="Life Sciences"/>
    <n v="3"/>
    <s v="Male"/>
    <n v="61"/>
    <n v="2"/>
    <n v="2"/>
    <s v="Research Scientist"/>
    <n v="2"/>
    <s v="Married"/>
    <n v="5130"/>
    <n v="24907"/>
    <n v="1"/>
    <s v="No"/>
    <n v="23"/>
    <n v="4"/>
    <n v="4"/>
    <n v="1"/>
    <n v="10"/>
    <n v="3"/>
    <n v="3"/>
    <n v="10"/>
    <n v="7"/>
    <n v="1"/>
    <n v="7"/>
  </r>
  <r>
    <n v="37"/>
    <s v="Yes"/>
    <s v="Travel_Rarely"/>
    <n v="1373"/>
    <s v="Research &amp; Development"/>
    <n v="2"/>
    <n v="2"/>
    <s v="Other"/>
    <n v="4"/>
    <s v="Male"/>
    <n v="92"/>
    <n v="2"/>
    <n v="1"/>
    <s v="Laboratory Technician"/>
    <n v="3"/>
    <s v="Single"/>
    <n v="2090"/>
    <n v="2396"/>
    <n v="6"/>
    <s v="Yes"/>
    <n v="15"/>
    <n v="3"/>
    <n v="2"/>
    <n v="0"/>
    <n v="7"/>
    <n v="3"/>
    <n v="3"/>
    <n v="0"/>
    <n v="0"/>
    <n v="0"/>
    <n v="0"/>
  </r>
  <r>
    <n v="33"/>
    <s v="No"/>
    <s v="Travel_Frequently"/>
    <n v="1392"/>
    <s v="Research &amp; Development"/>
    <n v="3"/>
    <n v="4"/>
    <s v="Life Sciences"/>
    <n v="4"/>
    <s v="Female"/>
    <n v="56"/>
    <n v="3"/>
    <n v="1"/>
    <s v="Research Scientist"/>
    <n v="3"/>
    <s v="Married"/>
    <n v="2909"/>
    <n v="23159"/>
    <n v="1"/>
    <s v="Yes"/>
    <n v="11"/>
    <n v="3"/>
    <n v="3"/>
    <n v="0"/>
    <n v="8"/>
    <n v="3"/>
    <n v="3"/>
    <n v="8"/>
    <n v="7"/>
    <n v="3"/>
    <n v="0"/>
  </r>
  <r>
    <n v="27"/>
    <s v="No"/>
    <s v="Travel_Rarely"/>
    <n v="591"/>
    <s v="Research &amp; Development"/>
    <n v="2"/>
    <n v="1"/>
    <s v="Medical"/>
    <n v="1"/>
    <s v="Male"/>
    <n v="40"/>
    <n v="3"/>
    <n v="1"/>
    <s v="Laboratory Technician"/>
    <n v="2"/>
    <s v="Married"/>
    <n v="3468"/>
    <n v="16632"/>
    <n v="9"/>
    <s v="No"/>
    <n v="12"/>
    <n v="3"/>
    <n v="4"/>
    <n v="1"/>
    <n v="6"/>
    <n v="3"/>
    <n v="3"/>
    <n v="2"/>
    <n v="2"/>
    <n v="2"/>
    <n v="2"/>
  </r>
  <r>
    <n v="32"/>
    <s v="No"/>
    <s v="Travel_Frequently"/>
    <n v="1005"/>
    <s v="Research &amp; Development"/>
    <n v="2"/>
    <n v="2"/>
    <s v="Life Sciences"/>
    <n v="4"/>
    <s v="Male"/>
    <n v="79"/>
    <n v="3"/>
    <n v="1"/>
    <s v="Laboratory Technician"/>
    <n v="4"/>
    <s v="Single"/>
    <n v="3068"/>
    <n v="11864"/>
    <n v="0"/>
    <s v="No"/>
    <n v="13"/>
    <n v="3"/>
    <n v="3"/>
    <n v="0"/>
    <n v="8"/>
    <n v="2"/>
    <n v="2"/>
    <n v="7"/>
    <n v="7"/>
    <n v="3"/>
    <n v="6"/>
  </r>
  <r>
    <n v="59"/>
    <s v="No"/>
    <s v="Travel_Rarely"/>
    <n v="1324"/>
    <s v="Research &amp; Development"/>
    <n v="3"/>
    <n v="3"/>
    <s v="Medical"/>
    <n v="3"/>
    <s v="Female"/>
    <n v="81"/>
    <n v="4"/>
    <n v="1"/>
    <s v="Laboratory Technician"/>
    <n v="1"/>
    <s v="Married"/>
    <n v="2670"/>
    <n v="9964"/>
    <n v="4"/>
    <s v="Yes"/>
    <n v="20"/>
    <n v="4"/>
    <n v="1"/>
    <n v="3"/>
    <n v="12"/>
    <n v="3"/>
    <n v="2"/>
    <n v="1"/>
    <n v="0"/>
    <n v="0"/>
    <n v="0"/>
  </r>
  <r>
    <n v="30"/>
    <s v="No"/>
    <s v="Travel_Rarely"/>
    <n v="1358"/>
    <s v="Research &amp; Development"/>
    <n v="24"/>
    <n v="1"/>
    <s v="Life Sciences"/>
    <n v="4"/>
    <s v="Male"/>
    <n v="67"/>
    <n v="3"/>
    <n v="1"/>
    <s v="Laboratory Technician"/>
    <n v="3"/>
    <s v="Divorced"/>
    <n v="2693"/>
    <n v="13335"/>
    <n v="1"/>
    <s v="No"/>
    <n v="22"/>
    <n v="4"/>
    <n v="2"/>
    <n v="1"/>
    <n v="1"/>
    <n v="2"/>
    <n v="3"/>
    <n v="1"/>
    <n v="0"/>
    <n v="0"/>
    <n v="0"/>
  </r>
  <r>
    <n v="38"/>
    <s v="No"/>
    <s v="Travel_Frequently"/>
    <n v="216"/>
    <s v="Research &amp; Development"/>
    <n v="23"/>
    <n v="3"/>
    <s v="Life Sciences"/>
    <n v="4"/>
    <s v="Male"/>
    <n v="44"/>
    <n v="2"/>
    <n v="3"/>
    <s v="Manufacturing Director"/>
    <n v="3"/>
    <s v="Single"/>
    <n v="9526"/>
    <n v="8787"/>
    <n v="0"/>
    <s v="No"/>
    <n v="21"/>
    <n v="4"/>
    <n v="2"/>
    <n v="0"/>
    <n v="10"/>
    <n v="2"/>
    <n v="3"/>
    <n v="9"/>
    <n v="7"/>
    <n v="1"/>
    <n v="8"/>
  </r>
  <r>
    <n v="36"/>
    <s v="No"/>
    <s v="Travel_Rarely"/>
    <n v="1299"/>
    <s v="Research &amp; Development"/>
    <n v="27"/>
    <n v="3"/>
    <s v="Medical"/>
    <n v="3"/>
    <s v="Male"/>
    <n v="94"/>
    <n v="3"/>
    <n v="2"/>
    <s v="Healthcare Representative"/>
    <n v="3"/>
    <s v="Married"/>
    <n v="5237"/>
    <n v="16577"/>
    <n v="6"/>
    <s v="No"/>
    <n v="13"/>
    <n v="3"/>
    <n v="2"/>
    <n v="2"/>
    <n v="17"/>
    <n v="3"/>
    <n v="2"/>
    <n v="7"/>
    <n v="7"/>
    <n v="7"/>
    <n v="7"/>
  </r>
  <r>
    <n v="35"/>
    <s v="No"/>
    <s v="Travel_Rarely"/>
    <n v="809"/>
    <s v="Research &amp; Development"/>
    <n v="16"/>
    <n v="3"/>
    <s v="Medical"/>
    <n v="1"/>
    <s v="Male"/>
    <n v="84"/>
    <n v="4"/>
    <n v="1"/>
    <s v="Laboratory Technician"/>
    <n v="2"/>
    <s v="Married"/>
    <n v="2426"/>
    <n v="16479"/>
    <n v="0"/>
    <s v="No"/>
    <n v="13"/>
    <n v="3"/>
    <n v="3"/>
    <n v="1"/>
    <n v="6"/>
    <n v="5"/>
    <n v="3"/>
    <n v="5"/>
    <n v="4"/>
    <n v="0"/>
    <n v="3"/>
  </r>
  <r>
    <n v="29"/>
    <s v="No"/>
    <s v="Travel_Rarely"/>
    <n v="153"/>
    <s v="Research &amp; Development"/>
    <n v="15"/>
    <n v="2"/>
    <s v="Life Sciences"/>
    <n v="4"/>
    <s v="Female"/>
    <n v="49"/>
    <n v="2"/>
    <n v="2"/>
    <s v="Laboratory Technician"/>
    <n v="3"/>
    <s v="Single"/>
    <n v="4193"/>
    <n v="12682"/>
    <n v="0"/>
    <s v="Yes"/>
    <n v="12"/>
    <n v="3"/>
    <n v="4"/>
    <n v="0"/>
    <n v="10"/>
    <n v="3"/>
    <n v="3"/>
    <n v="9"/>
    <n v="5"/>
    <n v="0"/>
    <n v="8"/>
  </r>
  <r>
    <n v="31"/>
    <s v="No"/>
    <s v="Travel_Rarely"/>
    <n v="670"/>
    <s v="Research &amp; Development"/>
    <n v="26"/>
    <n v="1"/>
    <s v="Life Sciences"/>
    <n v="1"/>
    <s v="Male"/>
    <n v="31"/>
    <n v="3"/>
    <n v="1"/>
    <s v="Research Scientist"/>
    <n v="3"/>
    <s v="Divorced"/>
    <n v="2911"/>
    <n v="15170"/>
    <n v="1"/>
    <s v="No"/>
    <n v="17"/>
    <n v="3"/>
    <n v="4"/>
    <n v="1"/>
    <n v="5"/>
    <n v="1"/>
    <n v="2"/>
    <n v="5"/>
    <n v="2"/>
    <n v="4"/>
    <n v="3"/>
  </r>
  <r>
    <n v="34"/>
    <s v="No"/>
    <s v="Travel_Rarely"/>
    <n v="1346"/>
    <s v="Research &amp; Development"/>
    <n v="19"/>
    <n v="2"/>
    <s v="Medical"/>
    <n v="2"/>
    <s v="Male"/>
    <n v="93"/>
    <n v="3"/>
    <n v="1"/>
    <s v="Laboratory Technician"/>
    <n v="4"/>
    <s v="Divorced"/>
    <n v="2661"/>
    <n v="8758"/>
    <n v="0"/>
    <s v="No"/>
    <n v="11"/>
    <n v="3"/>
    <n v="3"/>
    <n v="1"/>
    <n v="3"/>
    <n v="2"/>
    <n v="3"/>
    <n v="2"/>
    <n v="2"/>
    <n v="1"/>
    <n v="2"/>
  </r>
  <r>
    <n v="28"/>
    <s v="Yes"/>
    <s v="Travel_Rarely"/>
    <n v="103"/>
    <s v="Research &amp; Development"/>
    <n v="24"/>
    <n v="3"/>
    <s v="Life Sciences"/>
    <n v="3"/>
    <s v="Male"/>
    <n v="50"/>
    <n v="2"/>
    <n v="1"/>
    <s v="Laboratory Technician"/>
    <n v="3"/>
    <s v="Single"/>
    <n v="2028"/>
    <n v="12947"/>
    <n v="5"/>
    <s v="Yes"/>
    <n v="14"/>
    <n v="3"/>
    <n v="2"/>
    <n v="0"/>
    <n v="6"/>
    <n v="4"/>
    <n v="3"/>
    <n v="4"/>
    <n v="2"/>
    <n v="0"/>
    <n v="3"/>
  </r>
  <r>
    <n v="29"/>
    <s v="No"/>
    <s v="Travel_Rarely"/>
    <n v="1389"/>
    <s v="Research &amp; Development"/>
    <n v="21"/>
    <n v="4"/>
    <s v="Life Sciences"/>
    <n v="2"/>
    <s v="Female"/>
    <n v="51"/>
    <n v="4"/>
    <n v="3"/>
    <s v="Manufacturing Director"/>
    <n v="1"/>
    <s v="Divorced"/>
    <n v="9980"/>
    <n v="10195"/>
    <n v="1"/>
    <s v="No"/>
    <n v="11"/>
    <n v="3"/>
    <n v="3"/>
    <n v="1"/>
    <n v="10"/>
    <n v="1"/>
    <n v="3"/>
    <n v="10"/>
    <n v="9"/>
    <n v="8"/>
    <n v="8"/>
  </r>
  <r>
    <n v="32"/>
    <s v="No"/>
    <s v="Travel_Rarely"/>
    <n v="334"/>
    <s v="Research &amp; Development"/>
    <n v="5"/>
    <n v="2"/>
    <s v="Life Sciences"/>
    <n v="1"/>
    <s v="Male"/>
    <n v="80"/>
    <n v="4"/>
    <n v="1"/>
    <s v="Research Scientist"/>
    <n v="2"/>
    <s v="Divorced"/>
    <n v="3298"/>
    <n v="15053"/>
    <n v="0"/>
    <s v="Yes"/>
    <n v="12"/>
    <n v="3"/>
    <n v="4"/>
    <n v="2"/>
    <n v="7"/>
    <n v="5"/>
    <n v="2"/>
    <n v="6"/>
    <n v="2"/>
    <n v="0"/>
    <n v="5"/>
  </r>
  <r>
    <n v="22"/>
    <s v="No"/>
    <s v="Non-Travel"/>
    <n v="1123"/>
    <s v="Research &amp; Development"/>
    <n v="16"/>
    <n v="2"/>
    <s v="Medical"/>
    <n v="4"/>
    <s v="Male"/>
    <n v="96"/>
    <n v="4"/>
    <n v="1"/>
    <s v="Laboratory Technician"/>
    <n v="4"/>
    <s v="Divorced"/>
    <n v="2935"/>
    <n v="7324"/>
    <n v="1"/>
    <s v="Yes"/>
    <n v="13"/>
    <n v="3"/>
    <n v="2"/>
    <n v="2"/>
    <n v="1"/>
    <n v="2"/>
    <n v="2"/>
    <n v="1"/>
    <n v="0"/>
    <n v="0"/>
    <n v="0"/>
  </r>
  <r>
    <n v="53"/>
    <s v="No"/>
    <s v="Travel_Rarely"/>
    <n v="1219"/>
    <s v="Sales"/>
    <n v="2"/>
    <n v="4"/>
    <s v="Life Sciences"/>
    <n v="1"/>
    <s v="Female"/>
    <n v="78"/>
    <n v="2"/>
    <n v="4"/>
    <s v="Manager"/>
    <n v="4"/>
    <s v="Married"/>
    <n v="15427"/>
    <n v="22021"/>
    <n v="2"/>
    <s v="No"/>
    <n v="16"/>
    <n v="3"/>
    <n v="3"/>
    <n v="0"/>
    <n v="31"/>
    <n v="3"/>
    <n v="3"/>
    <n v="25"/>
    <n v="8"/>
    <n v="3"/>
    <n v="7"/>
  </r>
  <r>
    <n v="38"/>
    <s v="No"/>
    <s v="Travel_Rarely"/>
    <n v="371"/>
    <s v="Research &amp; Development"/>
    <n v="2"/>
    <n v="3"/>
    <s v="Life Sciences"/>
    <n v="4"/>
    <s v="Male"/>
    <n v="45"/>
    <n v="3"/>
    <n v="1"/>
    <s v="Research Scientist"/>
    <n v="4"/>
    <s v="Single"/>
    <n v="3944"/>
    <n v="4306"/>
    <n v="5"/>
    <s v="Yes"/>
    <n v="11"/>
    <n v="3"/>
    <n v="3"/>
    <n v="0"/>
    <n v="6"/>
    <n v="3"/>
    <n v="3"/>
    <n v="3"/>
    <n v="2"/>
    <n v="1"/>
    <n v="2"/>
  </r>
  <r>
    <n v="24"/>
    <s v="No"/>
    <s v="Non-Travel"/>
    <n v="673"/>
    <s v="Research &amp; Development"/>
    <n v="11"/>
    <n v="2"/>
    <s v="Other"/>
    <n v="1"/>
    <s v="Female"/>
    <n v="96"/>
    <n v="4"/>
    <n v="2"/>
    <s v="Manufacturing Director"/>
    <n v="3"/>
    <s v="Divorced"/>
    <n v="4011"/>
    <n v="8232"/>
    <n v="0"/>
    <s v="No"/>
    <n v="18"/>
    <n v="3"/>
    <n v="4"/>
    <n v="1"/>
    <n v="5"/>
    <n v="5"/>
    <n v="2"/>
    <n v="4"/>
    <n v="2"/>
    <n v="1"/>
    <n v="3"/>
  </r>
  <r>
    <n v="36"/>
    <s v="Yes"/>
    <s v="Travel_Rarely"/>
    <n v="1218"/>
    <s v="Sales"/>
    <n v="9"/>
    <n v="4"/>
    <s v="Life Sciences"/>
    <n v="3"/>
    <s v="Male"/>
    <n v="82"/>
    <n v="2"/>
    <n v="1"/>
    <s v="Sales Representative"/>
    <n v="1"/>
    <s v="Single"/>
    <n v="3407"/>
    <n v="6986"/>
    <n v="7"/>
    <s v="No"/>
    <n v="23"/>
    <n v="4"/>
    <n v="2"/>
    <n v="0"/>
    <n v="10"/>
    <n v="4"/>
    <n v="3"/>
    <n v="5"/>
    <n v="3"/>
    <n v="0"/>
    <n v="3"/>
  </r>
  <r>
    <n v="34"/>
    <s v="No"/>
    <s v="Travel_Rarely"/>
    <n v="419"/>
    <s v="Research &amp; Development"/>
    <n v="7"/>
    <n v="4"/>
    <s v="Life Sciences"/>
    <n v="1"/>
    <s v="Female"/>
    <n v="53"/>
    <n v="3"/>
    <n v="3"/>
    <s v="Research Director"/>
    <n v="2"/>
    <s v="Single"/>
    <n v="11994"/>
    <n v="21293"/>
    <n v="0"/>
    <s v="No"/>
    <n v="11"/>
    <n v="3"/>
    <n v="3"/>
    <n v="0"/>
    <n v="13"/>
    <n v="4"/>
    <n v="3"/>
    <n v="12"/>
    <n v="6"/>
    <n v="2"/>
    <n v="11"/>
  </r>
  <r>
    <n v="21"/>
    <s v="No"/>
    <s v="Travel_Rarely"/>
    <n v="391"/>
    <s v="Research &amp; Development"/>
    <n v="15"/>
    <n v="2"/>
    <s v="Life Sciences"/>
    <n v="3"/>
    <s v="Male"/>
    <n v="96"/>
    <n v="3"/>
    <n v="1"/>
    <s v="Research Scientist"/>
    <n v="4"/>
    <s v="Single"/>
    <n v="1232"/>
    <n v="19281"/>
    <n v="1"/>
    <s v="No"/>
    <n v="14"/>
    <n v="3"/>
    <n v="4"/>
    <n v="0"/>
    <n v="0"/>
    <n v="6"/>
    <n v="3"/>
    <n v="0"/>
    <n v="0"/>
    <n v="0"/>
    <n v="0"/>
  </r>
  <r>
    <n v="34"/>
    <s v="Yes"/>
    <s v="Travel_Rarely"/>
    <n v="699"/>
    <s v="Research &amp; Development"/>
    <n v="6"/>
    <n v="1"/>
    <s v="Medical"/>
    <n v="2"/>
    <s v="Male"/>
    <n v="83"/>
    <n v="3"/>
    <n v="1"/>
    <s v="Research Scientist"/>
    <n v="1"/>
    <s v="Single"/>
    <n v="2960"/>
    <n v="17102"/>
    <n v="2"/>
    <s v="No"/>
    <n v="11"/>
    <n v="3"/>
    <n v="3"/>
    <n v="0"/>
    <n v="8"/>
    <n v="2"/>
    <n v="3"/>
    <n v="4"/>
    <n v="2"/>
    <n v="1"/>
    <n v="3"/>
  </r>
  <r>
    <n v="53"/>
    <s v="No"/>
    <s v="Travel_Rarely"/>
    <n v="1282"/>
    <s v="Research &amp; Development"/>
    <n v="5"/>
    <n v="3"/>
    <s v="Other"/>
    <n v="3"/>
    <s v="Female"/>
    <n v="58"/>
    <n v="3"/>
    <n v="5"/>
    <s v="Manager"/>
    <n v="3"/>
    <s v="Divorced"/>
    <n v="19094"/>
    <n v="10735"/>
    <n v="4"/>
    <s v="No"/>
    <n v="11"/>
    <n v="3"/>
    <n v="4"/>
    <n v="1"/>
    <n v="26"/>
    <n v="3"/>
    <n v="2"/>
    <n v="14"/>
    <n v="13"/>
    <n v="4"/>
    <n v="8"/>
  </r>
  <r>
    <n v="32"/>
    <s v="Yes"/>
    <s v="Travel_Frequently"/>
    <n v="1125"/>
    <s v="Research &amp; Development"/>
    <n v="16"/>
    <n v="1"/>
    <s v="Life Sciences"/>
    <n v="2"/>
    <s v="Female"/>
    <n v="72"/>
    <n v="1"/>
    <n v="1"/>
    <s v="Research Scientist"/>
    <n v="1"/>
    <s v="Single"/>
    <n v="3919"/>
    <n v="4681"/>
    <n v="1"/>
    <s v="Yes"/>
    <n v="22"/>
    <n v="4"/>
    <n v="2"/>
    <n v="0"/>
    <n v="10"/>
    <n v="5"/>
    <n v="3"/>
    <n v="10"/>
    <n v="2"/>
    <n v="6"/>
    <n v="7"/>
  </r>
  <r>
    <n v="42"/>
    <s v="No"/>
    <s v="Travel_Rarely"/>
    <n v="691"/>
    <s v="Sales"/>
    <n v="8"/>
    <n v="4"/>
    <s v="Marketing"/>
    <n v="3"/>
    <s v="Male"/>
    <n v="48"/>
    <n v="3"/>
    <n v="2"/>
    <s v="Sales Executive"/>
    <n v="2"/>
    <s v="Married"/>
    <n v="6825"/>
    <n v="21173"/>
    <n v="0"/>
    <s v="No"/>
    <n v="11"/>
    <n v="3"/>
    <n v="4"/>
    <n v="1"/>
    <n v="10"/>
    <n v="2"/>
    <n v="3"/>
    <n v="9"/>
    <n v="7"/>
    <n v="4"/>
    <n v="2"/>
  </r>
  <r>
    <n v="44"/>
    <s v="No"/>
    <s v="Travel_Rarely"/>
    <n v="477"/>
    <s v="Research &amp; Development"/>
    <n v="7"/>
    <n v="4"/>
    <s v="Medical"/>
    <n v="1"/>
    <s v="Female"/>
    <n v="42"/>
    <n v="2"/>
    <n v="3"/>
    <s v="Healthcare Representative"/>
    <n v="4"/>
    <s v="Married"/>
    <n v="10248"/>
    <n v="2094"/>
    <n v="3"/>
    <s v="No"/>
    <n v="14"/>
    <n v="3"/>
    <n v="4"/>
    <n v="1"/>
    <n v="24"/>
    <n v="4"/>
    <n v="3"/>
    <n v="22"/>
    <n v="6"/>
    <n v="5"/>
    <n v="17"/>
  </r>
  <r>
    <n v="46"/>
    <s v="No"/>
    <s v="Travel_Rarely"/>
    <n v="705"/>
    <s v="Sales"/>
    <n v="2"/>
    <n v="4"/>
    <s v="Marketing"/>
    <n v="2"/>
    <s v="Female"/>
    <n v="83"/>
    <n v="3"/>
    <n v="5"/>
    <s v="Manager"/>
    <n v="1"/>
    <s v="Single"/>
    <n v="18947"/>
    <n v="22822"/>
    <n v="3"/>
    <s v="No"/>
    <n v="12"/>
    <n v="3"/>
    <n v="4"/>
    <n v="0"/>
    <n v="22"/>
    <n v="2"/>
    <n v="2"/>
    <n v="2"/>
    <n v="2"/>
    <n v="2"/>
    <n v="1"/>
  </r>
  <r>
    <n v="33"/>
    <s v="No"/>
    <s v="Travel_Rarely"/>
    <n v="924"/>
    <s v="Research &amp; Development"/>
    <n v="2"/>
    <n v="3"/>
    <s v="Medical"/>
    <n v="3"/>
    <s v="Male"/>
    <n v="78"/>
    <n v="3"/>
    <n v="1"/>
    <s v="Laboratory Technician"/>
    <n v="4"/>
    <s v="Single"/>
    <n v="2496"/>
    <n v="6670"/>
    <n v="4"/>
    <s v="No"/>
    <n v="11"/>
    <n v="3"/>
    <n v="4"/>
    <n v="0"/>
    <n v="7"/>
    <n v="3"/>
    <n v="3"/>
    <n v="1"/>
    <n v="1"/>
    <n v="0"/>
    <n v="0"/>
  </r>
  <r>
    <n v="44"/>
    <s v="No"/>
    <s v="Travel_Rarely"/>
    <n v="1459"/>
    <s v="Research &amp; Development"/>
    <n v="10"/>
    <n v="4"/>
    <s v="Other"/>
    <n v="4"/>
    <s v="Male"/>
    <n v="41"/>
    <n v="3"/>
    <n v="2"/>
    <s v="Healthcare Representative"/>
    <n v="4"/>
    <s v="Married"/>
    <n v="6465"/>
    <n v="19121"/>
    <n v="2"/>
    <s v="Yes"/>
    <n v="13"/>
    <n v="3"/>
    <n v="4"/>
    <n v="0"/>
    <n v="9"/>
    <n v="5"/>
    <n v="4"/>
    <n v="4"/>
    <n v="2"/>
    <n v="1"/>
    <n v="3"/>
  </r>
  <r>
    <n v="30"/>
    <s v="No"/>
    <s v="Travel_Rarely"/>
    <n v="125"/>
    <s v="Research &amp; Development"/>
    <n v="9"/>
    <n v="2"/>
    <s v="Medical"/>
    <n v="4"/>
    <s v="Male"/>
    <n v="83"/>
    <n v="2"/>
    <n v="1"/>
    <s v="Laboratory Technician"/>
    <n v="3"/>
    <s v="Single"/>
    <n v="2206"/>
    <n v="16117"/>
    <n v="1"/>
    <s v="No"/>
    <n v="13"/>
    <n v="3"/>
    <n v="1"/>
    <n v="0"/>
    <n v="10"/>
    <n v="5"/>
    <n v="3"/>
    <n v="10"/>
    <n v="0"/>
    <n v="1"/>
    <n v="8"/>
  </r>
  <r>
    <n v="39"/>
    <s v="Yes"/>
    <s v="Travel_Rarely"/>
    <n v="895"/>
    <s v="Sales"/>
    <n v="5"/>
    <n v="3"/>
    <s v="Technical Degree"/>
    <n v="4"/>
    <s v="Male"/>
    <n v="56"/>
    <n v="3"/>
    <n v="2"/>
    <s v="Sales Representative"/>
    <n v="4"/>
    <s v="Married"/>
    <n v="2086"/>
    <n v="3335"/>
    <n v="3"/>
    <s v="No"/>
    <n v="14"/>
    <n v="3"/>
    <n v="3"/>
    <n v="1"/>
    <n v="19"/>
    <n v="6"/>
    <n v="4"/>
    <n v="1"/>
    <n v="0"/>
    <n v="0"/>
    <n v="0"/>
  </r>
  <r>
    <n v="24"/>
    <s v="Yes"/>
    <s v="Travel_Rarely"/>
    <n v="813"/>
    <s v="Research &amp; Development"/>
    <n v="1"/>
    <n v="3"/>
    <s v="Medical"/>
    <n v="2"/>
    <s v="Male"/>
    <n v="61"/>
    <n v="3"/>
    <n v="1"/>
    <s v="Research Scientist"/>
    <n v="4"/>
    <s v="Married"/>
    <n v="2293"/>
    <n v="3020"/>
    <n v="2"/>
    <s v="Yes"/>
    <n v="16"/>
    <n v="3"/>
    <n v="1"/>
    <n v="1"/>
    <n v="6"/>
    <n v="2"/>
    <n v="2"/>
    <n v="2"/>
    <n v="0"/>
    <n v="2"/>
    <n v="0"/>
  </r>
  <r>
    <n v="43"/>
    <s v="No"/>
    <s v="Travel_Rarely"/>
    <n v="1273"/>
    <s v="Research &amp; Development"/>
    <n v="2"/>
    <n v="2"/>
    <s v="Medical"/>
    <n v="4"/>
    <s v="Female"/>
    <n v="72"/>
    <n v="4"/>
    <n v="1"/>
    <s v="Research Scientist"/>
    <n v="3"/>
    <s v="Divorced"/>
    <n v="2645"/>
    <n v="21923"/>
    <n v="1"/>
    <s v="No"/>
    <n v="12"/>
    <n v="3"/>
    <n v="4"/>
    <n v="2"/>
    <n v="6"/>
    <n v="3"/>
    <n v="2"/>
    <n v="5"/>
    <n v="3"/>
    <n v="1"/>
    <n v="4"/>
  </r>
  <r>
    <n v="50"/>
    <s v="Yes"/>
    <s v="Travel_Rarely"/>
    <n v="869"/>
    <s v="Sales"/>
    <n v="3"/>
    <n v="2"/>
    <s v="Marketing"/>
    <n v="1"/>
    <s v="Male"/>
    <n v="86"/>
    <n v="2"/>
    <n v="1"/>
    <s v="Sales Representative"/>
    <n v="3"/>
    <s v="Married"/>
    <n v="2683"/>
    <n v="3810"/>
    <n v="1"/>
    <s v="Yes"/>
    <n v="14"/>
    <n v="3"/>
    <n v="3"/>
    <n v="0"/>
    <n v="3"/>
    <n v="2"/>
    <n v="3"/>
    <n v="3"/>
    <n v="2"/>
    <n v="0"/>
    <n v="2"/>
  </r>
  <r>
    <n v="35"/>
    <s v="No"/>
    <s v="Travel_Rarely"/>
    <n v="890"/>
    <s v="Sales"/>
    <n v="2"/>
    <n v="3"/>
    <s v="Marketing"/>
    <n v="4"/>
    <s v="Female"/>
    <n v="97"/>
    <n v="3"/>
    <n v="1"/>
    <s v="Sales Representative"/>
    <n v="4"/>
    <s v="Married"/>
    <n v="2014"/>
    <n v="9687"/>
    <n v="1"/>
    <s v="No"/>
    <n v="13"/>
    <n v="3"/>
    <n v="1"/>
    <n v="0"/>
    <n v="2"/>
    <n v="3"/>
    <n v="3"/>
    <n v="2"/>
    <n v="2"/>
    <n v="2"/>
    <n v="2"/>
  </r>
  <r>
    <n v="36"/>
    <s v="No"/>
    <s v="Travel_Rarely"/>
    <n v="852"/>
    <s v="Research &amp; Development"/>
    <n v="5"/>
    <n v="4"/>
    <s v="Life Sciences"/>
    <n v="2"/>
    <s v="Female"/>
    <n v="82"/>
    <n v="2"/>
    <n v="1"/>
    <s v="Research Scientist"/>
    <n v="1"/>
    <s v="Married"/>
    <n v="3419"/>
    <n v="13072"/>
    <n v="9"/>
    <s v="Yes"/>
    <n v="14"/>
    <n v="3"/>
    <n v="4"/>
    <n v="1"/>
    <n v="6"/>
    <n v="3"/>
    <n v="4"/>
    <n v="1"/>
    <n v="1"/>
    <n v="0"/>
    <n v="0"/>
  </r>
  <r>
    <n v="33"/>
    <s v="No"/>
    <s v="Travel_Frequently"/>
    <n v="1141"/>
    <s v="Sales"/>
    <n v="1"/>
    <n v="3"/>
    <s v="Life Sciences"/>
    <n v="3"/>
    <s v="Female"/>
    <n v="42"/>
    <n v="4"/>
    <n v="2"/>
    <s v="Sales Executive"/>
    <n v="1"/>
    <s v="Married"/>
    <n v="5376"/>
    <n v="3193"/>
    <n v="2"/>
    <s v="No"/>
    <n v="19"/>
    <n v="3"/>
    <n v="1"/>
    <n v="2"/>
    <n v="10"/>
    <n v="3"/>
    <n v="3"/>
    <n v="5"/>
    <n v="3"/>
    <n v="1"/>
    <n v="3"/>
  </r>
  <r>
    <n v="35"/>
    <s v="No"/>
    <s v="Travel_Rarely"/>
    <n v="464"/>
    <s v="Research &amp; Development"/>
    <n v="4"/>
    <n v="2"/>
    <s v="Other"/>
    <n v="3"/>
    <s v="Male"/>
    <n v="75"/>
    <n v="3"/>
    <n v="1"/>
    <s v="Laboratory Technician"/>
    <n v="4"/>
    <s v="Divorced"/>
    <n v="1951"/>
    <n v="10910"/>
    <n v="1"/>
    <s v="No"/>
    <n v="12"/>
    <n v="3"/>
    <n v="3"/>
    <n v="1"/>
    <n v="1"/>
    <n v="3"/>
    <n v="3"/>
    <n v="1"/>
    <n v="0"/>
    <n v="0"/>
    <n v="0"/>
  </r>
  <r>
    <n v="27"/>
    <s v="No"/>
    <s v="Travel_Rarely"/>
    <n v="1240"/>
    <s v="Research &amp; Development"/>
    <n v="2"/>
    <n v="4"/>
    <s v="Life Sciences"/>
    <n v="4"/>
    <s v="Female"/>
    <n v="33"/>
    <n v="3"/>
    <n v="1"/>
    <s v="Laboratory Technician"/>
    <n v="1"/>
    <s v="Divorced"/>
    <n v="2341"/>
    <n v="19715"/>
    <n v="1"/>
    <s v="No"/>
    <n v="13"/>
    <n v="3"/>
    <n v="4"/>
    <n v="1"/>
    <n v="1"/>
    <n v="6"/>
    <n v="3"/>
    <n v="1"/>
    <n v="0"/>
    <n v="0"/>
    <n v="0"/>
  </r>
  <r>
    <n v="26"/>
    <s v="Yes"/>
    <s v="Travel_Rarely"/>
    <n v="1357"/>
    <s v="Research &amp; Development"/>
    <n v="25"/>
    <n v="3"/>
    <s v="Life Sciences"/>
    <n v="1"/>
    <s v="Male"/>
    <n v="48"/>
    <n v="1"/>
    <n v="1"/>
    <s v="Laboratory Technician"/>
    <n v="3"/>
    <s v="Single"/>
    <n v="2293"/>
    <n v="10558"/>
    <n v="1"/>
    <s v="No"/>
    <n v="12"/>
    <n v="3"/>
    <n v="3"/>
    <n v="0"/>
    <n v="1"/>
    <n v="2"/>
    <n v="2"/>
    <n v="1"/>
    <n v="0"/>
    <n v="0"/>
    <n v="1"/>
  </r>
  <r>
    <n v="27"/>
    <s v="No"/>
    <s v="Travel_Frequently"/>
    <n v="994"/>
    <s v="Sales"/>
    <n v="8"/>
    <n v="3"/>
    <s v="Life Sciences"/>
    <n v="4"/>
    <s v="Male"/>
    <n v="37"/>
    <n v="3"/>
    <n v="3"/>
    <s v="Sales Executive"/>
    <n v="3"/>
    <s v="Single"/>
    <n v="8726"/>
    <n v="2975"/>
    <n v="1"/>
    <s v="No"/>
    <n v="15"/>
    <n v="3"/>
    <n v="4"/>
    <n v="0"/>
    <n v="9"/>
    <n v="0"/>
    <n v="3"/>
    <n v="9"/>
    <n v="8"/>
    <n v="1"/>
    <n v="7"/>
  </r>
  <r>
    <n v="30"/>
    <s v="No"/>
    <s v="Travel_Frequently"/>
    <n v="721"/>
    <s v="Research &amp; Development"/>
    <n v="1"/>
    <n v="2"/>
    <s v="Medical"/>
    <n v="3"/>
    <s v="Female"/>
    <n v="58"/>
    <n v="3"/>
    <n v="2"/>
    <s v="Laboratory Technician"/>
    <n v="4"/>
    <s v="Single"/>
    <n v="4011"/>
    <n v="10781"/>
    <n v="1"/>
    <s v="No"/>
    <n v="23"/>
    <n v="4"/>
    <n v="4"/>
    <n v="0"/>
    <n v="12"/>
    <n v="2"/>
    <n v="3"/>
    <n v="12"/>
    <n v="8"/>
    <n v="3"/>
    <n v="7"/>
  </r>
  <r>
    <n v="41"/>
    <s v="Yes"/>
    <s v="Travel_Rarely"/>
    <n v="1360"/>
    <s v="Research &amp; Development"/>
    <n v="12"/>
    <n v="3"/>
    <s v="Technical Degree"/>
    <n v="2"/>
    <s v="Female"/>
    <n v="49"/>
    <n v="3"/>
    <n v="5"/>
    <s v="Research Director"/>
    <n v="3"/>
    <s v="Married"/>
    <n v="19545"/>
    <n v="16280"/>
    <n v="1"/>
    <s v="No"/>
    <n v="12"/>
    <n v="3"/>
    <n v="4"/>
    <n v="0"/>
    <n v="23"/>
    <n v="0"/>
    <n v="3"/>
    <n v="22"/>
    <n v="15"/>
    <n v="15"/>
    <n v="8"/>
  </r>
  <r>
    <n v="34"/>
    <s v="No"/>
    <s v="Non-Travel"/>
    <n v="1065"/>
    <s v="Sales"/>
    <n v="23"/>
    <n v="4"/>
    <s v="Marketing"/>
    <n v="2"/>
    <s v="Male"/>
    <n v="72"/>
    <n v="3"/>
    <n v="2"/>
    <s v="Sales Executive"/>
    <n v="3"/>
    <s v="Single"/>
    <n v="4568"/>
    <n v="10034"/>
    <n v="0"/>
    <s v="No"/>
    <n v="20"/>
    <n v="4"/>
    <n v="3"/>
    <n v="0"/>
    <n v="10"/>
    <n v="2"/>
    <n v="3"/>
    <n v="9"/>
    <n v="5"/>
    <n v="8"/>
    <n v="7"/>
  </r>
  <r>
    <n v="37"/>
    <s v="No"/>
    <s v="Travel_Rarely"/>
    <n v="408"/>
    <s v="Research &amp; Development"/>
    <n v="19"/>
    <n v="2"/>
    <s v="Life Sciences"/>
    <n v="2"/>
    <s v="Male"/>
    <n v="73"/>
    <n v="3"/>
    <n v="1"/>
    <s v="Research Scientist"/>
    <n v="2"/>
    <s v="Married"/>
    <n v="3022"/>
    <n v="10227"/>
    <n v="4"/>
    <s v="No"/>
    <n v="21"/>
    <n v="4"/>
    <n v="1"/>
    <n v="0"/>
    <n v="8"/>
    <n v="1"/>
    <n v="3"/>
    <n v="1"/>
    <n v="0"/>
    <n v="0"/>
    <n v="0"/>
  </r>
  <r>
    <n v="46"/>
    <s v="No"/>
    <s v="Travel_Frequently"/>
    <n v="1211"/>
    <s v="Sales"/>
    <n v="5"/>
    <n v="4"/>
    <s v="Marketing"/>
    <n v="1"/>
    <s v="Male"/>
    <n v="98"/>
    <n v="3"/>
    <n v="2"/>
    <s v="Sales Executive"/>
    <n v="4"/>
    <s v="Single"/>
    <n v="5772"/>
    <n v="20445"/>
    <n v="4"/>
    <s v="Yes"/>
    <n v="21"/>
    <n v="4"/>
    <n v="3"/>
    <n v="0"/>
    <n v="14"/>
    <n v="4"/>
    <n v="3"/>
    <n v="9"/>
    <n v="6"/>
    <n v="0"/>
    <n v="8"/>
  </r>
  <r>
    <n v="35"/>
    <s v="No"/>
    <s v="Travel_Rarely"/>
    <n v="1229"/>
    <s v="Research &amp; Development"/>
    <n v="8"/>
    <n v="1"/>
    <s v="Life Sciences"/>
    <n v="4"/>
    <s v="Male"/>
    <n v="36"/>
    <n v="4"/>
    <n v="1"/>
    <s v="Laboratory Technician"/>
    <n v="4"/>
    <s v="Married"/>
    <n v="2269"/>
    <n v="4892"/>
    <n v="1"/>
    <s v="No"/>
    <n v="19"/>
    <n v="3"/>
    <n v="4"/>
    <n v="0"/>
    <n v="1"/>
    <n v="2"/>
    <n v="3"/>
    <n v="1"/>
    <n v="0"/>
    <n v="0"/>
    <n v="1"/>
  </r>
  <r>
    <n v="48"/>
    <s v="Yes"/>
    <s v="Travel_Rarely"/>
    <n v="626"/>
    <s v="Research &amp; Development"/>
    <n v="1"/>
    <n v="2"/>
    <s v="Life Sciences"/>
    <n v="1"/>
    <s v="Male"/>
    <n v="98"/>
    <n v="2"/>
    <n v="3"/>
    <s v="Laboratory Technician"/>
    <n v="3"/>
    <s v="Single"/>
    <n v="5381"/>
    <n v="19294"/>
    <n v="9"/>
    <s v="Yes"/>
    <n v="13"/>
    <n v="3"/>
    <n v="4"/>
    <n v="0"/>
    <n v="23"/>
    <n v="2"/>
    <n v="3"/>
    <n v="1"/>
    <n v="0"/>
    <n v="0"/>
    <n v="0"/>
  </r>
  <r>
    <n v="28"/>
    <s v="Yes"/>
    <s v="Travel_Rarely"/>
    <n v="1434"/>
    <s v="Research &amp; Development"/>
    <n v="5"/>
    <n v="4"/>
    <s v="Technical Degree"/>
    <n v="3"/>
    <s v="Male"/>
    <n v="50"/>
    <n v="3"/>
    <n v="1"/>
    <s v="Laboratory Technician"/>
    <n v="3"/>
    <s v="Single"/>
    <n v="3441"/>
    <n v="11179"/>
    <n v="1"/>
    <s v="Yes"/>
    <n v="13"/>
    <n v="3"/>
    <n v="3"/>
    <n v="0"/>
    <n v="2"/>
    <n v="3"/>
    <n v="2"/>
    <n v="2"/>
    <n v="2"/>
    <n v="2"/>
    <n v="2"/>
  </r>
  <r>
    <n v="44"/>
    <s v="No"/>
    <s v="Travel_Rarely"/>
    <n v="1488"/>
    <s v="Sales"/>
    <n v="1"/>
    <n v="5"/>
    <s v="Marketing"/>
    <n v="2"/>
    <s v="Female"/>
    <n v="75"/>
    <n v="3"/>
    <n v="2"/>
    <s v="Sales Executive"/>
    <n v="1"/>
    <s v="Divorced"/>
    <n v="5454"/>
    <n v="4009"/>
    <n v="5"/>
    <s v="Yes"/>
    <n v="21"/>
    <n v="4"/>
    <n v="3"/>
    <n v="1"/>
    <n v="9"/>
    <n v="2"/>
    <n v="2"/>
    <n v="4"/>
    <n v="3"/>
    <n v="1"/>
    <n v="3"/>
  </r>
  <r>
    <n v="35"/>
    <s v="No"/>
    <s v="Non-Travel"/>
    <n v="1097"/>
    <s v="Research &amp; Development"/>
    <n v="11"/>
    <n v="2"/>
    <s v="Medical"/>
    <n v="3"/>
    <s v="Male"/>
    <n v="79"/>
    <n v="2"/>
    <n v="3"/>
    <s v="Healthcare Representative"/>
    <n v="1"/>
    <s v="Married"/>
    <n v="9884"/>
    <n v="8302"/>
    <n v="2"/>
    <s v="Yes"/>
    <n v="13"/>
    <n v="3"/>
    <n v="3"/>
    <n v="1"/>
    <n v="10"/>
    <n v="3"/>
    <n v="3"/>
    <n v="4"/>
    <n v="0"/>
    <n v="2"/>
    <n v="3"/>
  </r>
  <r>
    <n v="26"/>
    <s v="No"/>
    <s v="Travel_Rarely"/>
    <n v="1443"/>
    <s v="Sales"/>
    <n v="23"/>
    <n v="3"/>
    <s v="Marketing"/>
    <n v="3"/>
    <s v="Female"/>
    <n v="47"/>
    <n v="2"/>
    <n v="2"/>
    <s v="Sales Executive"/>
    <n v="4"/>
    <s v="Married"/>
    <n v="4157"/>
    <n v="21436"/>
    <n v="7"/>
    <s v="Yes"/>
    <n v="19"/>
    <n v="3"/>
    <n v="3"/>
    <n v="1"/>
    <n v="5"/>
    <n v="2"/>
    <n v="2"/>
    <n v="2"/>
    <n v="2"/>
    <n v="0"/>
    <n v="0"/>
  </r>
  <r>
    <n v="33"/>
    <s v="No"/>
    <s v="Travel_Frequently"/>
    <n v="515"/>
    <s v="Research &amp; Development"/>
    <n v="1"/>
    <n v="2"/>
    <s v="Life Sciences"/>
    <n v="1"/>
    <s v="Female"/>
    <n v="98"/>
    <n v="3"/>
    <n v="3"/>
    <s v="Research Director"/>
    <n v="4"/>
    <s v="Single"/>
    <n v="13458"/>
    <n v="15146"/>
    <n v="1"/>
    <s v="Yes"/>
    <n v="12"/>
    <n v="3"/>
    <n v="3"/>
    <n v="0"/>
    <n v="15"/>
    <n v="1"/>
    <n v="3"/>
    <n v="15"/>
    <n v="14"/>
    <n v="8"/>
    <n v="12"/>
  </r>
  <r>
    <n v="35"/>
    <s v="No"/>
    <s v="Travel_Frequently"/>
    <n v="853"/>
    <s v="Sales"/>
    <n v="18"/>
    <n v="5"/>
    <s v="Life Sciences"/>
    <n v="2"/>
    <s v="Male"/>
    <n v="71"/>
    <n v="3"/>
    <n v="3"/>
    <s v="Sales Executive"/>
    <n v="1"/>
    <s v="Married"/>
    <n v="9069"/>
    <n v="11031"/>
    <n v="1"/>
    <s v="No"/>
    <n v="22"/>
    <n v="4"/>
    <n v="4"/>
    <n v="1"/>
    <n v="9"/>
    <n v="3"/>
    <n v="2"/>
    <n v="9"/>
    <n v="8"/>
    <n v="1"/>
    <n v="8"/>
  </r>
  <r>
    <n v="35"/>
    <s v="No"/>
    <s v="Travel_Rarely"/>
    <n v="1142"/>
    <s v="Research &amp; Development"/>
    <n v="23"/>
    <n v="4"/>
    <s v="Medical"/>
    <n v="3"/>
    <s v="Female"/>
    <n v="30"/>
    <n v="3"/>
    <n v="1"/>
    <s v="Laboratory Technician"/>
    <n v="1"/>
    <s v="Married"/>
    <n v="4014"/>
    <n v="16002"/>
    <n v="3"/>
    <s v="Yes"/>
    <n v="15"/>
    <n v="3"/>
    <n v="3"/>
    <n v="1"/>
    <n v="4"/>
    <n v="3"/>
    <n v="3"/>
    <n v="2"/>
    <n v="2"/>
    <n v="2"/>
    <n v="2"/>
  </r>
  <r>
    <n v="31"/>
    <s v="No"/>
    <s v="Travel_Rarely"/>
    <n v="655"/>
    <s v="Research &amp; Development"/>
    <n v="7"/>
    <n v="4"/>
    <s v="Life Sciences"/>
    <n v="4"/>
    <s v="Male"/>
    <n v="48"/>
    <n v="3"/>
    <n v="2"/>
    <s v="Laboratory Technician"/>
    <n v="4"/>
    <s v="Divorced"/>
    <n v="5915"/>
    <n v="9528"/>
    <n v="3"/>
    <s v="No"/>
    <n v="22"/>
    <n v="4"/>
    <n v="4"/>
    <n v="1"/>
    <n v="10"/>
    <n v="3"/>
    <n v="2"/>
    <n v="7"/>
    <n v="7"/>
    <n v="1"/>
    <n v="7"/>
  </r>
  <r>
    <n v="37"/>
    <s v="No"/>
    <s v="Travel_Rarely"/>
    <n v="1115"/>
    <s v="Research &amp; Development"/>
    <n v="1"/>
    <n v="4"/>
    <s v="Life Sciences"/>
    <n v="1"/>
    <s v="Male"/>
    <n v="51"/>
    <n v="2"/>
    <n v="2"/>
    <s v="Manufacturing Director"/>
    <n v="3"/>
    <s v="Divorced"/>
    <n v="5993"/>
    <n v="2689"/>
    <n v="1"/>
    <s v="No"/>
    <n v="18"/>
    <n v="3"/>
    <n v="3"/>
    <n v="1"/>
    <n v="7"/>
    <n v="2"/>
    <n v="4"/>
    <n v="7"/>
    <n v="5"/>
    <n v="0"/>
    <n v="7"/>
  </r>
  <r>
    <n v="32"/>
    <s v="No"/>
    <s v="Travel_Rarely"/>
    <n v="427"/>
    <s v="Research &amp; Development"/>
    <n v="1"/>
    <n v="3"/>
    <s v="Medical"/>
    <n v="1"/>
    <s v="Male"/>
    <n v="33"/>
    <n v="3"/>
    <n v="2"/>
    <s v="Manufacturing Director"/>
    <n v="4"/>
    <s v="Married"/>
    <n v="6162"/>
    <n v="10877"/>
    <n v="1"/>
    <s v="Yes"/>
    <n v="22"/>
    <n v="4"/>
    <n v="2"/>
    <n v="1"/>
    <n v="9"/>
    <n v="3"/>
    <n v="3"/>
    <n v="9"/>
    <n v="8"/>
    <n v="7"/>
    <n v="8"/>
  </r>
  <r>
    <n v="38"/>
    <s v="No"/>
    <s v="Travel_Frequently"/>
    <n v="653"/>
    <s v="Research &amp; Development"/>
    <n v="29"/>
    <n v="5"/>
    <s v="Life Sciences"/>
    <n v="4"/>
    <s v="Female"/>
    <n v="50"/>
    <n v="3"/>
    <n v="2"/>
    <s v="Laboratory Technician"/>
    <n v="4"/>
    <s v="Single"/>
    <n v="2406"/>
    <n v="5456"/>
    <n v="1"/>
    <s v="No"/>
    <n v="11"/>
    <n v="3"/>
    <n v="4"/>
    <n v="0"/>
    <n v="10"/>
    <n v="2"/>
    <n v="3"/>
    <n v="10"/>
    <n v="3"/>
    <n v="9"/>
    <n v="9"/>
  </r>
  <r>
    <n v="50"/>
    <s v="No"/>
    <s v="Travel_Rarely"/>
    <n v="989"/>
    <s v="Research &amp; Development"/>
    <n v="7"/>
    <n v="2"/>
    <s v="Medical"/>
    <n v="2"/>
    <s v="Female"/>
    <n v="43"/>
    <n v="2"/>
    <n v="5"/>
    <s v="Research Director"/>
    <n v="3"/>
    <s v="Divorced"/>
    <n v="18740"/>
    <n v="16701"/>
    <n v="5"/>
    <s v="Yes"/>
    <n v="12"/>
    <n v="3"/>
    <n v="4"/>
    <n v="1"/>
    <n v="29"/>
    <n v="2"/>
    <n v="2"/>
    <n v="27"/>
    <n v="3"/>
    <n v="13"/>
    <n v="8"/>
  </r>
  <r>
    <n v="59"/>
    <s v="No"/>
    <s v="Travel_Rarely"/>
    <n v="1435"/>
    <s v="Sales"/>
    <n v="25"/>
    <n v="3"/>
    <s v="Life Sciences"/>
    <n v="1"/>
    <s v="Female"/>
    <n v="99"/>
    <n v="3"/>
    <n v="3"/>
    <s v="Sales Executive"/>
    <n v="1"/>
    <s v="Single"/>
    <n v="7637"/>
    <n v="2354"/>
    <n v="7"/>
    <s v="No"/>
    <n v="11"/>
    <n v="3"/>
    <n v="4"/>
    <n v="0"/>
    <n v="28"/>
    <n v="3"/>
    <n v="2"/>
    <n v="21"/>
    <n v="16"/>
    <n v="7"/>
    <n v="9"/>
  </r>
  <r>
    <n v="36"/>
    <s v="No"/>
    <s v="Travel_Rarely"/>
    <n v="1223"/>
    <s v="Research &amp; Development"/>
    <n v="8"/>
    <n v="3"/>
    <s v="Technical Degree"/>
    <n v="3"/>
    <s v="Female"/>
    <n v="59"/>
    <n v="3"/>
    <n v="3"/>
    <s v="Healthcare Representative"/>
    <n v="3"/>
    <s v="Divorced"/>
    <n v="10096"/>
    <n v="8202"/>
    <n v="1"/>
    <s v="No"/>
    <n v="13"/>
    <n v="3"/>
    <n v="2"/>
    <n v="3"/>
    <n v="17"/>
    <n v="2"/>
    <n v="3"/>
    <n v="17"/>
    <n v="14"/>
    <n v="12"/>
    <n v="8"/>
  </r>
  <r>
    <n v="55"/>
    <s v="No"/>
    <s v="Travel_Rarely"/>
    <n v="836"/>
    <s v="Research &amp; Development"/>
    <n v="8"/>
    <n v="3"/>
    <s v="Medical"/>
    <n v="4"/>
    <s v="Female"/>
    <n v="33"/>
    <n v="3"/>
    <n v="4"/>
    <s v="Manager"/>
    <n v="3"/>
    <s v="Divorced"/>
    <n v="14756"/>
    <n v="19730"/>
    <n v="2"/>
    <s v="Yes"/>
    <n v="14"/>
    <n v="3"/>
    <n v="3"/>
    <n v="3"/>
    <n v="21"/>
    <n v="2"/>
    <n v="3"/>
    <n v="5"/>
    <n v="0"/>
    <n v="0"/>
    <n v="2"/>
  </r>
  <r>
    <n v="36"/>
    <s v="No"/>
    <s v="Travel_Frequently"/>
    <n v="1195"/>
    <s v="Research &amp; Development"/>
    <n v="11"/>
    <n v="3"/>
    <s v="Life Sciences"/>
    <n v="2"/>
    <s v="Male"/>
    <n v="95"/>
    <n v="2"/>
    <n v="2"/>
    <s v="Manufacturing Director"/>
    <n v="2"/>
    <s v="Single"/>
    <n v="6499"/>
    <n v="22656"/>
    <n v="1"/>
    <s v="No"/>
    <n v="13"/>
    <n v="3"/>
    <n v="3"/>
    <n v="0"/>
    <n v="6"/>
    <n v="3"/>
    <n v="3"/>
    <n v="6"/>
    <n v="5"/>
    <n v="0"/>
    <n v="3"/>
  </r>
  <r>
    <n v="45"/>
    <s v="No"/>
    <s v="Travel_Rarely"/>
    <n v="1339"/>
    <s v="Research &amp; Development"/>
    <n v="7"/>
    <n v="3"/>
    <s v="Life Sciences"/>
    <n v="2"/>
    <s v="Male"/>
    <n v="59"/>
    <n v="3"/>
    <n v="3"/>
    <s v="Research Scientist"/>
    <n v="1"/>
    <s v="Divorced"/>
    <n v="9724"/>
    <n v="18787"/>
    <n v="2"/>
    <s v="No"/>
    <n v="17"/>
    <n v="3"/>
    <n v="3"/>
    <n v="1"/>
    <n v="25"/>
    <n v="2"/>
    <n v="3"/>
    <n v="1"/>
    <n v="0"/>
    <n v="0"/>
    <n v="0"/>
  </r>
  <r>
    <n v="35"/>
    <s v="No"/>
    <s v="Travel_Frequently"/>
    <n v="664"/>
    <s v="Research &amp; Development"/>
    <n v="1"/>
    <n v="3"/>
    <s v="Medical"/>
    <n v="2"/>
    <s v="Male"/>
    <n v="79"/>
    <n v="3"/>
    <n v="1"/>
    <s v="Research Scientist"/>
    <n v="1"/>
    <s v="Married"/>
    <n v="2194"/>
    <n v="5868"/>
    <n v="4"/>
    <s v="No"/>
    <n v="13"/>
    <n v="3"/>
    <n v="4"/>
    <n v="1"/>
    <n v="5"/>
    <n v="2"/>
    <n v="2"/>
    <n v="3"/>
    <n v="2"/>
    <n v="1"/>
    <n v="2"/>
  </r>
  <r>
    <n v="36"/>
    <s v="Yes"/>
    <s v="Travel_Rarely"/>
    <n v="318"/>
    <s v="Research &amp; Development"/>
    <n v="9"/>
    <n v="3"/>
    <s v="Medical"/>
    <n v="4"/>
    <s v="Male"/>
    <n v="79"/>
    <n v="2"/>
    <n v="1"/>
    <s v="Research Scientist"/>
    <n v="3"/>
    <s v="Married"/>
    <n v="3388"/>
    <n v="21777"/>
    <n v="0"/>
    <s v="Yes"/>
    <n v="17"/>
    <n v="3"/>
    <n v="1"/>
    <n v="1"/>
    <n v="2"/>
    <n v="0"/>
    <n v="2"/>
    <n v="1"/>
    <n v="0"/>
    <n v="0"/>
    <n v="0"/>
  </r>
  <r>
    <n v="59"/>
    <s v="No"/>
    <s v="Travel_Frequently"/>
    <n v="1225"/>
    <s v="Sales"/>
    <n v="1"/>
    <n v="1"/>
    <s v="Life Sciences"/>
    <n v="1"/>
    <s v="Female"/>
    <n v="57"/>
    <n v="2"/>
    <n v="2"/>
    <s v="Sales Executive"/>
    <n v="3"/>
    <s v="Single"/>
    <n v="5473"/>
    <n v="24668"/>
    <n v="7"/>
    <s v="No"/>
    <n v="11"/>
    <n v="3"/>
    <n v="4"/>
    <n v="0"/>
    <n v="20"/>
    <n v="2"/>
    <n v="2"/>
    <n v="4"/>
    <n v="3"/>
    <n v="1"/>
    <n v="3"/>
  </r>
  <r>
    <n v="29"/>
    <s v="No"/>
    <s v="Travel_Rarely"/>
    <n v="1328"/>
    <s v="Research &amp; Development"/>
    <n v="2"/>
    <n v="3"/>
    <s v="Life Sciences"/>
    <n v="3"/>
    <s v="Male"/>
    <n v="76"/>
    <n v="3"/>
    <n v="1"/>
    <s v="Research Scientist"/>
    <n v="2"/>
    <s v="Married"/>
    <n v="2703"/>
    <n v="4956"/>
    <n v="0"/>
    <s v="No"/>
    <n v="23"/>
    <n v="4"/>
    <n v="4"/>
    <n v="1"/>
    <n v="6"/>
    <n v="3"/>
    <n v="3"/>
    <n v="5"/>
    <n v="4"/>
    <n v="0"/>
    <n v="4"/>
  </r>
  <r>
    <n v="31"/>
    <s v="No"/>
    <s v="Travel_Rarely"/>
    <n v="1082"/>
    <s v="Research &amp; Development"/>
    <n v="1"/>
    <n v="4"/>
    <s v="Medical"/>
    <n v="3"/>
    <s v="Male"/>
    <n v="87"/>
    <n v="3"/>
    <n v="1"/>
    <s v="Research Scientist"/>
    <n v="2"/>
    <s v="Single"/>
    <n v="2501"/>
    <n v="18775"/>
    <n v="1"/>
    <s v="No"/>
    <n v="17"/>
    <n v="3"/>
    <n v="2"/>
    <n v="0"/>
    <n v="1"/>
    <n v="4"/>
    <n v="3"/>
    <n v="1"/>
    <n v="1"/>
    <n v="1"/>
    <n v="0"/>
  </r>
  <r>
    <n v="32"/>
    <s v="No"/>
    <s v="Travel_Rarely"/>
    <n v="548"/>
    <s v="Research &amp; Development"/>
    <n v="1"/>
    <n v="3"/>
    <s v="Life Sciences"/>
    <n v="2"/>
    <s v="Male"/>
    <n v="66"/>
    <n v="3"/>
    <n v="2"/>
    <s v="Research Scientist"/>
    <n v="2"/>
    <s v="Married"/>
    <n v="6220"/>
    <n v="7346"/>
    <n v="1"/>
    <s v="No"/>
    <n v="17"/>
    <n v="3"/>
    <n v="2"/>
    <n v="2"/>
    <n v="10"/>
    <n v="3"/>
    <n v="3"/>
    <n v="10"/>
    <n v="4"/>
    <n v="0"/>
    <n v="9"/>
  </r>
  <r>
    <n v="36"/>
    <s v="No"/>
    <s v="Travel_Rarely"/>
    <n v="132"/>
    <s v="Research &amp; Development"/>
    <n v="6"/>
    <n v="3"/>
    <s v="Life Sciences"/>
    <n v="2"/>
    <s v="Female"/>
    <n v="55"/>
    <n v="4"/>
    <n v="1"/>
    <s v="Laboratory Technician"/>
    <n v="4"/>
    <s v="Married"/>
    <n v="3038"/>
    <n v="22002"/>
    <n v="3"/>
    <s v="No"/>
    <n v="12"/>
    <n v="3"/>
    <n v="2"/>
    <n v="0"/>
    <n v="5"/>
    <n v="3"/>
    <n v="3"/>
    <n v="1"/>
    <n v="0"/>
    <n v="0"/>
    <n v="0"/>
  </r>
  <r>
    <n v="31"/>
    <s v="No"/>
    <s v="Travel_Rarely"/>
    <n v="746"/>
    <s v="Research &amp; Development"/>
    <n v="8"/>
    <n v="4"/>
    <s v="Life Sciences"/>
    <n v="3"/>
    <s v="Female"/>
    <n v="61"/>
    <n v="3"/>
    <n v="2"/>
    <s v="Manufacturing Director"/>
    <n v="4"/>
    <s v="Single"/>
    <n v="4424"/>
    <n v="20682"/>
    <n v="1"/>
    <s v="No"/>
    <n v="23"/>
    <n v="4"/>
    <n v="4"/>
    <n v="0"/>
    <n v="11"/>
    <n v="2"/>
    <n v="3"/>
    <n v="11"/>
    <n v="7"/>
    <n v="1"/>
    <n v="8"/>
  </r>
  <r>
    <n v="35"/>
    <s v="No"/>
    <s v="Travel_Rarely"/>
    <n v="776"/>
    <s v="Sales"/>
    <n v="1"/>
    <n v="4"/>
    <s v="Marketing"/>
    <n v="3"/>
    <s v="Male"/>
    <n v="32"/>
    <n v="2"/>
    <n v="2"/>
    <s v="Sales Executive"/>
    <n v="1"/>
    <s v="Single"/>
    <n v="4312"/>
    <n v="23016"/>
    <n v="0"/>
    <s v="No"/>
    <n v="14"/>
    <n v="3"/>
    <n v="2"/>
    <n v="0"/>
    <n v="16"/>
    <n v="2"/>
    <n v="3"/>
    <n v="15"/>
    <n v="13"/>
    <n v="2"/>
    <n v="8"/>
  </r>
  <r>
    <n v="45"/>
    <s v="No"/>
    <s v="Travel_Rarely"/>
    <n v="193"/>
    <s v="Research &amp; Development"/>
    <n v="6"/>
    <n v="4"/>
    <s v="Other"/>
    <n v="4"/>
    <s v="Male"/>
    <n v="52"/>
    <n v="3"/>
    <n v="3"/>
    <s v="Research Director"/>
    <n v="1"/>
    <s v="Married"/>
    <n v="13245"/>
    <n v="15067"/>
    <n v="4"/>
    <s v="Yes"/>
    <n v="14"/>
    <n v="3"/>
    <n v="2"/>
    <n v="0"/>
    <n v="17"/>
    <n v="3"/>
    <n v="4"/>
    <n v="0"/>
    <n v="0"/>
    <n v="0"/>
    <n v="0"/>
  </r>
  <r>
    <n v="37"/>
    <s v="No"/>
    <s v="Travel_Rarely"/>
    <n v="397"/>
    <s v="Research &amp; Development"/>
    <n v="7"/>
    <n v="4"/>
    <s v="Medical"/>
    <n v="1"/>
    <s v="Male"/>
    <n v="30"/>
    <n v="3"/>
    <n v="3"/>
    <s v="Research Director"/>
    <n v="3"/>
    <s v="Single"/>
    <n v="13664"/>
    <n v="25258"/>
    <n v="4"/>
    <s v="No"/>
    <n v="13"/>
    <n v="3"/>
    <n v="1"/>
    <n v="0"/>
    <n v="16"/>
    <n v="3"/>
    <n v="4"/>
    <n v="5"/>
    <n v="2"/>
    <n v="0"/>
    <n v="2"/>
  </r>
  <r>
    <n v="46"/>
    <s v="No"/>
    <s v="Travel_Rarely"/>
    <n v="945"/>
    <s v="Human Resources"/>
    <n v="5"/>
    <n v="2"/>
    <s v="Medical"/>
    <n v="2"/>
    <s v="Male"/>
    <n v="80"/>
    <n v="3"/>
    <n v="2"/>
    <s v="Human Resources"/>
    <n v="2"/>
    <s v="Divorced"/>
    <n v="5021"/>
    <n v="10425"/>
    <n v="8"/>
    <s v="Yes"/>
    <n v="22"/>
    <n v="4"/>
    <n v="4"/>
    <n v="1"/>
    <n v="16"/>
    <n v="2"/>
    <n v="3"/>
    <n v="4"/>
    <n v="2"/>
    <n v="0"/>
    <n v="2"/>
  </r>
  <r>
    <n v="30"/>
    <s v="No"/>
    <s v="Travel_Rarely"/>
    <n v="852"/>
    <s v="Research &amp; Development"/>
    <n v="1"/>
    <n v="1"/>
    <s v="Life Sciences"/>
    <n v="4"/>
    <s v="Male"/>
    <n v="55"/>
    <n v="2"/>
    <n v="2"/>
    <s v="Laboratory Technician"/>
    <n v="4"/>
    <s v="Married"/>
    <n v="5126"/>
    <n v="15998"/>
    <n v="1"/>
    <s v="Yes"/>
    <n v="12"/>
    <n v="3"/>
    <n v="3"/>
    <n v="2"/>
    <n v="10"/>
    <n v="1"/>
    <n v="2"/>
    <n v="10"/>
    <n v="8"/>
    <n v="3"/>
    <n v="0"/>
  </r>
  <r>
    <n v="35"/>
    <s v="No"/>
    <s v="Travel_Rarely"/>
    <n v="1214"/>
    <s v="Research &amp; Development"/>
    <n v="1"/>
    <n v="3"/>
    <s v="Medical"/>
    <n v="2"/>
    <s v="Male"/>
    <n v="30"/>
    <n v="2"/>
    <n v="1"/>
    <s v="Research Scientist"/>
    <n v="3"/>
    <s v="Single"/>
    <n v="2859"/>
    <n v="26278"/>
    <n v="1"/>
    <s v="No"/>
    <n v="18"/>
    <n v="3"/>
    <n v="1"/>
    <n v="0"/>
    <n v="6"/>
    <n v="3"/>
    <n v="3"/>
    <n v="6"/>
    <n v="4"/>
    <n v="0"/>
    <n v="4"/>
  </r>
  <r>
    <n v="55"/>
    <s v="No"/>
    <s v="Travel_Rarely"/>
    <n v="111"/>
    <s v="Sales"/>
    <n v="1"/>
    <n v="2"/>
    <s v="Life Sciences"/>
    <n v="1"/>
    <s v="Male"/>
    <n v="70"/>
    <n v="3"/>
    <n v="3"/>
    <s v="Sales Executive"/>
    <n v="4"/>
    <s v="Married"/>
    <n v="10239"/>
    <n v="18092"/>
    <n v="3"/>
    <s v="No"/>
    <n v="14"/>
    <n v="3"/>
    <n v="4"/>
    <n v="1"/>
    <n v="24"/>
    <n v="4"/>
    <n v="3"/>
    <n v="1"/>
    <n v="0"/>
    <n v="1"/>
    <n v="0"/>
  </r>
  <r>
    <n v="38"/>
    <s v="No"/>
    <s v="Non-Travel"/>
    <n v="573"/>
    <s v="Research &amp; Development"/>
    <n v="6"/>
    <n v="3"/>
    <s v="Medical"/>
    <n v="2"/>
    <s v="Female"/>
    <n v="79"/>
    <n v="1"/>
    <n v="2"/>
    <s v="Research Scientist"/>
    <n v="4"/>
    <s v="Divorced"/>
    <n v="5329"/>
    <n v="15717"/>
    <n v="7"/>
    <s v="Yes"/>
    <n v="12"/>
    <n v="3"/>
    <n v="4"/>
    <n v="3"/>
    <n v="17"/>
    <n v="3"/>
    <n v="3"/>
    <n v="13"/>
    <n v="11"/>
    <n v="1"/>
    <n v="9"/>
  </r>
  <r>
    <n v="34"/>
    <s v="No"/>
    <s v="Travel_Rarely"/>
    <n v="1153"/>
    <s v="Research &amp; Development"/>
    <n v="1"/>
    <n v="2"/>
    <s v="Medical"/>
    <n v="1"/>
    <s v="Male"/>
    <n v="94"/>
    <n v="3"/>
    <n v="2"/>
    <s v="Manufacturing Director"/>
    <n v="2"/>
    <s v="Married"/>
    <n v="4325"/>
    <n v="17736"/>
    <n v="1"/>
    <s v="No"/>
    <n v="15"/>
    <n v="3"/>
    <n v="3"/>
    <n v="0"/>
    <n v="5"/>
    <n v="2"/>
    <n v="3"/>
    <n v="5"/>
    <n v="2"/>
    <n v="1"/>
    <n v="3"/>
  </r>
  <r>
    <n v="56"/>
    <s v="No"/>
    <s v="Travel_Rarely"/>
    <n v="1400"/>
    <s v="Research &amp; Development"/>
    <n v="7"/>
    <n v="3"/>
    <s v="Life Sciences"/>
    <n v="4"/>
    <s v="Male"/>
    <n v="49"/>
    <n v="1"/>
    <n v="3"/>
    <s v="Manufacturing Director"/>
    <n v="4"/>
    <s v="Single"/>
    <n v="7260"/>
    <n v="21698"/>
    <n v="4"/>
    <s v="No"/>
    <n v="11"/>
    <n v="3"/>
    <n v="1"/>
    <n v="0"/>
    <n v="37"/>
    <n v="3"/>
    <n v="2"/>
    <n v="6"/>
    <n v="4"/>
    <n v="0"/>
    <n v="2"/>
  </r>
  <r>
    <n v="23"/>
    <s v="No"/>
    <s v="Travel_Rarely"/>
    <n v="541"/>
    <s v="Sales"/>
    <n v="2"/>
    <n v="1"/>
    <s v="Technical Degree"/>
    <n v="3"/>
    <s v="Male"/>
    <n v="62"/>
    <n v="3"/>
    <n v="1"/>
    <s v="Sales Representative"/>
    <n v="1"/>
    <s v="Divorced"/>
    <n v="2322"/>
    <n v="9518"/>
    <n v="3"/>
    <s v="No"/>
    <n v="13"/>
    <n v="3"/>
    <n v="3"/>
    <n v="1"/>
    <n v="3"/>
    <n v="3"/>
    <n v="3"/>
    <n v="0"/>
    <n v="0"/>
    <n v="0"/>
    <n v="0"/>
  </r>
  <r>
    <n v="51"/>
    <s v="No"/>
    <s v="Travel_Rarely"/>
    <n v="432"/>
    <s v="Research &amp; Development"/>
    <n v="9"/>
    <n v="4"/>
    <s v="Life Sciences"/>
    <n v="4"/>
    <s v="Male"/>
    <n v="96"/>
    <n v="3"/>
    <n v="1"/>
    <s v="Laboratory Technician"/>
    <n v="4"/>
    <s v="Married"/>
    <n v="2075"/>
    <n v="18725"/>
    <n v="3"/>
    <s v="No"/>
    <n v="23"/>
    <n v="4"/>
    <n v="2"/>
    <n v="2"/>
    <n v="10"/>
    <n v="4"/>
    <n v="3"/>
    <n v="4"/>
    <n v="2"/>
    <n v="0"/>
    <n v="3"/>
  </r>
  <r>
    <n v="30"/>
    <s v="No"/>
    <s v="Travel_Rarely"/>
    <n v="288"/>
    <s v="Research &amp; Development"/>
    <n v="2"/>
    <n v="3"/>
    <s v="Life Sciences"/>
    <n v="3"/>
    <s v="Male"/>
    <n v="99"/>
    <n v="2"/>
    <n v="2"/>
    <s v="Healthcare Representative"/>
    <n v="4"/>
    <s v="Married"/>
    <n v="4152"/>
    <n v="15830"/>
    <n v="1"/>
    <s v="No"/>
    <n v="19"/>
    <n v="3"/>
    <n v="1"/>
    <n v="3"/>
    <n v="11"/>
    <n v="3"/>
    <n v="3"/>
    <n v="11"/>
    <n v="10"/>
    <n v="10"/>
    <n v="8"/>
  </r>
  <r>
    <n v="46"/>
    <s v="Yes"/>
    <s v="Travel_Rarely"/>
    <n v="669"/>
    <s v="Sales"/>
    <n v="9"/>
    <n v="2"/>
    <s v="Medical"/>
    <n v="3"/>
    <s v="Male"/>
    <n v="64"/>
    <n v="2"/>
    <n v="3"/>
    <s v="Sales Executive"/>
    <n v="4"/>
    <s v="Single"/>
    <n v="9619"/>
    <n v="13596"/>
    <n v="1"/>
    <s v="No"/>
    <n v="16"/>
    <n v="3"/>
    <n v="4"/>
    <n v="0"/>
    <n v="9"/>
    <n v="3"/>
    <n v="3"/>
    <n v="9"/>
    <n v="8"/>
    <n v="4"/>
    <n v="7"/>
  </r>
  <r>
    <n v="40"/>
    <s v="No"/>
    <s v="Travel_Frequently"/>
    <n v="530"/>
    <s v="Research &amp; Development"/>
    <n v="1"/>
    <n v="4"/>
    <s v="Life Sciences"/>
    <n v="3"/>
    <s v="Male"/>
    <n v="78"/>
    <n v="2"/>
    <n v="4"/>
    <s v="Healthcare Representative"/>
    <n v="2"/>
    <s v="Married"/>
    <n v="13503"/>
    <n v="14115"/>
    <n v="1"/>
    <s v="No"/>
    <n v="22"/>
    <n v="4"/>
    <n v="4"/>
    <n v="1"/>
    <n v="22"/>
    <n v="3"/>
    <n v="2"/>
    <n v="22"/>
    <n v="3"/>
    <n v="11"/>
    <n v="11"/>
  </r>
  <r>
    <n v="51"/>
    <s v="No"/>
    <s v="Travel_Rarely"/>
    <n v="632"/>
    <s v="Sales"/>
    <n v="21"/>
    <n v="4"/>
    <s v="Marketing"/>
    <n v="3"/>
    <s v="Male"/>
    <n v="71"/>
    <n v="3"/>
    <n v="2"/>
    <s v="Sales Executive"/>
    <n v="4"/>
    <s v="Single"/>
    <n v="5441"/>
    <n v="8423"/>
    <n v="0"/>
    <s v="Yes"/>
    <n v="22"/>
    <n v="4"/>
    <n v="4"/>
    <n v="0"/>
    <n v="11"/>
    <n v="2"/>
    <n v="1"/>
    <n v="10"/>
    <n v="7"/>
    <n v="1"/>
    <n v="0"/>
  </r>
  <r>
    <n v="30"/>
    <s v="No"/>
    <s v="Travel_Rarely"/>
    <n v="1334"/>
    <s v="Sales"/>
    <n v="4"/>
    <n v="2"/>
    <s v="Medical"/>
    <n v="3"/>
    <s v="Female"/>
    <n v="63"/>
    <n v="2"/>
    <n v="2"/>
    <s v="Sales Executive"/>
    <n v="2"/>
    <s v="Divorced"/>
    <n v="5209"/>
    <n v="19760"/>
    <n v="1"/>
    <s v="Yes"/>
    <n v="12"/>
    <n v="3"/>
    <n v="2"/>
    <n v="3"/>
    <n v="11"/>
    <n v="4"/>
    <n v="2"/>
    <n v="11"/>
    <n v="8"/>
    <n v="2"/>
    <n v="7"/>
  </r>
  <r>
    <n v="46"/>
    <s v="No"/>
    <s v="Travel_Frequently"/>
    <n v="638"/>
    <s v="Research &amp; Development"/>
    <n v="1"/>
    <n v="3"/>
    <s v="Medical"/>
    <n v="3"/>
    <s v="Male"/>
    <n v="40"/>
    <n v="2"/>
    <n v="3"/>
    <s v="Healthcare Representative"/>
    <n v="1"/>
    <s v="Married"/>
    <n v="10673"/>
    <n v="3142"/>
    <n v="2"/>
    <s v="Yes"/>
    <n v="13"/>
    <n v="3"/>
    <n v="3"/>
    <n v="1"/>
    <n v="21"/>
    <n v="5"/>
    <n v="2"/>
    <n v="10"/>
    <n v="9"/>
    <n v="9"/>
    <n v="5"/>
  </r>
  <r>
    <n v="32"/>
    <s v="No"/>
    <s v="Travel_Rarely"/>
    <n v="1093"/>
    <s v="Sales"/>
    <n v="6"/>
    <n v="4"/>
    <s v="Medical"/>
    <n v="2"/>
    <s v="Male"/>
    <n v="87"/>
    <n v="3"/>
    <n v="2"/>
    <s v="Sales Executive"/>
    <n v="3"/>
    <s v="Single"/>
    <n v="5010"/>
    <n v="24301"/>
    <n v="1"/>
    <s v="No"/>
    <n v="16"/>
    <n v="3"/>
    <n v="1"/>
    <n v="0"/>
    <n v="12"/>
    <n v="0"/>
    <n v="3"/>
    <n v="11"/>
    <n v="8"/>
    <n v="5"/>
    <n v="7"/>
  </r>
  <r>
    <n v="54"/>
    <s v="No"/>
    <s v="Travel_Rarely"/>
    <n v="1217"/>
    <s v="Research &amp; Development"/>
    <n v="2"/>
    <n v="4"/>
    <s v="Technical Degree"/>
    <n v="1"/>
    <s v="Female"/>
    <n v="60"/>
    <n v="3"/>
    <n v="3"/>
    <s v="Research Director"/>
    <n v="3"/>
    <s v="Married"/>
    <n v="13549"/>
    <n v="24001"/>
    <n v="9"/>
    <s v="No"/>
    <n v="12"/>
    <n v="3"/>
    <n v="1"/>
    <n v="1"/>
    <n v="16"/>
    <n v="5"/>
    <n v="1"/>
    <n v="4"/>
    <n v="3"/>
    <n v="0"/>
    <n v="3"/>
  </r>
  <r>
    <n v="24"/>
    <s v="No"/>
    <s v="Travel_Rarely"/>
    <n v="1353"/>
    <s v="Sales"/>
    <n v="3"/>
    <n v="2"/>
    <s v="Other"/>
    <n v="1"/>
    <s v="Female"/>
    <n v="33"/>
    <n v="3"/>
    <n v="2"/>
    <s v="Sales Executive"/>
    <n v="3"/>
    <s v="Married"/>
    <n v="4999"/>
    <n v="17519"/>
    <n v="0"/>
    <s v="No"/>
    <n v="21"/>
    <n v="4"/>
    <n v="1"/>
    <n v="1"/>
    <n v="4"/>
    <n v="2"/>
    <n v="2"/>
    <n v="3"/>
    <n v="2"/>
    <n v="0"/>
    <n v="2"/>
  </r>
  <r>
    <n v="28"/>
    <s v="No"/>
    <s v="Non-Travel"/>
    <n v="120"/>
    <s v="Sales"/>
    <n v="4"/>
    <n v="3"/>
    <s v="Medical"/>
    <n v="2"/>
    <s v="Male"/>
    <n v="43"/>
    <n v="3"/>
    <n v="2"/>
    <s v="Sales Executive"/>
    <n v="3"/>
    <s v="Married"/>
    <n v="4221"/>
    <n v="8863"/>
    <n v="1"/>
    <s v="No"/>
    <n v="15"/>
    <n v="3"/>
    <n v="2"/>
    <n v="0"/>
    <n v="5"/>
    <n v="3"/>
    <n v="4"/>
    <n v="5"/>
    <n v="4"/>
    <n v="0"/>
    <n v="4"/>
  </r>
  <r>
    <n v="58"/>
    <s v="No"/>
    <s v="Travel_Rarely"/>
    <n v="682"/>
    <s v="Sales"/>
    <n v="10"/>
    <n v="4"/>
    <s v="Medical"/>
    <n v="4"/>
    <s v="Male"/>
    <n v="37"/>
    <n v="3"/>
    <n v="4"/>
    <s v="Sales Executive"/>
    <n v="3"/>
    <s v="Single"/>
    <n v="13872"/>
    <n v="24409"/>
    <n v="0"/>
    <s v="No"/>
    <n v="13"/>
    <n v="3"/>
    <n v="3"/>
    <n v="0"/>
    <n v="38"/>
    <n v="1"/>
    <n v="2"/>
    <n v="37"/>
    <n v="10"/>
    <n v="1"/>
    <n v="8"/>
  </r>
  <r>
    <n v="44"/>
    <s v="No"/>
    <s v="Non-Travel"/>
    <n v="489"/>
    <s v="Research &amp; Development"/>
    <n v="23"/>
    <n v="3"/>
    <s v="Medical"/>
    <n v="2"/>
    <s v="Male"/>
    <n v="67"/>
    <n v="3"/>
    <n v="2"/>
    <s v="Laboratory Technician"/>
    <n v="2"/>
    <s v="Married"/>
    <n v="2042"/>
    <n v="25043"/>
    <n v="4"/>
    <s v="No"/>
    <n v="12"/>
    <n v="3"/>
    <n v="3"/>
    <n v="1"/>
    <n v="17"/>
    <n v="3"/>
    <n v="4"/>
    <n v="3"/>
    <n v="2"/>
    <n v="1"/>
    <n v="2"/>
  </r>
  <r>
    <n v="37"/>
    <s v="Yes"/>
    <s v="Travel_Rarely"/>
    <n v="807"/>
    <s v="Human Resources"/>
    <n v="6"/>
    <n v="4"/>
    <s v="Human Resources"/>
    <n v="3"/>
    <s v="Male"/>
    <n v="63"/>
    <n v="3"/>
    <n v="1"/>
    <s v="Human Resources"/>
    <n v="1"/>
    <s v="Divorced"/>
    <n v="2073"/>
    <n v="23648"/>
    <n v="4"/>
    <s v="Yes"/>
    <n v="22"/>
    <n v="4"/>
    <n v="4"/>
    <n v="0"/>
    <n v="7"/>
    <n v="3"/>
    <n v="3"/>
    <n v="3"/>
    <n v="2"/>
    <n v="0"/>
    <n v="2"/>
  </r>
  <r>
    <n v="32"/>
    <s v="No"/>
    <s v="Travel_Rarely"/>
    <n v="827"/>
    <s v="Research &amp; Development"/>
    <n v="1"/>
    <n v="1"/>
    <s v="Life Sciences"/>
    <n v="4"/>
    <s v="Male"/>
    <n v="71"/>
    <n v="3"/>
    <n v="1"/>
    <s v="Research Scientist"/>
    <n v="1"/>
    <s v="Single"/>
    <n v="2956"/>
    <n v="15178"/>
    <n v="1"/>
    <s v="No"/>
    <n v="13"/>
    <n v="3"/>
    <n v="4"/>
    <n v="0"/>
    <n v="1"/>
    <n v="2"/>
    <n v="3"/>
    <n v="1"/>
    <n v="0"/>
    <n v="0"/>
    <n v="0"/>
  </r>
  <r>
    <n v="20"/>
    <s v="Yes"/>
    <s v="Travel_Frequently"/>
    <n v="871"/>
    <s v="Research &amp; Development"/>
    <n v="6"/>
    <n v="3"/>
    <s v="Life Sciences"/>
    <n v="4"/>
    <s v="Female"/>
    <n v="66"/>
    <n v="2"/>
    <n v="1"/>
    <s v="Laboratory Technician"/>
    <n v="4"/>
    <s v="Single"/>
    <n v="2926"/>
    <n v="19783"/>
    <n v="1"/>
    <s v="Yes"/>
    <n v="18"/>
    <n v="3"/>
    <n v="2"/>
    <n v="0"/>
    <n v="1"/>
    <n v="5"/>
    <n v="3"/>
    <n v="1"/>
    <n v="0"/>
    <n v="1"/>
    <n v="0"/>
  </r>
  <r>
    <n v="34"/>
    <s v="No"/>
    <s v="Travel_Rarely"/>
    <n v="665"/>
    <s v="Research &amp; Development"/>
    <n v="6"/>
    <n v="4"/>
    <s v="Other"/>
    <n v="1"/>
    <s v="Female"/>
    <n v="41"/>
    <n v="3"/>
    <n v="2"/>
    <s v="Research Scientist"/>
    <n v="3"/>
    <s v="Single"/>
    <n v="4809"/>
    <n v="12482"/>
    <n v="1"/>
    <s v="No"/>
    <n v="14"/>
    <n v="3"/>
    <n v="3"/>
    <n v="0"/>
    <n v="16"/>
    <n v="3"/>
    <n v="3"/>
    <n v="16"/>
    <n v="13"/>
    <n v="2"/>
    <n v="10"/>
  </r>
  <r>
    <n v="37"/>
    <s v="No"/>
    <s v="Non-Travel"/>
    <n v="1040"/>
    <s v="Research &amp; Development"/>
    <n v="2"/>
    <n v="2"/>
    <s v="Life Sciences"/>
    <n v="3"/>
    <s v="Male"/>
    <n v="100"/>
    <n v="2"/>
    <n v="2"/>
    <s v="Healthcare Representative"/>
    <n v="4"/>
    <s v="Divorced"/>
    <n v="5163"/>
    <n v="15850"/>
    <n v="5"/>
    <s v="No"/>
    <n v="14"/>
    <n v="3"/>
    <n v="4"/>
    <n v="1"/>
    <n v="17"/>
    <n v="2"/>
    <n v="4"/>
    <n v="1"/>
    <n v="0"/>
    <n v="0"/>
    <n v="0"/>
  </r>
  <r>
    <n v="59"/>
    <s v="No"/>
    <s v="Non-Travel"/>
    <n v="1420"/>
    <s v="Human Resources"/>
    <n v="2"/>
    <n v="4"/>
    <s v="Human Resources"/>
    <n v="3"/>
    <s v="Female"/>
    <n v="32"/>
    <n v="2"/>
    <n v="5"/>
    <s v="Manager"/>
    <n v="4"/>
    <s v="Married"/>
    <n v="18844"/>
    <n v="21922"/>
    <n v="9"/>
    <s v="No"/>
    <n v="21"/>
    <n v="4"/>
    <n v="4"/>
    <n v="1"/>
    <n v="30"/>
    <n v="3"/>
    <n v="3"/>
    <n v="3"/>
    <n v="2"/>
    <n v="2"/>
    <n v="2"/>
  </r>
  <r>
    <n v="50"/>
    <s v="No"/>
    <s v="Travel_Frequently"/>
    <n v="1115"/>
    <s v="Research &amp; Development"/>
    <n v="1"/>
    <n v="3"/>
    <s v="Life Sciences"/>
    <n v="1"/>
    <s v="Female"/>
    <n v="73"/>
    <n v="3"/>
    <n v="5"/>
    <s v="Research Director"/>
    <n v="2"/>
    <s v="Married"/>
    <n v="18172"/>
    <n v="9755"/>
    <n v="3"/>
    <s v="Yes"/>
    <n v="19"/>
    <n v="3"/>
    <n v="1"/>
    <n v="0"/>
    <n v="28"/>
    <n v="1"/>
    <n v="2"/>
    <n v="8"/>
    <n v="3"/>
    <n v="0"/>
    <n v="7"/>
  </r>
  <r>
    <n v="25"/>
    <s v="Yes"/>
    <s v="Travel_Rarely"/>
    <n v="240"/>
    <s v="Sales"/>
    <n v="5"/>
    <n v="3"/>
    <s v="Marketing"/>
    <n v="3"/>
    <s v="Male"/>
    <n v="46"/>
    <n v="2"/>
    <n v="2"/>
    <s v="Sales Executive"/>
    <n v="3"/>
    <s v="Single"/>
    <n v="5744"/>
    <n v="26959"/>
    <n v="1"/>
    <s v="Yes"/>
    <n v="11"/>
    <n v="3"/>
    <n v="4"/>
    <n v="0"/>
    <n v="6"/>
    <n v="1"/>
    <n v="3"/>
    <n v="6"/>
    <n v="4"/>
    <n v="0"/>
    <n v="3"/>
  </r>
  <r>
    <n v="25"/>
    <s v="No"/>
    <s v="Travel_Rarely"/>
    <n v="1280"/>
    <s v="Research &amp; Development"/>
    <n v="7"/>
    <n v="1"/>
    <s v="Medical"/>
    <n v="4"/>
    <s v="Male"/>
    <n v="64"/>
    <n v="2"/>
    <n v="1"/>
    <s v="Research Scientist"/>
    <n v="4"/>
    <s v="Married"/>
    <n v="2889"/>
    <n v="26897"/>
    <n v="1"/>
    <s v="No"/>
    <n v="11"/>
    <n v="3"/>
    <n v="3"/>
    <n v="2"/>
    <n v="2"/>
    <n v="2"/>
    <n v="3"/>
    <n v="2"/>
    <n v="2"/>
    <n v="2"/>
    <n v="1"/>
  </r>
  <r>
    <n v="22"/>
    <s v="No"/>
    <s v="Travel_Rarely"/>
    <n v="534"/>
    <s v="Research &amp; Development"/>
    <n v="15"/>
    <n v="3"/>
    <s v="Medical"/>
    <n v="2"/>
    <s v="Female"/>
    <n v="59"/>
    <n v="3"/>
    <n v="1"/>
    <s v="Laboratory Technician"/>
    <n v="4"/>
    <s v="Single"/>
    <n v="2871"/>
    <n v="23785"/>
    <n v="1"/>
    <s v="No"/>
    <n v="15"/>
    <n v="3"/>
    <n v="3"/>
    <n v="0"/>
    <n v="1"/>
    <n v="5"/>
    <n v="3"/>
    <n v="0"/>
    <n v="0"/>
    <n v="0"/>
    <n v="0"/>
  </r>
  <r>
    <n v="51"/>
    <s v="No"/>
    <s v="Travel_Frequently"/>
    <n v="1456"/>
    <s v="Research &amp; Development"/>
    <n v="1"/>
    <n v="4"/>
    <s v="Medical"/>
    <n v="1"/>
    <s v="Female"/>
    <n v="30"/>
    <n v="2"/>
    <n v="3"/>
    <s v="Healthcare Representative"/>
    <n v="1"/>
    <s v="Single"/>
    <n v="7484"/>
    <n v="25796"/>
    <n v="3"/>
    <s v="No"/>
    <n v="20"/>
    <n v="4"/>
    <n v="3"/>
    <n v="0"/>
    <n v="23"/>
    <n v="1"/>
    <n v="2"/>
    <n v="13"/>
    <n v="12"/>
    <n v="12"/>
    <n v="8"/>
  </r>
  <r>
    <n v="34"/>
    <s v="Yes"/>
    <s v="Travel_Frequently"/>
    <n v="658"/>
    <s v="Research &amp; Development"/>
    <n v="7"/>
    <n v="3"/>
    <s v="Life Sciences"/>
    <n v="1"/>
    <s v="Male"/>
    <n v="66"/>
    <n v="1"/>
    <n v="2"/>
    <s v="Laboratory Technician"/>
    <n v="3"/>
    <s v="Single"/>
    <n v="6074"/>
    <n v="22887"/>
    <n v="1"/>
    <s v="Yes"/>
    <n v="24"/>
    <n v="4"/>
    <n v="4"/>
    <n v="0"/>
    <n v="9"/>
    <n v="3"/>
    <n v="3"/>
    <n v="9"/>
    <n v="7"/>
    <n v="0"/>
    <n v="6"/>
  </r>
  <r>
    <n v="54"/>
    <s v="No"/>
    <s v="Non-Travel"/>
    <n v="142"/>
    <s v="Human Resources"/>
    <n v="26"/>
    <n v="3"/>
    <s v="Human Resources"/>
    <n v="4"/>
    <s v="Female"/>
    <n v="30"/>
    <n v="4"/>
    <n v="4"/>
    <s v="Manager"/>
    <n v="4"/>
    <s v="Single"/>
    <n v="17328"/>
    <n v="13871"/>
    <n v="2"/>
    <s v="Yes"/>
    <n v="12"/>
    <n v="3"/>
    <n v="3"/>
    <n v="0"/>
    <n v="23"/>
    <n v="3"/>
    <n v="3"/>
    <n v="5"/>
    <n v="3"/>
    <n v="4"/>
    <n v="4"/>
  </r>
  <r>
    <n v="24"/>
    <s v="No"/>
    <s v="Travel_Rarely"/>
    <n v="1127"/>
    <s v="Research &amp; Development"/>
    <n v="18"/>
    <n v="1"/>
    <s v="Life Sciences"/>
    <n v="2"/>
    <s v="Male"/>
    <n v="52"/>
    <n v="3"/>
    <n v="1"/>
    <s v="Laboratory Technician"/>
    <n v="3"/>
    <s v="Married"/>
    <n v="2774"/>
    <n v="13257"/>
    <n v="0"/>
    <s v="No"/>
    <n v="12"/>
    <n v="3"/>
    <n v="3"/>
    <n v="1"/>
    <n v="6"/>
    <n v="2"/>
    <n v="3"/>
    <n v="5"/>
    <n v="3"/>
    <n v="1"/>
    <n v="2"/>
  </r>
  <r>
    <n v="34"/>
    <s v="No"/>
    <s v="Travel_Rarely"/>
    <n v="1031"/>
    <s v="Research &amp; Development"/>
    <n v="6"/>
    <n v="4"/>
    <s v="Life Sciences"/>
    <n v="3"/>
    <s v="Female"/>
    <n v="45"/>
    <n v="2"/>
    <n v="2"/>
    <s v="Research Scientist"/>
    <n v="2"/>
    <s v="Divorced"/>
    <n v="4505"/>
    <n v="15000"/>
    <n v="6"/>
    <s v="No"/>
    <n v="15"/>
    <n v="3"/>
    <n v="3"/>
    <n v="1"/>
    <n v="12"/>
    <n v="3"/>
    <n v="3"/>
    <n v="1"/>
    <n v="0"/>
    <n v="0"/>
    <n v="0"/>
  </r>
  <r>
    <n v="37"/>
    <s v="No"/>
    <s v="Travel_Rarely"/>
    <n v="1189"/>
    <s v="Sales"/>
    <n v="3"/>
    <n v="3"/>
    <s v="Life Sciences"/>
    <n v="3"/>
    <s v="Male"/>
    <n v="87"/>
    <n v="3"/>
    <n v="3"/>
    <s v="Sales Executive"/>
    <n v="4"/>
    <s v="Single"/>
    <n v="7428"/>
    <n v="14506"/>
    <n v="2"/>
    <s v="No"/>
    <n v="12"/>
    <n v="3"/>
    <n v="1"/>
    <n v="0"/>
    <n v="12"/>
    <n v="3"/>
    <n v="3"/>
    <n v="5"/>
    <n v="3"/>
    <n v="1"/>
    <n v="3"/>
  </r>
  <r>
    <n v="34"/>
    <s v="No"/>
    <s v="Travel_Rarely"/>
    <n v="1354"/>
    <s v="Research &amp; Development"/>
    <n v="5"/>
    <n v="3"/>
    <s v="Medical"/>
    <n v="3"/>
    <s v="Female"/>
    <n v="45"/>
    <n v="2"/>
    <n v="3"/>
    <s v="Manager"/>
    <n v="1"/>
    <s v="Single"/>
    <n v="11631"/>
    <n v="5615"/>
    <n v="2"/>
    <s v="No"/>
    <n v="12"/>
    <n v="3"/>
    <n v="4"/>
    <n v="0"/>
    <n v="14"/>
    <n v="6"/>
    <n v="3"/>
    <n v="11"/>
    <n v="10"/>
    <n v="5"/>
    <n v="8"/>
  </r>
  <r>
    <n v="36"/>
    <s v="No"/>
    <s v="Travel_Frequently"/>
    <n v="1467"/>
    <s v="Sales"/>
    <n v="11"/>
    <n v="2"/>
    <s v="Technical Degree"/>
    <n v="2"/>
    <s v="Female"/>
    <n v="92"/>
    <n v="3"/>
    <n v="3"/>
    <s v="Sales Executive"/>
    <n v="4"/>
    <s v="Married"/>
    <n v="9738"/>
    <n v="22952"/>
    <n v="0"/>
    <s v="No"/>
    <n v="14"/>
    <n v="3"/>
    <n v="3"/>
    <n v="1"/>
    <n v="10"/>
    <n v="6"/>
    <n v="3"/>
    <n v="9"/>
    <n v="7"/>
    <n v="2"/>
    <n v="8"/>
  </r>
  <r>
    <n v="36"/>
    <s v="No"/>
    <s v="Travel_Rarely"/>
    <n v="922"/>
    <s v="Research &amp; Development"/>
    <n v="3"/>
    <n v="2"/>
    <s v="Life Sciences"/>
    <n v="1"/>
    <s v="Female"/>
    <n v="39"/>
    <n v="3"/>
    <n v="1"/>
    <s v="Laboratory Technician"/>
    <n v="4"/>
    <s v="Divorced"/>
    <n v="2835"/>
    <n v="2561"/>
    <n v="5"/>
    <s v="No"/>
    <n v="22"/>
    <n v="4"/>
    <n v="1"/>
    <n v="1"/>
    <n v="7"/>
    <n v="2"/>
    <n v="3"/>
    <n v="1"/>
    <n v="0"/>
    <n v="0"/>
    <n v="0"/>
  </r>
  <r>
    <n v="43"/>
    <s v="No"/>
    <s v="Travel_Frequently"/>
    <n v="394"/>
    <s v="Sales"/>
    <n v="26"/>
    <n v="2"/>
    <s v="Life Sciences"/>
    <n v="3"/>
    <s v="Male"/>
    <n v="92"/>
    <n v="3"/>
    <n v="4"/>
    <s v="Manager"/>
    <n v="4"/>
    <s v="Married"/>
    <n v="16959"/>
    <n v="19494"/>
    <n v="1"/>
    <s v="Yes"/>
    <n v="12"/>
    <n v="3"/>
    <n v="4"/>
    <n v="2"/>
    <n v="25"/>
    <n v="3"/>
    <n v="4"/>
    <n v="25"/>
    <n v="12"/>
    <n v="4"/>
    <n v="12"/>
  </r>
  <r>
    <n v="30"/>
    <s v="No"/>
    <s v="Travel_Frequently"/>
    <n v="1312"/>
    <s v="Research &amp; Development"/>
    <n v="23"/>
    <n v="3"/>
    <s v="Life Sciences"/>
    <n v="1"/>
    <s v="Male"/>
    <n v="96"/>
    <n v="1"/>
    <n v="1"/>
    <s v="Research Scientist"/>
    <n v="3"/>
    <s v="Divorced"/>
    <n v="2613"/>
    <n v="22310"/>
    <n v="1"/>
    <s v="No"/>
    <n v="25"/>
    <n v="4"/>
    <n v="3"/>
    <n v="3"/>
    <n v="10"/>
    <n v="2"/>
    <n v="2"/>
    <n v="10"/>
    <n v="7"/>
    <n v="0"/>
    <n v="9"/>
  </r>
  <r>
    <n v="33"/>
    <s v="No"/>
    <s v="Non-Travel"/>
    <n v="750"/>
    <s v="Sales"/>
    <n v="22"/>
    <n v="2"/>
    <s v="Marketing"/>
    <n v="3"/>
    <s v="Male"/>
    <n v="95"/>
    <n v="3"/>
    <n v="2"/>
    <s v="Sales Executive"/>
    <n v="2"/>
    <s v="Married"/>
    <n v="6146"/>
    <n v="15480"/>
    <n v="0"/>
    <s v="No"/>
    <n v="13"/>
    <n v="3"/>
    <n v="1"/>
    <n v="1"/>
    <n v="8"/>
    <n v="2"/>
    <n v="4"/>
    <n v="7"/>
    <n v="7"/>
    <n v="0"/>
    <n v="7"/>
  </r>
  <r>
    <n v="56"/>
    <s v="Yes"/>
    <s v="Travel_Rarely"/>
    <n v="441"/>
    <s v="Research &amp; Development"/>
    <n v="14"/>
    <n v="4"/>
    <s v="Life Sciences"/>
    <n v="2"/>
    <s v="Female"/>
    <n v="72"/>
    <n v="3"/>
    <n v="1"/>
    <s v="Research Scientist"/>
    <n v="2"/>
    <s v="Married"/>
    <n v="4963"/>
    <n v="4510"/>
    <n v="9"/>
    <s v="Yes"/>
    <n v="18"/>
    <n v="3"/>
    <n v="1"/>
    <n v="3"/>
    <n v="7"/>
    <n v="2"/>
    <n v="3"/>
    <n v="5"/>
    <n v="4"/>
    <n v="4"/>
    <n v="3"/>
  </r>
  <r>
    <n v="51"/>
    <s v="No"/>
    <s v="Travel_Rarely"/>
    <n v="684"/>
    <s v="Research &amp; Development"/>
    <n v="6"/>
    <n v="3"/>
    <s v="Life Sciences"/>
    <n v="1"/>
    <s v="Male"/>
    <n v="51"/>
    <n v="3"/>
    <n v="5"/>
    <s v="Research Director"/>
    <n v="3"/>
    <s v="Single"/>
    <n v="19537"/>
    <n v="6462"/>
    <n v="7"/>
    <s v="No"/>
    <n v="13"/>
    <n v="3"/>
    <n v="3"/>
    <n v="0"/>
    <n v="23"/>
    <n v="5"/>
    <n v="3"/>
    <n v="20"/>
    <n v="18"/>
    <n v="15"/>
    <n v="15"/>
  </r>
  <r>
    <n v="31"/>
    <s v="Yes"/>
    <s v="Travel_Rarely"/>
    <n v="249"/>
    <s v="Sales"/>
    <n v="6"/>
    <n v="4"/>
    <s v="Life Sciences"/>
    <n v="2"/>
    <s v="Male"/>
    <n v="76"/>
    <n v="1"/>
    <n v="2"/>
    <s v="Sales Executive"/>
    <n v="3"/>
    <s v="Married"/>
    <n v="6172"/>
    <n v="20739"/>
    <n v="4"/>
    <s v="Yes"/>
    <n v="18"/>
    <n v="3"/>
    <n v="2"/>
    <n v="0"/>
    <n v="12"/>
    <n v="3"/>
    <n v="2"/>
    <n v="7"/>
    <n v="7"/>
    <n v="7"/>
    <n v="7"/>
  </r>
  <r>
    <n v="26"/>
    <s v="No"/>
    <s v="Travel_Rarely"/>
    <n v="841"/>
    <s v="Research &amp; Development"/>
    <n v="6"/>
    <n v="3"/>
    <s v="Other"/>
    <n v="3"/>
    <s v="Female"/>
    <n v="46"/>
    <n v="2"/>
    <n v="1"/>
    <s v="Research Scientist"/>
    <n v="2"/>
    <s v="Married"/>
    <n v="2368"/>
    <n v="23300"/>
    <n v="1"/>
    <s v="No"/>
    <n v="19"/>
    <n v="3"/>
    <n v="3"/>
    <n v="0"/>
    <n v="5"/>
    <n v="3"/>
    <n v="2"/>
    <n v="5"/>
    <n v="4"/>
    <n v="4"/>
    <n v="3"/>
  </r>
  <r>
    <n v="58"/>
    <s v="Yes"/>
    <s v="Travel_Rarely"/>
    <n v="147"/>
    <s v="Research &amp; Development"/>
    <n v="23"/>
    <n v="4"/>
    <s v="Medical"/>
    <n v="4"/>
    <s v="Female"/>
    <n v="94"/>
    <n v="3"/>
    <n v="3"/>
    <s v="Healthcare Representative"/>
    <n v="4"/>
    <s v="Married"/>
    <n v="10312"/>
    <n v="3465"/>
    <n v="1"/>
    <s v="No"/>
    <n v="12"/>
    <n v="3"/>
    <n v="4"/>
    <n v="1"/>
    <n v="40"/>
    <n v="3"/>
    <n v="2"/>
    <n v="40"/>
    <n v="10"/>
    <n v="15"/>
    <n v="6"/>
  </r>
  <r>
    <n v="19"/>
    <s v="Yes"/>
    <s v="Travel_Rarely"/>
    <n v="528"/>
    <s v="Sales"/>
    <n v="22"/>
    <n v="1"/>
    <s v="Marketing"/>
    <n v="4"/>
    <s v="Male"/>
    <n v="50"/>
    <n v="3"/>
    <n v="1"/>
    <s v="Sales Representative"/>
    <n v="3"/>
    <s v="Single"/>
    <n v="1675"/>
    <n v="26820"/>
    <n v="1"/>
    <s v="Yes"/>
    <n v="19"/>
    <n v="3"/>
    <n v="4"/>
    <n v="0"/>
    <n v="0"/>
    <n v="2"/>
    <n v="2"/>
    <n v="0"/>
    <n v="0"/>
    <n v="0"/>
    <n v="0"/>
  </r>
  <r>
    <n v="22"/>
    <s v="No"/>
    <s v="Travel_Rarely"/>
    <n v="594"/>
    <s v="Research &amp; Development"/>
    <n v="2"/>
    <n v="1"/>
    <s v="Technical Degree"/>
    <n v="3"/>
    <s v="Male"/>
    <n v="100"/>
    <n v="3"/>
    <n v="1"/>
    <s v="Laboratory Technician"/>
    <n v="4"/>
    <s v="Married"/>
    <n v="2523"/>
    <n v="19299"/>
    <n v="0"/>
    <s v="No"/>
    <n v="14"/>
    <n v="3"/>
    <n v="3"/>
    <n v="1"/>
    <n v="3"/>
    <n v="2"/>
    <n v="3"/>
    <n v="2"/>
    <n v="1"/>
    <n v="2"/>
    <n v="1"/>
  </r>
  <r>
    <n v="49"/>
    <s v="No"/>
    <s v="Travel_Rarely"/>
    <n v="470"/>
    <s v="Research &amp; Development"/>
    <n v="20"/>
    <n v="4"/>
    <s v="Medical"/>
    <n v="3"/>
    <s v="Female"/>
    <n v="96"/>
    <n v="3"/>
    <n v="2"/>
    <s v="Manufacturing Director"/>
    <n v="1"/>
    <s v="Married"/>
    <n v="6567"/>
    <n v="5549"/>
    <n v="1"/>
    <s v="No"/>
    <n v="14"/>
    <n v="3"/>
    <n v="3"/>
    <n v="0"/>
    <n v="16"/>
    <n v="2"/>
    <n v="2"/>
    <n v="15"/>
    <n v="11"/>
    <n v="5"/>
    <n v="11"/>
  </r>
  <r>
    <n v="43"/>
    <s v="No"/>
    <s v="Travel_Frequently"/>
    <n v="957"/>
    <s v="Research &amp; Development"/>
    <n v="28"/>
    <n v="3"/>
    <s v="Medical"/>
    <n v="2"/>
    <s v="Female"/>
    <n v="72"/>
    <n v="4"/>
    <n v="1"/>
    <s v="Research Scientist"/>
    <n v="3"/>
    <s v="Single"/>
    <n v="4739"/>
    <n v="16090"/>
    <n v="4"/>
    <s v="No"/>
    <n v="12"/>
    <n v="3"/>
    <n v="4"/>
    <n v="0"/>
    <n v="18"/>
    <n v="2"/>
    <n v="3"/>
    <n v="3"/>
    <n v="2"/>
    <n v="1"/>
    <n v="2"/>
  </r>
  <r>
    <n v="50"/>
    <s v="No"/>
    <s v="Travel_Frequently"/>
    <n v="809"/>
    <s v="Sales"/>
    <n v="12"/>
    <n v="3"/>
    <s v="Marketing"/>
    <n v="3"/>
    <s v="Female"/>
    <n v="77"/>
    <n v="3"/>
    <n v="3"/>
    <s v="Sales Executive"/>
    <n v="4"/>
    <s v="Single"/>
    <n v="9208"/>
    <n v="6645"/>
    <n v="4"/>
    <s v="No"/>
    <n v="11"/>
    <n v="3"/>
    <n v="4"/>
    <n v="0"/>
    <n v="16"/>
    <n v="3"/>
    <n v="3"/>
    <n v="2"/>
    <n v="2"/>
    <n v="2"/>
    <n v="1"/>
  </r>
  <r>
    <n v="31"/>
    <s v="Yes"/>
    <s v="Travel_Rarely"/>
    <n v="542"/>
    <s v="Sales"/>
    <n v="20"/>
    <n v="3"/>
    <s v="Life Sciences"/>
    <n v="2"/>
    <s v="Female"/>
    <n v="71"/>
    <n v="1"/>
    <n v="2"/>
    <s v="Sales Executive"/>
    <n v="3"/>
    <s v="Married"/>
    <n v="4559"/>
    <n v="24788"/>
    <n v="3"/>
    <s v="Yes"/>
    <n v="11"/>
    <n v="3"/>
    <n v="3"/>
    <n v="1"/>
    <n v="4"/>
    <n v="2"/>
    <n v="3"/>
    <n v="2"/>
    <n v="2"/>
    <n v="2"/>
    <n v="2"/>
  </r>
  <r>
    <n v="41"/>
    <s v="No"/>
    <s v="Travel_Rarely"/>
    <n v="802"/>
    <s v="Sales"/>
    <n v="9"/>
    <n v="1"/>
    <s v="Life Sciences"/>
    <n v="3"/>
    <s v="Male"/>
    <n v="96"/>
    <n v="3"/>
    <n v="3"/>
    <s v="Sales Executive"/>
    <n v="3"/>
    <s v="Divorced"/>
    <n v="8189"/>
    <n v="21196"/>
    <n v="3"/>
    <s v="Yes"/>
    <n v="13"/>
    <n v="3"/>
    <n v="3"/>
    <n v="1"/>
    <n v="12"/>
    <n v="2"/>
    <n v="3"/>
    <n v="9"/>
    <n v="7"/>
    <n v="0"/>
    <n v="7"/>
  </r>
  <r>
    <n v="26"/>
    <s v="No"/>
    <s v="Travel_Rarely"/>
    <n v="1355"/>
    <s v="Human Resources"/>
    <n v="25"/>
    <n v="1"/>
    <s v="Life Sciences"/>
    <n v="3"/>
    <s v="Female"/>
    <n v="61"/>
    <n v="3"/>
    <n v="1"/>
    <s v="Human Resources"/>
    <n v="3"/>
    <s v="Married"/>
    <n v="2942"/>
    <n v="8916"/>
    <n v="1"/>
    <s v="No"/>
    <n v="23"/>
    <n v="4"/>
    <n v="4"/>
    <n v="1"/>
    <n v="8"/>
    <n v="3"/>
    <n v="3"/>
    <n v="8"/>
    <n v="7"/>
    <n v="5"/>
    <n v="7"/>
  </r>
  <r>
    <n v="36"/>
    <s v="No"/>
    <s v="Travel_Rarely"/>
    <n v="216"/>
    <s v="Research &amp; Development"/>
    <n v="6"/>
    <n v="2"/>
    <s v="Medical"/>
    <n v="2"/>
    <s v="Male"/>
    <n v="84"/>
    <n v="3"/>
    <n v="2"/>
    <s v="Manufacturing Director"/>
    <n v="2"/>
    <s v="Divorced"/>
    <n v="4941"/>
    <n v="2819"/>
    <n v="6"/>
    <s v="No"/>
    <n v="20"/>
    <n v="4"/>
    <n v="4"/>
    <n v="2"/>
    <n v="7"/>
    <n v="0"/>
    <n v="3"/>
    <n v="3"/>
    <n v="2"/>
    <n v="0"/>
    <n v="1"/>
  </r>
  <r>
    <n v="51"/>
    <s v="Yes"/>
    <s v="Travel_Frequently"/>
    <n v="1150"/>
    <s v="Research &amp; Development"/>
    <n v="8"/>
    <n v="4"/>
    <s v="Life Sciences"/>
    <n v="1"/>
    <s v="Male"/>
    <n v="53"/>
    <n v="1"/>
    <n v="3"/>
    <s v="Manufacturing Director"/>
    <n v="4"/>
    <s v="Single"/>
    <n v="10650"/>
    <n v="25150"/>
    <n v="2"/>
    <s v="No"/>
    <n v="15"/>
    <n v="3"/>
    <n v="4"/>
    <n v="0"/>
    <n v="18"/>
    <n v="2"/>
    <n v="3"/>
    <n v="4"/>
    <n v="2"/>
    <n v="0"/>
    <n v="3"/>
  </r>
  <r>
    <n v="39"/>
    <s v="No"/>
    <s v="Travel_Rarely"/>
    <n v="1329"/>
    <s v="Sales"/>
    <n v="4"/>
    <n v="4"/>
    <s v="Life Sciences"/>
    <n v="4"/>
    <s v="Female"/>
    <n v="47"/>
    <n v="2"/>
    <n v="2"/>
    <s v="Sales Executive"/>
    <n v="3"/>
    <s v="Married"/>
    <n v="5902"/>
    <n v="14590"/>
    <n v="4"/>
    <s v="No"/>
    <n v="14"/>
    <n v="3"/>
    <n v="3"/>
    <n v="1"/>
    <n v="17"/>
    <n v="1"/>
    <n v="4"/>
    <n v="15"/>
    <n v="11"/>
    <n v="5"/>
    <n v="9"/>
  </r>
  <r>
    <n v="25"/>
    <s v="No"/>
    <s v="Travel_Rarely"/>
    <n v="959"/>
    <s v="Sales"/>
    <n v="28"/>
    <n v="3"/>
    <s v="Life Sciences"/>
    <n v="1"/>
    <s v="Male"/>
    <n v="41"/>
    <n v="2"/>
    <n v="2"/>
    <s v="Sales Executive"/>
    <n v="3"/>
    <s v="Married"/>
    <n v="8639"/>
    <n v="24835"/>
    <n v="2"/>
    <s v="No"/>
    <n v="18"/>
    <n v="3"/>
    <n v="4"/>
    <n v="0"/>
    <n v="6"/>
    <n v="3"/>
    <n v="3"/>
    <n v="2"/>
    <n v="2"/>
    <n v="2"/>
    <n v="2"/>
  </r>
  <r>
    <n v="30"/>
    <s v="No"/>
    <s v="Travel_Rarely"/>
    <n v="1240"/>
    <s v="Human Resources"/>
    <n v="9"/>
    <n v="3"/>
    <s v="Human Resources"/>
    <n v="3"/>
    <s v="Male"/>
    <n v="48"/>
    <n v="3"/>
    <n v="2"/>
    <s v="Human Resources"/>
    <n v="4"/>
    <s v="Married"/>
    <n v="6347"/>
    <n v="13982"/>
    <n v="0"/>
    <s v="Yes"/>
    <n v="19"/>
    <n v="3"/>
    <n v="4"/>
    <n v="0"/>
    <n v="12"/>
    <n v="2"/>
    <n v="1"/>
    <n v="11"/>
    <n v="9"/>
    <n v="4"/>
    <n v="7"/>
  </r>
  <r>
    <n v="32"/>
    <s v="Yes"/>
    <s v="Travel_Rarely"/>
    <n v="1033"/>
    <s v="Research &amp; Development"/>
    <n v="9"/>
    <n v="3"/>
    <s v="Medical"/>
    <n v="1"/>
    <s v="Female"/>
    <n v="41"/>
    <n v="3"/>
    <n v="1"/>
    <s v="Laboratory Technician"/>
    <n v="1"/>
    <s v="Single"/>
    <n v="4200"/>
    <n v="10224"/>
    <n v="7"/>
    <s v="No"/>
    <n v="22"/>
    <n v="4"/>
    <n v="1"/>
    <n v="0"/>
    <n v="10"/>
    <n v="2"/>
    <n v="4"/>
    <n v="5"/>
    <n v="4"/>
    <n v="0"/>
    <n v="4"/>
  </r>
  <r>
    <n v="45"/>
    <s v="No"/>
    <s v="Travel_Rarely"/>
    <n v="1316"/>
    <s v="Research &amp; Development"/>
    <n v="29"/>
    <n v="3"/>
    <s v="Medical"/>
    <n v="3"/>
    <s v="Male"/>
    <n v="83"/>
    <n v="3"/>
    <n v="1"/>
    <s v="Research Scientist"/>
    <n v="4"/>
    <s v="Single"/>
    <n v="3452"/>
    <n v="9752"/>
    <n v="5"/>
    <s v="No"/>
    <n v="13"/>
    <n v="3"/>
    <n v="2"/>
    <n v="0"/>
    <n v="9"/>
    <n v="2"/>
    <n v="2"/>
    <n v="6"/>
    <n v="5"/>
    <n v="0"/>
    <n v="3"/>
  </r>
  <r>
    <n v="38"/>
    <s v="No"/>
    <s v="Travel_Rarely"/>
    <n v="364"/>
    <s v="Research &amp; Development"/>
    <n v="3"/>
    <n v="5"/>
    <s v="Technical Degree"/>
    <n v="4"/>
    <s v="Female"/>
    <n v="32"/>
    <n v="3"/>
    <n v="2"/>
    <s v="Research Scientist"/>
    <n v="3"/>
    <s v="Single"/>
    <n v="4317"/>
    <n v="2302"/>
    <n v="3"/>
    <s v="Yes"/>
    <n v="20"/>
    <n v="4"/>
    <n v="2"/>
    <n v="0"/>
    <n v="19"/>
    <n v="2"/>
    <n v="3"/>
    <n v="3"/>
    <n v="2"/>
    <n v="2"/>
    <n v="2"/>
  </r>
  <r>
    <n v="30"/>
    <s v="No"/>
    <s v="Travel_Rarely"/>
    <n v="438"/>
    <s v="Research &amp; Development"/>
    <n v="18"/>
    <n v="3"/>
    <s v="Life Sciences"/>
    <n v="1"/>
    <s v="Female"/>
    <n v="75"/>
    <n v="3"/>
    <n v="1"/>
    <s v="Research Scientist"/>
    <n v="3"/>
    <s v="Single"/>
    <n v="2632"/>
    <n v="23910"/>
    <n v="1"/>
    <s v="No"/>
    <n v="14"/>
    <n v="3"/>
    <n v="3"/>
    <n v="0"/>
    <n v="5"/>
    <n v="4"/>
    <n v="2"/>
    <n v="5"/>
    <n v="4"/>
    <n v="0"/>
    <n v="4"/>
  </r>
  <r>
    <n v="32"/>
    <s v="No"/>
    <s v="Travel_Frequently"/>
    <n v="689"/>
    <s v="Sales"/>
    <n v="9"/>
    <n v="2"/>
    <s v="Medical"/>
    <n v="4"/>
    <s v="Male"/>
    <n v="35"/>
    <n v="1"/>
    <n v="2"/>
    <s v="Sales Executive"/>
    <n v="4"/>
    <s v="Divorced"/>
    <n v="4668"/>
    <n v="22812"/>
    <n v="0"/>
    <s v="No"/>
    <n v="17"/>
    <n v="3"/>
    <n v="4"/>
    <n v="3"/>
    <n v="9"/>
    <n v="2"/>
    <n v="4"/>
    <n v="8"/>
    <n v="7"/>
    <n v="0"/>
    <n v="7"/>
  </r>
  <r>
    <n v="30"/>
    <s v="No"/>
    <s v="Travel_Rarely"/>
    <n v="201"/>
    <s v="Research &amp; Development"/>
    <n v="5"/>
    <n v="3"/>
    <s v="Technical Degree"/>
    <n v="4"/>
    <s v="Female"/>
    <n v="84"/>
    <n v="3"/>
    <n v="1"/>
    <s v="Research Scientist"/>
    <n v="1"/>
    <s v="Divorced"/>
    <n v="3204"/>
    <n v="10415"/>
    <n v="5"/>
    <s v="No"/>
    <n v="14"/>
    <n v="3"/>
    <n v="4"/>
    <n v="1"/>
    <n v="8"/>
    <n v="3"/>
    <n v="3"/>
    <n v="3"/>
    <n v="2"/>
    <n v="2"/>
    <n v="2"/>
  </r>
  <r>
    <n v="30"/>
    <s v="No"/>
    <s v="Travel_Rarely"/>
    <n v="1427"/>
    <s v="Research &amp; Development"/>
    <n v="2"/>
    <n v="1"/>
    <s v="Medical"/>
    <n v="2"/>
    <s v="Male"/>
    <n v="35"/>
    <n v="2"/>
    <n v="1"/>
    <s v="Laboratory Technician"/>
    <n v="4"/>
    <s v="Single"/>
    <n v="2720"/>
    <n v="11162"/>
    <n v="0"/>
    <s v="No"/>
    <n v="13"/>
    <n v="3"/>
    <n v="4"/>
    <n v="0"/>
    <n v="6"/>
    <n v="3"/>
    <n v="3"/>
    <n v="5"/>
    <n v="3"/>
    <n v="1"/>
    <n v="2"/>
  </r>
  <r>
    <n v="41"/>
    <s v="No"/>
    <s v="Travel_Frequently"/>
    <n v="857"/>
    <s v="Research &amp; Development"/>
    <n v="10"/>
    <n v="3"/>
    <s v="Life Sciences"/>
    <n v="4"/>
    <s v="Male"/>
    <n v="91"/>
    <n v="2"/>
    <n v="4"/>
    <s v="Manager"/>
    <n v="1"/>
    <s v="Divorced"/>
    <n v="17181"/>
    <n v="12888"/>
    <n v="4"/>
    <s v="No"/>
    <n v="13"/>
    <n v="3"/>
    <n v="2"/>
    <n v="1"/>
    <n v="21"/>
    <n v="2"/>
    <n v="2"/>
    <n v="7"/>
    <n v="6"/>
    <n v="7"/>
    <n v="7"/>
  </r>
  <r>
    <n v="41"/>
    <s v="No"/>
    <s v="Travel_Rarely"/>
    <n v="933"/>
    <s v="Research &amp; Development"/>
    <n v="9"/>
    <n v="4"/>
    <s v="Life Sciences"/>
    <n v="3"/>
    <s v="Male"/>
    <n v="94"/>
    <n v="3"/>
    <n v="1"/>
    <s v="Laboratory Technician"/>
    <n v="1"/>
    <s v="Married"/>
    <n v="2238"/>
    <n v="6961"/>
    <n v="2"/>
    <s v="No"/>
    <n v="21"/>
    <n v="4"/>
    <n v="4"/>
    <n v="1"/>
    <n v="7"/>
    <n v="2"/>
    <n v="3"/>
    <n v="5"/>
    <n v="0"/>
    <n v="1"/>
    <n v="4"/>
  </r>
  <r>
    <n v="19"/>
    <s v="No"/>
    <s v="Travel_Rarely"/>
    <n v="1181"/>
    <s v="Research &amp; Development"/>
    <n v="3"/>
    <n v="1"/>
    <s v="Medical"/>
    <n v="2"/>
    <s v="Female"/>
    <n v="79"/>
    <n v="3"/>
    <n v="1"/>
    <s v="Laboratory Technician"/>
    <n v="2"/>
    <s v="Single"/>
    <n v="1483"/>
    <n v="16102"/>
    <n v="1"/>
    <s v="No"/>
    <n v="14"/>
    <n v="3"/>
    <n v="4"/>
    <n v="0"/>
    <n v="1"/>
    <n v="3"/>
    <n v="3"/>
    <n v="1"/>
    <n v="0"/>
    <n v="0"/>
    <n v="0"/>
  </r>
  <r>
    <n v="40"/>
    <s v="No"/>
    <s v="Travel_Frequently"/>
    <n v="1395"/>
    <s v="Research &amp; Development"/>
    <n v="26"/>
    <n v="3"/>
    <s v="Medical"/>
    <n v="2"/>
    <s v="Female"/>
    <n v="54"/>
    <n v="3"/>
    <n v="2"/>
    <s v="Research Scientist"/>
    <n v="2"/>
    <s v="Divorced"/>
    <n v="5605"/>
    <n v="8504"/>
    <n v="1"/>
    <s v="No"/>
    <n v="11"/>
    <n v="3"/>
    <n v="1"/>
    <n v="1"/>
    <n v="20"/>
    <n v="2"/>
    <n v="3"/>
    <n v="20"/>
    <n v="7"/>
    <n v="2"/>
    <n v="13"/>
  </r>
  <r>
    <n v="35"/>
    <s v="No"/>
    <s v="Travel_Rarely"/>
    <n v="662"/>
    <s v="Sales"/>
    <n v="1"/>
    <n v="5"/>
    <s v="Marketing"/>
    <n v="3"/>
    <s v="Male"/>
    <n v="94"/>
    <n v="3"/>
    <n v="3"/>
    <s v="Sales Executive"/>
    <n v="2"/>
    <s v="Married"/>
    <n v="7295"/>
    <n v="11439"/>
    <n v="1"/>
    <s v="No"/>
    <n v="13"/>
    <n v="3"/>
    <n v="1"/>
    <n v="2"/>
    <n v="10"/>
    <n v="3"/>
    <n v="3"/>
    <n v="10"/>
    <n v="8"/>
    <n v="0"/>
    <n v="6"/>
  </r>
  <r>
    <n v="53"/>
    <s v="No"/>
    <s v="Travel_Rarely"/>
    <n v="1436"/>
    <s v="Sales"/>
    <n v="6"/>
    <n v="2"/>
    <s v="Marketing"/>
    <n v="2"/>
    <s v="Male"/>
    <n v="34"/>
    <n v="3"/>
    <n v="2"/>
    <s v="Sales Representative"/>
    <n v="3"/>
    <s v="Married"/>
    <n v="2306"/>
    <n v="16047"/>
    <n v="2"/>
    <s v="Yes"/>
    <n v="20"/>
    <n v="4"/>
    <n v="4"/>
    <n v="1"/>
    <n v="13"/>
    <n v="3"/>
    <n v="1"/>
    <n v="7"/>
    <n v="7"/>
    <n v="4"/>
    <n v="5"/>
  </r>
  <r>
    <n v="45"/>
    <s v="No"/>
    <s v="Travel_Rarely"/>
    <n v="194"/>
    <s v="Research &amp; Development"/>
    <n v="9"/>
    <n v="3"/>
    <s v="Life Sciences"/>
    <n v="2"/>
    <s v="Male"/>
    <n v="60"/>
    <n v="3"/>
    <n v="2"/>
    <s v="Laboratory Technician"/>
    <n v="2"/>
    <s v="Divorced"/>
    <n v="2348"/>
    <n v="10901"/>
    <n v="8"/>
    <s v="No"/>
    <n v="18"/>
    <n v="3"/>
    <n v="3"/>
    <n v="1"/>
    <n v="20"/>
    <n v="2"/>
    <n v="1"/>
    <n v="17"/>
    <n v="9"/>
    <n v="0"/>
    <n v="15"/>
  </r>
  <r>
    <n v="32"/>
    <s v="No"/>
    <s v="Travel_Frequently"/>
    <n v="967"/>
    <s v="Sales"/>
    <n v="8"/>
    <n v="3"/>
    <s v="Marketing"/>
    <n v="2"/>
    <s v="Female"/>
    <n v="43"/>
    <n v="3"/>
    <n v="3"/>
    <s v="Sales Executive"/>
    <n v="4"/>
    <s v="Single"/>
    <n v="8998"/>
    <n v="15589"/>
    <n v="1"/>
    <s v="No"/>
    <n v="14"/>
    <n v="3"/>
    <n v="4"/>
    <n v="0"/>
    <n v="9"/>
    <n v="2"/>
    <n v="3"/>
    <n v="9"/>
    <n v="8"/>
    <n v="3"/>
    <n v="7"/>
  </r>
  <r>
    <n v="29"/>
    <s v="No"/>
    <s v="Non-Travel"/>
    <n v="1496"/>
    <s v="Research &amp; Development"/>
    <n v="1"/>
    <n v="1"/>
    <s v="Technical Degree"/>
    <n v="4"/>
    <s v="Male"/>
    <n v="41"/>
    <n v="3"/>
    <n v="2"/>
    <s v="Manufacturing Director"/>
    <n v="3"/>
    <s v="Married"/>
    <n v="4319"/>
    <n v="26283"/>
    <n v="1"/>
    <s v="No"/>
    <n v="13"/>
    <n v="3"/>
    <n v="1"/>
    <n v="1"/>
    <n v="10"/>
    <n v="1"/>
    <n v="3"/>
    <n v="10"/>
    <n v="7"/>
    <n v="0"/>
    <n v="9"/>
  </r>
  <r>
    <n v="51"/>
    <s v="No"/>
    <s v="Travel_Rarely"/>
    <n v="1169"/>
    <s v="Research &amp; Development"/>
    <n v="7"/>
    <n v="4"/>
    <s v="Medical"/>
    <n v="2"/>
    <s v="Male"/>
    <n v="34"/>
    <n v="2"/>
    <n v="2"/>
    <s v="Manufacturing Director"/>
    <n v="3"/>
    <s v="Married"/>
    <n v="6132"/>
    <n v="13983"/>
    <n v="2"/>
    <s v="No"/>
    <n v="17"/>
    <n v="3"/>
    <n v="3"/>
    <n v="0"/>
    <n v="10"/>
    <n v="2"/>
    <n v="3"/>
    <n v="1"/>
    <n v="0"/>
    <n v="0"/>
    <n v="0"/>
  </r>
  <r>
    <n v="58"/>
    <s v="No"/>
    <s v="Travel_Rarely"/>
    <n v="1145"/>
    <s v="Research &amp; Development"/>
    <n v="9"/>
    <n v="3"/>
    <s v="Medical"/>
    <n v="2"/>
    <s v="Female"/>
    <n v="75"/>
    <n v="2"/>
    <n v="1"/>
    <s v="Research Scientist"/>
    <n v="2"/>
    <s v="Married"/>
    <n v="3346"/>
    <n v="11873"/>
    <n v="4"/>
    <s v="Yes"/>
    <n v="20"/>
    <n v="4"/>
    <n v="2"/>
    <n v="1"/>
    <n v="9"/>
    <n v="3"/>
    <n v="2"/>
    <n v="1"/>
    <n v="0"/>
    <n v="0"/>
    <n v="0"/>
  </r>
  <r>
    <n v="40"/>
    <s v="No"/>
    <s v="Travel_Rarely"/>
    <n v="630"/>
    <s v="Sales"/>
    <n v="4"/>
    <n v="4"/>
    <s v="Marketing"/>
    <n v="3"/>
    <s v="Male"/>
    <n v="67"/>
    <n v="2"/>
    <n v="3"/>
    <s v="Sales Executive"/>
    <n v="4"/>
    <s v="Married"/>
    <n v="10855"/>
    <n v="8552"/>
    <n v="7"/>
    <s v="No"/>
    <n v="11"/>
    <n v="3"/>
    <n v="1"/>
    <n v="1"/>
    <n v="15"/>
    <n v="2"/>
    <n v="2"/>
    <n v="12"/>
    <n v="11"/>
    <n v="2"/>
    <n v="11"/>
  </r>
  <r>
    <n v="34"/>
    <s v="No"/>
    <s v="Travel_Frequently"/>
    <n v="303"/>
    <s v="Sales"/>
    <n v="2"/>
    <n v="4"/>
    <s v="Marketing"/>
    <n v="3"/>
    <s v="Female"/>
    <n v="75"/>
    <n v="3"/>
    <n v="1"/>
    <s v="Sales Representative"/>
    <n v="3"/>
    <s v="Married"/>
    <n v="2231"/>
    <n v="11314"/>
    <n v="6"/>
    <s v="No"/>
    <n v="18"/>
    <n v="3"/>
    <n v="4"/>
    <n v="1"/>
    <n v="6"/>
    <n v="3"/>
    <n v="3"/>
    <n v="4"/>
    <n v="3"/>
    <n v="1"/>
    <n v="2"/>
  </r>
  <r>
    <n v="22"/>
    <s v="No"/>
    <s v="Travel_Rarely"/>
    <n v="1256"/>
    <s v="Research &amp; Development"/>
    <n v="19"/>
    <n v="1"/>
    <s v="Medical"/>
    <n v="3"/>
    <s v="Male"/>
    <n v="80"/>
    <n v="3"/>
    <n v="1"/>
    <s v="Research Scientist"/>
    <n v="4"/>
    <s v="Married"/>
    <n v="2323"/>
    <n v="11992"/>
    <n v="1"/>
    <s v="No"/>
    <n v="24"/>
    <n v="4"/>
    <n v="1"/>
    <n v="2"/>
    <n v="2"/>
    <n v="6"/>
    <n v="3"/>
    <n v="2"/>
    <n v="2"/>
    <n v="2"/>
    <n v="2"/>
  </r>
  <r>
    <n v="27"/>
    <s v="No"/>
    <s v="Non-Travel"/>
    <n v="691"/>
    <s v="Research &amp; Development"/>
    <n v="9"/>
    <n v="3"/>
    <s v="Medical"/>
    <n v="4"/>
    <s v="Male"/>
    <n v="57"/>
    <n v="3"/>
    <n v="1"/>
    <s v="Research Scientist"/>
    <n v="2"/>
    <s v="Divorced"/>
    <n v="2024"/>
    <n v="5970"/>
    <n v="6"/>
    <s v="No"/>
    <n v="18"/>
    <n v="3"/>
    <n v="4"/>
    <n v="1"/>
    <n v="6"/>
    <n v="1"/>
    <n v="1"/>
    <n v="2"/>
    <n v="2"/>
    <n v="2"/>
    <n v="2"/>
  </r>
  <r>
    <n v="28"/>
    <s v="No"/>
    <s v="Travel_Rarely"/>
    <n v="440"/>
    <s v="Research &amp; Development"/>
    <n v="21"/>
    <n v="3"/>
    <s v="Medical"/>
    <n v="3"/>
    <s v="Male"/>
    <n v="42"/>
    <n v="3"/>
    <n v="1"/>
    <s v="Research Scientist"/>
    <n v="4"/>
    <s v="Married"/>
    <n v="2713"/>
    <n v="6672"/>
    <n v="1"/>
    <s v="No"/>
    <n v="11"/>
    <n v="3"/>
    <n v="3"/>
    <n v="1"/>
    <n v="5"/>
    <n v="2"/>
    <n v="1"/>
    <n v="5"/>
    <n v="2"/>
    <n v="0"/>
    <n v="2"/>
  </r>
  <r>
    <n v="57"/>
    <s v="No"/>
    <s v="Travel_Rarely"/>
    <n v="334"/>
    <s v="Research &amp; Development"/>
    <n v="24"/>
    <n v="2"/>
    <s v="Life Sciences"/>
    <n v="3"/>
    <s v="Male"/>
    <n v="83"/>
    <n v="4"/>
    <n v="3"/>
    <s v="Healthcare Representative"/>
    <n v="4"/>
    <s v="Divorced"/>
    <n v="9439"/>
    <n v="23402"/>
    <n v="3"/>
    <s v="Yes"/>
    <n v="16"/>
    <n v="3"/>
    <n v="2"/>
    <n v="1"/>
    <n v="12"/>
    <n v="2"/>
    <n v="1"/>
    <n v="5"/>
    <n v="3"/>
    <n v="1"/>
    <n v="4"/>
  </r>
  <r>
    <n v="27"/>
    <s v="No"/>
    <s v="Non-Travel"/>
    <n v="1450"/>
    <s v="Research &amp; Development"/>
    <n v="3"/>
    <n v="3"/>
    <s v="Medical"/>
    <n v="3"/>
    <s v="Male"/>
    <n v="79"/>
    <n v="2"/>
    <n v="1"/>
    <s v="Research Scientist"/>
    <n v="3"/>
    <s v="Divorced"/>
    <n v="2566"/>
    <n v="25326"/>
    <n v="1"/>
    <s v="Yes"/>
    <n v="15"/>
    <n v="3"/>
    <n v="4"/>
    <n v="1"/>
    <n v="1"/>
    <n v="2"/>
    <n v="2"/>
    <n v="1"/>
    <n v="1"/>
    <n v="0"/>
    <n v="1"/>
  </r>
  <r>
    <n v="50"/>
    <s v="No"/>
    <s v="Travel_Rarely"/>
    <n v="1452"/>
    <s v="Research &amp; Development"/>
    <n v="11"/>
    <n v="3"/>
    <s v="Life Sciences"/>
    <n v="3"/>
    <s v="Female"/>
    <n v="53"/>
    <n v="3"/>
    <n v="5"/>
    <s v="Manager"/>
    <n v="2"/>
    <s v="Single"/>
    <n v="19926"/>
    <n v="17053"/>
    <n v="3"/>
    <s v="No"/>
    <n v="15"/>
    <n v="3"/>
    <n v="2"/>
    <n v="0"/>
    <n v="21"/>
    <n v="5"/>
    <n v="3"/>
    <n v="5"/>
    <n v="4"/>
    <n v="4"/>
    <n v="4"/>
  </r>
  <r>
    <n v="41"/>
    <s v="No"/>
    <s v="Travel_Rarely"/>
    <n v="465"/>
    <s v="Research &amp; Development"/>
    <n v="14"/>
    <n v="3"/>
    <s v="Life Sciences"/>
    <n v="1"/>
    <s v="Male"/>
    <n v="56"/>
    <n v="3"/>
    <n v="1"/>
    <s v="Research Scientist"/>
    <n v="3"/>
    <s v="Divorced"/>
    <n v="2451"/>
    <n v="4609"/>
    <n v="4"/>
    <s v="No"/>
    <n v="12"/>
    <n v="3"/>
    <n v="1"/>
    <n v="1"/>
    <n v="13"/>
    <n v="2"/>
    <n v="3"/>
    <n v="9"/>
    <n v="8"/>
    <n v="1"/>
    <n v="8"/>
  </r>
  <r>
    <n v="30"/>
    <s v="No"/>
    <s v="Travel_Rarely"/>
    <n v="1339"/>
    <s v="Sales"/>
    <n v="5"/>
    <n v="3"/>
    <s v="Life Sciences"/>
    <n v="2"/>
    <s v="Female"/>
    <n v="41"/>
    <n v="3"/>
    <n v="3"/>
    <s v="Sales Executive"/>
    <n v="4"/>
    <s v="Married"/>
    <n v="9419"/>
    <n v="8053"/>
    <n v="2"/>
    <s v="No"/>
    <n v="12"/>
    <n v="3"/>
    <n v="3"/>
    <n v="1"/>
    <n v="12"/>
    <n v="2"/>
    <n v="3"/>
    <n v="10"/>
    <n v="9"/>
    <n v="7"/>
    <n v="4"/>
  </r>
  <r>
    <n v="38"/>
    <s v="No"/>
    <s v="Travel_Rarely"/>
    <n v="702"/>
    <s v="Sales"/>
    <n v="1"/>
    <n v="4"/>
    <s v="Life Sciences"/>
    <n v="1"/>
    <s v="Female"/>
    <n v="59"/>
    <n v="2"/>
    <n v="2"/>
    <s v="Sales Executive"/>
    <n v="4"/>
    <s v="Single"/>
    <n v="8686"/>
    <n v="12930"/>
    <n v="4"/>
    <s v="No"/>
    <n v="22"/>
    <n v="4"/>
    <n v="3"/>
    <n v="0"/>
    <n v="12"/>
    <n v="2"/>
    <n v="4"/>
    <n v="8"/>
    <n v="3"/>
    <n v="0"/>
    <n v="7"/>
  </r>
  <r>
    <n v="32"/>
    <s v="No"/>
    <s v="Travel_Rarely"/>
    <n v="120"/>
    <s v="Research &amp; Development"/>
    <n v="6"/>
    <n v="5"/>
    <s v="Life Sciences"/>
    <n v="3"/>
    <s v="Male"/>
    <n v="43"/>
    <n v="3"/>
    <n v="1"/>
    <s v="Research Scientist"/>
    <n v="3"/>
    <s v="Single"/>
    <n v="3038"/>
    <n v="12430"/>
    <n v="3"/>
    <s v="No"/>
    <n v="20"/>
    <n v="4"/>
    <n v="1"/>
    <n v="0"/>
    <n v="8"/>
    <n v="2"/>
    <n v="3"/>
    <n v="5"/>
    <n v="4"/>
    <n v="1"/>
    <n v="4"/>
  </r>
  <r>
    <n v="27"/>
    <s v="No"/>
    <s v="Travel_Rarely"/>
    <n v="1157"/>
    <s v="Research &amp; Development"/>
    <n v="17"/>
    <n v="3"/>
    <s v="Technical Degree"/>
    <n v="3"/>
    <s v="Male"/>
    <n v="51"/>
    <n v="3"/>
    <n v="1"/>
    <s v="Research Scientist"/>
    <n v="2"/>
    <s v="Married"/>
    <n v="3058"/>
    <n v="13364"/>
    <n v="0"/>
    <s v="Yes"/>
    <n v="16"/>
    <n v="3"/>
    <n v="4"/>
    <n v="1"/>
    <n v="6"/>
    <n v="3"/>
    <n v="2"/>
    <n v="5"/>
    <n v="2"/>
    <n v="1"/>
    <n v="1"/>
  </r>
  <r>
    <n v="19"/>
    <s v="Yes"/>
    <s v="Travel_Frequently"/>
    <n v="602"/>
    <s v="Sales"/>
    <n v="1"/>
    <n v="1"/>
    <s v="Technical Degree"/>
    <n v="3"/>
    <s v="Female"/>
    <n v="100"/>
    <n v="1"/>
    <n v="1"/>
    <s v="Sales Representative"/>
    <n v="1"/>
    <s v="Single"/>
    <n v="2325"/>
    <n v="20989"/>
    <n v="0"/>
    <s v="No"/>
    <n v="21"/>
    <n v="4"/>
    <n v="1"/>
    <n v="0"/>
    <n v="1"/>
    <n v="5"/>
    <n v="4"/>
    <n v="0"/>
    <n v="0"/>
    <n v="0"/>
    <n v="0"/>
  </r>
  <r>
    <n v="36"/>
    <s v="No"/>
    <s v="Travel_Frequently"/>
    <n v="1480"/>
    <s v="Research &amp; Development"/>
    <n v="3"/>
    <n v="2"/>
    <s v="Medical"/>
    <n v="4"/>
    <s v="Male"/>
    <n v="30"/>
    <n v="3"/>
    <n v="1"/>
    <s v="Laboratory Technician"/>
    <n v="2"/>
    <s v="Single"/>
    <n v="2088"/>
    <n v="15062"/>
    <n v="4"/>
    <s v="No"/>
    <n v="12"/>
    <n v="3"/>
    <n v="3"/>
    <n v="0"/>
    <n v="13"/>
    <n v="3"/>
    <n v="2"/>
    <n v="8"/>
    <n v="7"/>
    <n v="7"/>
    <n v="2"/>
  </r>
  <r>
    <n v="30"/>
    <s v="No"/>
    <s v="Non-Travel"/>
    <n v="111"/>
    <s v="Research &amp; Development"/>
    <n v="9"/>
    <n v="3"/>
    <s v="Medical"/>
    <n v="3"/>
    <s v="Male"/>
    <n v="66"/>
    <n v="3"/>
    <n v="2"/>
    <s v="Laboratory Technician"/>
    <n v="1"/>
    <s v="Divorced"/>
    <n v="3072"/>
    <n v="11012"/>
    <n v="1"/>
    <s v="No"/>
    <n v="11"/>
    <n v="3"/>
    <n v="3"/>
    <n v="2"/>
    <n v="12"/>
    <n v="4"/>
    <n v="3"/>
    <n v="12"/>
    <n v="9"/>
    <n v="6"/>
    <n v="10"/>
  </r>
  <r>
    <n v="45"/>
    <s v="No"/>
    <s v="Travel_Rarely"/>
    <n v="1268"/>
    <s v="Sales"/>
    <n v="4"/>
    <n v="2"/>
    <s v="Life Sciences"/>
    <n v="3"/>
    <s v="Female"/>
    <n v="30"/>
    <n v="3"/>
    <n v="2"/>
    <s v="Sales Executive"/>
    <n v="1"/>
    <s v="Divorced"/>
    <n v="5006"/>
    <n v="6319"/>
    <n v="4"/>
    <s v="Yes"/>
    <n v="11"/>
    <n v="3"/>
    <n v="1"/>
    <n v="1"/>
    <n v="9"/>
    <n v="3"/>
    <n v="4"/>
    <n v="5"/>
    <n v="4"/>
    <n v="0"/>
    <n v="3"/>
  </r>
  <r>
    <n v="56"/>
    <s v="No"/>
    <s v="Travel_Rarely"/>
    <n v="713"/>
    <s v="Research &amp; Development"/>
    <n v="8"/>
    <n v="3"/>
    <s v="Life Sciences"/>
    <n v="3"/>
    <s v="Female"/>
    <n v="67"/>
    <n v="3"/>
    <n v="1"/>
    <s v="Research Scientist"/>
    <n v="1"/>
    <s v="Divorced"/>
    <n v="4257"/>
    <n v="13939"/>
    <n v="4"/>
    <s v="Yes"/>
    <n v="18"/>
    <n v="3"/>
    <n v="3"/>
    <n v="1"/>
    <n v="19"/>
    <n v="3"/>
    <n v="3"/>
    <n v="2"/>
    <n v="2"/>
    <n v="2"/>
    <n v="2"/>
  </r>
  <r>
    <n v="33"/>
    <s v="No"/>
    <s v="Travel_Rarely"/>
    <n v="134"/>
    <s v="Research &amp; Development"/>
    <n v="2"/>
    <n v="3"/>
    <s v="Life Sciences"/>
    <n v="3"/>
    <s v="Male"/>
    <n v="90"/>
    <n v="3"/>
    <n v="1"/>
    <s v="Research Scientist"/>
    <n v="4"/>
    <s v="Single"/>
    <n v="2500"/>
    <n v="10515"/>
    <n v="0"/>
    <s v="No"/>
    <n v="14"/>
    <n v="3"/>
    <n v="1"/>
    <n v="0"/>
    <n v="4"/>
    <n v="2"/>
    <n v="4"/>
    <n v="3"/>
    <n v="1"/>
    <n v="0"/>
    <n v="2"/>
  </r>
  <r>
    <n v="19"/>
    <s v="Yes"/>
    <s v="Travel_Rarely"/>
    <n v="303"/>
    <s v="Research &amp; Development"/>
    <n v="2"/>
    <n v="3"/>
    <s v="Life Sciences"/>
    <n v="2"/>
    <s v="Male"/>
    <n v="47"/>
    <n v="2"/>
    <n v="1"/>
    <s v="Laboratory Technician"/>
    <n v="4"/>
    <s v="Single"/>
    <n v="1102"/>
    <n v="9241"/>
    <n v="1"/>
    <s v="No"/>
    <n v="22"/>
    <n v="4"/>
    <n v="3"/>
    <n v="0"/>
    <n v="1"/>
    <n v="3"/>
    <n v="2"/>
    <n v="1"/>
    <n v="0"/>
    <n v="1"/>
    <n v="0"/>
  </r>
  <r>
    <n v="46"/>
    <s v="No"/>
    <s v="Travel_Rarely"/>
    <n v="526"/>
    <s v="Sales"/>
    <n v="1"/>
    <n v="2"/>
    <s v="Marketing"/>
    <n v="2"/>
    <s v="Female"/>
    <n v="92"/>
    <n v="3"/>
    <n v="3"/>
    <s v="Sales Executive"/>
    <n v="1"/>
    <s v="Divorced"/>
    <n v="10453"/>
    <n v="2137"/>
    <n v="1"/>
    <s v="No"/>
    <n v="25"/>
    <n v="4"/>
    <n v="3"/>
    <n v="3"/>
    <n v="24"/>
    <n v="2"/>
    <n v="3"/>
    <n v="24"/>
    <n v="13"/>
    <n v="15"/>
    <n v="7"/>
  </r>
  <r>
    <n v="38"/>
    <s v="No"/>
    <s v="Travel_Rarely"/>
    <n v="1380"/>
    <s v="Research &amp; Development"/>
    <n v="9"/>
    <n v="2"/>
    <s v="Life Sciences"/>
    <n v="3"/>
    <s v="Female"/>
    <n v="75"/>
    <n v="3"/>
    <n v="1"/>
    <s v="Laboratory Technician"/>
    <n v="4"/>
    <s v="Single"/>
    <n v="2288"/>
    <n v="6319"/>
    <n v="1"/>
    <s v="No"/>
    <n v="12"/>
    <n v="3"/>
    <n v="3"/>
    <n v="0"/>
    <n v="2"/>
    <n v="3"/>
    <n v="3"/>
    <n v="2"/>
    <n v="2"/>
    <n v="2"/>
    <n v="1"/>
  </r>
  <r>
    <n v="31"/>
    <s v="No"/>
    <s v="Travel_Rarely"/>
    <n v="140"/>
    <s v="Research &amp; Development"/>
    <n v="12"/>
    <n v="1"/>
    <s v="Medical"/>
    <n v="3"/>
    <s v="Female"/>
    <n v="95"/>
    <n v="3"/>
    <n v="1"/>
    <s v="Research Scientist"/>
    <n v="4"/>
    <s v="Married"/>
    <n v="3929"/>
    <n v="6984"/>
    <n v="8"/>
    <s v="Yes"/>
    <n v="23"/>
    <n v="4"/>
    <n v="3"/>
    <n v="1"/>
    <n v="7"/>
    <n v="0"/>
    <n v="3"/>
    <n v="4"/>
    <n v="2"/>
    <n v="0"/>
    <n v="2"/>
  </r>
  <r>
    <n v="34"/>
    <s v="No"/>
    <s v="Travel_Rarely"/>
    <n v="629"/>
    <s v="Research &amp; Development"/>
    <n v="27"/>
    <n v="2"/>
    <s v="Medical"/>
    <n v="4"/>
    <s v="Female"/>
    <n v="95"/>
    <n v="3"/>
    <n v="1"/>
    <s v="Research Scientist"/>
    <n v="2"/>
    <s v="Single"/>
    <n v="2311"/>
    <n v="5711"/>
    <n v="2"/>
    <s v="No"/>
    <n v="15"/>
    <n v="3"/>
    <n v="4"/>
    <n v="0"/>
    <n v="9"/>
    <n v="3"/>
    <n v="3"/>
    <n v="3"/>
    <n v="2"/>
    <n v="1"/>
    <n v="2"/>
  </r>
  <r>
    <n v="41"/>
    <s v="Yes"/>
    <s v="Travel_Rarely"/>
    <n v="1356"/>
    <s v="Sales"/>
    <n v="20"/>
    <n v="2"/>
    <s v="Marketing"/>
    <n v="2"/>
    <s v="Female"/>
    <n v="70"/>
    <n v="3"/>
    <n v="1"/>
    <s v="Sales Representative"/>
    <n v="2"/>
    <s v="Single"/>
    <n v="3140"/>
    <n v="21728"/>
    <n v="1"/>
    <s v="Yes"/>
    <n v="22"/>
    <n v="4"/>
    <n v="4"/>
    <n v="0"/>
    <n v="4"/>
    <n v="5"/>
    <n v="2"/>
    <n v="4"/>
    <n v="3"/>
    <n v="0"/>
    <n v="2"/>
  </r>
  <r>
    <n v="50"/>
    <s v="No"/>
    <s v="Travel_Rarely"/>
    <n v="328"/>
    <s v="Research &amp; Development"/>
    <n v="1"/>
    <n v="3"/>
    <s v="Medical"/>
    <n v="3"/>
    <s v="Male"/>
    <n v="86"/>
    <n v="2"/>
    <n v="1"/>
    <s v="Laboratory Technician"/>
    <n v="3"/>
    <s v="Married"/>
    <n v="3690"/>
    <n v="3425"/>
    <n v="2"/>
    <s v="No"/>
    <n v="15"/>
    <n v="3"/>
    <n v="4"/>
    <n v="1"/>
    <n v="5"/>
    <n v="2"/>
    <n v="2"/>
    <n v="3"/>
    <n v="2"/>
    <n v="0"/>
    <n v="2"/>
  </r>
  <r>
    <n v="53"/>
    <s v="No"/>
    <s v="Travel_Rarely"/>
    <n v="1084"/>
    <s v="Research &amp; Development"/>
    <n v="13"/>
    <n v="2"/>
    <s v="Medical"/>
    <n v="4"/>
    <s v="Female"/>
    <n v="57"/>
    <n v="4"/>
    <n v="2"/>
    <s v="Manufacturing Director"/>
    <n v="1"/>
    <s v="Divorced"/>
    <n v="4450"/>
    <n v="26250"/>
    <n v="1"/>
    <s v="No"/>
    <n v="11"/>
    <n v="3"/>
    <n v="3"/>
    <n v="2"/>
    <n v="5"/>
    <n v="3"/>
    <n v="3"/>
    <n v="4"/>
    <n v="2"/>
    <n v="1"/>
    <n v="3"/>
  </r>
  <r>
    <n v="33"/>
    <s v="No"/>
    <s v="Travel_Rarely"/>
    <n v="931"/>
    <s v="Research &amp; Development"/>
    <n v="14"/>
    <n v="3"/>
    <s v="Medical"/>
    <n v="4"/>
    <s v="Female"/>
    <n v="72"/>
    <n v="3"/>
    <n v="1"/>
    <s v="Research Scientist"/>
    <n v="2"/>
    <s v="Married"/>
    <n v="2756"/>
    <n v="4673"/>
    <n v="1"/>
    <s v="No"/>
    <n v="13"/>
    <n v="3"/>
    <n v="4"/>
    <n v="1"/>
    <n v="8"/>
    <n v="5"/>
    <n v="3"/>
    <n v="8"/>
    <n v="7"/>
    <n v="1"/>
    <n v="6"/>
  </r>
  <r>
    <n v="40"/>
    <s v="No"/>
    <s v="Travel_Rarely"/>
    <n v="989"/>
    <s v="Research &amp; Development"/>
    <n v="4"/>
    <n v="1"/>
    <s v="Medical"/>
    <n v="4"/>
    <s v="Female"/>
    <n v="46"/>
    <n v="3"/>
    <n v="5"/>
    <s v="Manager"/>
    <n v="3"/>
    <s v="Married"/>
    <n v="19033"/>
    <n v="6499"/>
    <n v="1"/>
    <s v="No"/>
    <n v="14"/>
    <n v="3"/>
    <n v="2"/>
    <n v="1"/>
    <n v="21"/>
    <n v="2"/>
    <n v="3"/>
    <n v="20"/>
    <n v="8"/>
    <n v="9"/>
    <n v="9"/>
  </r>
  <r>
    <n v="55"/>
    <s v="No"/>
    <s v="Travel_Rarely"/>
    <n v="692"/>
    <s v="Research &amp; Development"/>
    <n v="14"/>
    <n v="4"/>
    <s v="Medical"/>
    <n v="3"/>
    <s v="Male"/>
    <n v="61"/>
    <n v="4"/>
    <n v="5"/>
    <s v="Research Director"/>
    <n v="2"/>
    <s v="Single"/>
    <n v="18722"/>
    <n v="13339"/>
    <n v="8"/>
    <s v="No"/>
    <n v="11"/>
    <n v="3"/>
    <n v="4"/>
    <n v="0"/>
    <n v="36"/>
    <n v="3"/>
    <n v="3"/>
    <n v="24"/>
    <n v="15"/>
    <n v="2"/>
    <n v="15"/>
  </r>
  <r>
    <n v="34"/>
    <s v="No"/>
    <s v="Travel_Frequently"/>
    <n v="1069"/>
    <s v="Research &amp; Development"/>
    <n v="2"/>
    <n v="1"/>
    <s v="Life Sciences"/>
    <n v="4"/>
    <s v="Male"/>
    <n v="45"/>
    <n v="2"/>
    <n v="2"/>
    <s v="Manufacturing Director"/>
    <n v="3"/>
    <s v="Married"/>
    <n v="9547"/>
    <n v="14074"/>
    <n v="1"/>
    <s v="No"/>
    <n v="17"/>
    <n v="3"/>
    <n v="3"/>
    <n v="0"/>
    <n v="10"/>
    <n v="2"/>
    <n v="2"/>
    <n v="10"/>
    <n v="9"/>
    <n v="1"/>
    <n v="9"/>
  </r>
  <r>
    <n v="51"/>
    <s v="No"/>
    <s v="Travel_Rarely"/>
    <n v="313"/>
    <s v="Research &amp; Development"/>
    <n v="3"/>
    <n v="3"/>
    <s v="Medical"/>
    <n v="4"/>
    <s v="Female"/>
    <n v="98"/>
    <n v="3"/>
    <n v="4"/>
    <s v="Healthcare Representative"/>
    <n v="2"/>
    <s v="Single"/>
    <n v="13734"/>
    <n v="7192"/>
    <n v="3"/>
    <s v="No"/>
    <n v="18"/>
    <n v="3"/>
    <n v="3"/>
    <n v="0"/>
    <n v="21"/>
    <n v="6"/>
    <n v="3"/>
    <n v="7"/>
    <n v="7"/>
    <n v="1"/>
    <n v="0"/>
  </r>
  <r>
    <n v="52"/>
    <s v="No"/>
    <s v="Travel_Rarely"/>
    <n v="699"/>
    <s v="Research &amp; Development"/>
    <n v="1"/>
    <n v="4"/>
    <s v="Life Sciences"/>
    <n v="3"/>
    <s v="Male"/>
    <n v="65"/>
    <n v="2"/>
    <n v="5"/>
    <s v="Manager"/>
    <n v="3"/>
    <s v="Married"/>
    <n v="19999"/>
    <n v="5678"/>
    <n v="0"/>
    <s v="No"/>
    <n v="14"/>
    <n v="3"/>
    <n v="1"/>
    <n v="1"/>
    <n v="34"/>
    <n v="5"/>
    <n v="3"/>
    <n v="33"/>
    <n v="18"/>
    <n v="11"/>
    <n v="9"/>
  </r>
  <r>
    <n v="27"/>
    <s v="No"/>
    <s v="Travel_Rarely"/>
    <n v="894"/>
    <s v="Research &amp; Development"/>
    <n v="9"/>
    <n v="3"/>
    <s v="Medical"/>
    <n v="4"/>
    <s v="Female"/>
    <n v="99"/>
    <n v="3"/>
    <n v="1"/>
    <s v="Research Scientist"/>
    <n v="2"/>
    <s v="Single"/>
    <n v="2279"/>
    <n v="11781"/>
    <n v="1"/>
    <s v="No"/>
    <n v="16"/>
    <n v="3"/>
    <n v="4"/>
    <n v="0"/>
    <n v="7"/>
    <n v="2"/>
    <n v="2"/>
    <n v="7"/>
    <n v="7"/>
    <n v="0"/>
    <n v="3"/>
  </r>
  <r>
    <n v="35"/>
    <s v="Yes"/>
    <s v="Travel_Rarely"/>
    <n v="556"/>
    <s v="Research &amp; Development"/>
    <n v="23"/>
    <n v="2"/>
    <s v="Life Sciences"/>
    <n v="2"/>
    <s v="Male"/>
    <n v="50"/>
    <n v="2"/>
    <n v="2"/>
    <s v="Manufacturing Director"/>
    <n v="3"/>
    <s v="Married"/>
    <n v="5916"/>
    <n v="15497"/>
    <n v="3"/>
    <s v="Yes"/>
    <n v="13"/>
    <n v="3"/>
    <n v="1"/>
    <n v="0"/>
    <n v="8"/>
    <n v="1"/>
    <n v="3"/>
    <n v="1"/>
    <n v="0"/>
    <n v="0"/>
    <n v="1"/>
  </r>
  <r>
    <n v="43"/>
    <s v="No"/>
    <s v="Non-Travel"/>
    <n v="1344"/>
    <s v="Research &amp; Development"/>
    <n v="7"/>
    <n v="3"/>
    <s v="Medical"/>
    <n v="4"/>
    <s v="Male"/>
    <n v="37"/>
    <n v="4"/>
    <n v="1"/>
    <s v="Research Scientist"/>
    <n v="4"/>
    <s v="Divorced"/>
    <n v="2089"/>
    <n v="5228"/>
    <n v="4"/>
    <s v="No"/>
    <n v="14"/>
    <n v="3"/>
    <n v="4"/>
    <n v="3"/>
    <n v="7"/>
    <n v="3"/>
    <n v="4"/>
    <n v="5"/>
    <n v="4"/>
    <n v="2"/>
    <n v="2"/>
  </r>
  <r>
    <n v="45"/>
    <s v="No"/>
    <s v="Non-Travel"/>
    <n v="1195"/>
    <s v="Research &amp; Development"/>
    <n v="2"/>
    <n v="2"/>
    <s v="Medical"/>
    <n v="1"/>
    <s v="Male"/>
    <n v="65"/>
    <n v="2"/>
    <n v="4"/>
    <s v="Manager"/>
    <n v="4"/>
    <s v="Married"/>
    <n v="16792"/>
    <n v="20462"/>
    <n v="9"/>
    <s v="No"/>
    <n v="23"/>
    <n v="4"/>
    <n v="4"/>
    <n v="1"/>
    <n v="22"/>
    <n v="1"/>
    <n v="3"/>
    <n v="20"/>
    <n v="8"/>
    <n v="11"/>
    <n v="8"/>
  </r>
  <r>
    <n v="37"/>
    <s v="No"/>
    <s v="Travel_Rarely"/>
    <n v="290"/>
    <s v="Research &amp; Development"/>
    <n v="21"/>
    <n v="3"/>
    <s v="Life Sciences"/>
    <n v="2"/>
    <s v="Male"/>
    <n v="65"/>
    <n v="4"/>
    <n v="1"/>
    <s v="Research Scientist"/>
    <n v="1"/>
    <s v="Married"/>
    <n v="3564"/>
    <n v="22977"/>
    <n v="1"/>
    <s v="Yes"/>
    <n v="12"/>
    <n v="3"/>
    <n v="1"/>
    <n v="1"/>
    <n v="8"/>
    <n v="3"/>
    <n v="2"/>
    <n v="8"/>
    <n v="7"/>
    <n v="1"/>
    <n v="7"/>
  </r>
  <r>
    <n v="35"/>
    <s v="No"/>
    <s v="Travel_Frequently"/>
    <n v="138"/>
    <s v="Research &amp; Development"/>
    <n v="2"/>
    <n v="3"/>
    <s v="Medical"/>
    <n v="2"/>
    <s v="Female"/>
    <n v="37"/>
    <n v="3"/>
    <n v="2"/>
    <s v="Laboratory Technician"/>
    <n v="2"/>
    <s v="Single"/>
    <n v="4425"/>
    <n v="15986"/>
    <n v="5"/>
    <s v="No"/>
    <n v="11"/>
    <n v="3"/>
    <n v="4"/>
    <n v="0"/>
    <n v="10"/>
    <n v="5"/>
    <n v="3"/>
    <n v="6"/>
    <n v="2"/>
    <n v="1"/>
    <n v="2"/>
  </r>
  <r>
    <n v="42"/>
    <s v="No"/>
    <s v="Non-Travel"/>
    <n v="926"/>
    <s v="Research &amp; Development"/>
    <n v="21"/>
    <n v="2"/>
    <s v="Medical"/>
    <n v="3"/>
    <s v="Female"/>
    <n v="36"/>
    <n v="3"/>
    <n v="2"/>
    <s v="Manufacturing Director"/>
    <n v="3"/>
    <s v="Divorced"/>
    <n v="5265"/>
    <n v="16439"/>
    <n v="2"/>
    <s v="No"/>
    <n v="16"/>
    <n v="3"/>
    <n v="2"/>
    <n v="1"/>
    <n v="11"/>
    <n v="5"/>
    <n v="3"/>
    <n v="5"/>
    <n v="3"/>
    <n v="0"/>
    <n v="2"/>
  </r>
  <r>
    <n v="38"/>
    <s v="No"/>
    <s v="Travel_Rarely"/>
    <n v="1261"/>
    <s v="Research &amp; Development"/>
    <n v="2"/>
    <n v="4"/>
    <s v="Life Sciences"/>
    <n v="4"/>
    <s v="Male"/>
    <n v="88"/>
    <n v="3"/>
    <n v="2"/>
    <s v="Manufacturing Director"/>
    <n v="3"/>
    <s v="Married"/>
    <n v="6553"/>
    <n v="7259"/>
    <n v="9"/>
    <s v="No"/>
    <n v="14"/>
    <n v="3"/>
    <n v="2"/>
    <n v="0"/>
    <n v="14"/>
    <n v="3"/>
    <n v="3"/>
    <n v="1"/>
    <n v="0"/>
    <n v="0"/>
    <n v="0"/>
  </r>
  <r>
    <n v="38"/>
    <s v="No"/>
    <s v="Travel_Rarely"/>
    <n v="1084"/>
    <s v="Research &amp; Development"/>
    <n v="29"/>
    <n v="3"/>
    <s v="Technical Degree"/>
    <n v="4"/>
    <s v="Male"/>
    <n v="54"/>
    <n v="3"/>
    <n v="2"/>
    <s v="Manufacturing Director"/>
    <n v="4"/>
    <s v="Married"/>
    <n v="6261"/>
    <n v="4185"/>
    <n v="3"/>
    <s v="No"/>
    <n v="18"/>
    <n v="3"/>
    <n v="1"/>
    <n v="1"/>
    <n v="9"/>
    <n v="3"/>
    <n v="1"/>
    <n v="7"/>
    <n v="7"/>
    <n v="1"/>
    <n v="7"/>
  </r>
  <r>
    <n v="27"/>
    <s v="No"/>
    <s v="Travel_Frequently"/>
    <n v="472"/>
    <s v="Research &amp; Development"/>
    <n v="1"/>
    <n v="1"/>
    <s v="Technical Degree"/>
    <n v="3"/>
    <s v="Male"/>
    <n v="60"/>
    <n v="2"/>
    <n v="2"/>
    <s v="Manufacturing Director"/>
    <n v="1"/>
    <s v="Married"/>
    <n v="4298"/>
    <n v="9679"/>
    <n v="5"/>
    <s v="No"/>
    <n v="19"/>
    <n v="3"/>
    <n v="3"/>
    <n v="1"/>
    <n v="6"/>
    <n v="1"/>
    <n v="3"/>
    <n v="2"/>
    <n v="2"/>
    <n v="2"/>
    <n v="0"/>
  </r>
  <r>
    <n v="49"/>
    <s v="No"/>
    <s v="Non-Travel"/>
    <n v="1002"/>
    <s v="Research &amp; Development"/>
    <n v="18"/>
    <n v="4"/>
    <s v="Life Sciences"/>
    <n v="4"/>
    <s v="Male"/>
    <n v="92"/>
    <n v="3"/>
    <n v="2"/>
    <s v="Manufacturing Director"/>
    <n v="4"/>
    <s v="Divorced"/>
    <n v="6804"/>
    <n v="23793"/>
    <n v="1"/>
    <s v="Yes"/>
    <n v="15"/>
    <n v="3"/>
    <n v="1"/>
    <n v="2"/>
    <n v="7"/>
    <n v="0"/>
    <n v="3"/>
    <n v="7"/>
    <n v="7"/>
    <n v="1"/>
    <n v="7"/>
  </r>
  <r>
    <n v="34"/>
    <s v="No"/>
    <s v="Travel_Frequently"/>
    <n v="878"/>
    <s v="Research &amp; Development"/>
    <n v="10"/>
    <n v="4"/>
    <s v="Medical"/>
    <n v="4"/>
    <s v="Male"/>
    <n v="43"/>
    <n v="3"/>
    <n v="1"/>
    <s v="Research Scientist"/>
    <n v="3"/>
    <s v="Divorced"/>
    <n v="3815"/>
    <n v="5972"/>
    <n v="1"/>
    <s v="Yes"/>
    <n v="17"/>
    <n v="3"/>
    <n v="4"/>
    <n v="1"/>
    <n v="5"/>
    <n v="4"/>
    <n v="4"/>
    <n v="5"/>
    <n v="3"/>
    <n v="2"/>
    <n v="0"/>
  </r>
  <r>
    <n v="40"/>
    <s v="No"/>
    <s v="Travel_Rarely"/>
    <n v="905"/>
    <s v="Research &amp; Development"/>
    <n v="19"/>
    <n v="2"/>
    <s v="Medical"/>
    <n v="3"/>
    <s v="Male"/>
    <n v="99"/>
    <n v="3"/>
    <n v="2"/>
    <s v="Laboratory Technician"/>
    <n v="4"/>
    <s v="Married"/>
    <n v="2741"/>
    <n v="16523"/>
    <n v="8"/>
    <s v="Yes"/>
    <n v="15"/>
    <n v="3"/>
    <n v="3"/>
    <n v="1"/>
    <n v="15"/>
    <n v="2"/>
    <n v="4"/>
    <n v="7"/>
    <n v="2"/>
    <n v="3"/>
    <n v="7"/>
  </r>
  <r>
    <n v="38"/>
    <s v="Yes"/>
    <s v="Travel_Rarely"/>
    <n v="1180"/>
    <s v="Research &amp; Development"/>
    <n v="29"/>
    <n v="1"/>
    <s v="Medical"/>
    <n v="2"/>
    <s v="Male"/>
    <n v="70"/>
    <n v="3"/>
    <n v="2"/>
    <s v="Healthcare Representative"/>
    <n v="1"/>
    <s v="Married"/>
    <n v="6673"/>
    <n v="11354"/>
    <n v="7"/>
    <s v="Yes"/>
    <n v="19"/>
    <n v="3"/>
    <n v="2"/>
    <n v="0"/>
    <n v="17"/>
    <n v="2"/>
    <n v="3"/>
    <n v="1"/>
    <n v="0"/>
    <n v="0"/>
    <n v="0"/>
  </r>
  <r>
    <n v="29"/>
    <s v="Yes"/>
    <s v="Travel_Rarely"/>
    <n v="121"/>
    <s v="Sales"/>
    <n v="27"/>
    <n v="3"/>
    <s v="Marketing"/>
    <n v="2"/>
    <s v="Female"/>
    <n v="35"/>
    <n v="3"/>
    <n v="3"/>
    <s v="Sales Executive"/>
    <n v="4"/>
    <s v="Married"/>
    <n v="7639"/>
    <n v="24525"/>
    <n v="1"/>
    <s v="No"/>
    <n v="22"/>
    <n v="4"/>
    <n v="4"/>
    <n v="3"/>
    <n v="10"/>
    <n v="3"/>
    <n v="2"/>
    <n v="10"/>
    <n v="4"/>
    <n v="1"/>
    <n v="9"/>
  </r>
  <r>
    <n v="22"/>
    <s v="No"/>
    <s v="Travel_Rarely"/>
    <n v="1136"/>
    <s v="Research &amp; Development"/>
    <n v="5"/>
    <n v="3"/>
    <s v="Life Sciences"/>
    <n v="4"/>
    <s v="Male"/>
    <n v="60"/>
    <n v="4"/>
    <n v="1"/>
    <s v="Research Scientist"/>
    <n v="2"/>
    <s v="Divorced"/>
    <n v="2328"/>
    <n v="12392"/>
    <n v="1"/>
    <s v="Yes"/>
    <n v="16"/>
    <n v="3"/>
    <n v="1"/>
    <n v="1"/>
    <n v="4"/>
    <n v="2"/>
    <n v="2"/>
    <n v="4"/>
    <n v="2"/>
    <n v="2"/>
    <n v="2"/>
  </r>
  <r>
    <n v="36"/>
    <s v="No"/>
    <s v="Travel_Frequently"/>
    <n v="635"/>
    <s v="Research &amp; Development"/>
    <n v="18"/>
    <n v="1"/>
    <s v="Medical"/>
    <n v="2"/>
    <s v="Female"/>
    <n v="73"/>
    <n v="3"/>
    <n v="1"/>
    <s v="Laboratory Technician"/>
    <n v="4"/>
    <s v="Single"/>
    <n v="2153"/>
    <n v="7703"/>
    <n v="1"/>
    <s v="No"/>
    <n v="13"/>
    <n v="3"/>
    <n v="1"/>
    <n v="0"/>
    <n v="8"/>
    <n v="2"/>
    <n v="3"/>
    <n v="8"/>
    <n v="1"/>
    <n v="1"/>
    <n v="7"/>
  </r>
  <r>
    <n v="40"/>
    <s v="No"/>
    <s v="Non-Travel"/>
    <n v="1151"/>
    <s v="Research &amp; Development"/>
    <n v="9"/>
    <n v="5"/>
    <s v="Life Sciences"/>
    <n v="4"/>
    <s v="Male"/>
    <n v="63"/>
    <n v="2"/>
    <n v="2"/>
    <s v="Healthcare Representative"/>
    <n v="4"/>
    <s v="Married"/>
    <n v="4876"/>
    <n v="14242"/>
    <n v="9"/>
    <s v="No"/>
    <n v="14"/>
    <n v="3"/>
    <n v="4"/>
    <n v="1"/>
    <n v="5"/>
    <n v="5"/>
    <n v="1"/>
    <n v="3"/>
    <n v="2"/>
    <n v="0"/>
    <n v="2"/>
  </r>
  <r>
    <n v="46"/>
    <s v="No"/>
    <s v="Travel_Rarely"/>
    <n v="644"/>
    <s v="Research &amp; Development"/>
    <n v="1"/>
    <n v="4"/>
    <s v="Medical"/>
    <n v="4"/>
    <s v="Male"/>
    <n v="97"/>
    <n v="3"/>
    <n v="3"/>
    <s v="Healthcare Representative"/>
    <n v="1"/>
    <s v="Divorced"/>
    <n v="9396"/>
    <n v="12368"/>
    <n v="7"/>
    <s v="No"/>
    <n v="16"/>
    <n v="3"/>
    <n v="3"/>
    <n v="1"/>
    <n v="17"/>
    <n v="3"/>
    <n v="3"/>
    <n v="4"/>
    <n v="2"/>
    <n v="0"/>
    <n v="3"/>
  </r>
  <r>
    <n v="32"/>
    <s v="Yes"/>
    <s v="Travel_Rarely"/>
    <n v="1045"/>
    <s v="Sales"/>
    <n v="4"/>
    <n v="4"/>
    <s v="Medical"/>
    <n v="4"/>
    <s v="Male"/>
    <n v="32"/>
    <n v="1"/>
    <n v="3"/>
    <s v="Sales Executive"/>
    <n v="4"/>
    <s v="Married"/>
    <n v="10400"/>
    <n v="25812"/>
    <n v="1"/>
    <s v="No"/>
    <n v="11"/>
    <n v="3"/>
    <n v="3"/>
    <n v="0"/>
    <n v="14"/>
    <n v="2"/>
    <n v="2"/>
    <n v="14"/>
    <n v="8"/>
    <n v="9"/>
    <n v="8"/>
  </r>
  <r>
    <n v="30"/>
    <s v="No"/>
    <s v="Non-Travel"/>
    <n v="829"/>
    <s v="Research &amp; Development"/>
    <n v="1"/>
    <n v="1"/>
    <s v="Life Sciences"/>
    <n v="3"/>
    <s v="Male"/>
    <n v="88"/>
    <n v="2"/>
    <n v="3"/>
    <s v="Manufacturing Director"/>
    <n v="3"/>
    <s v="Single"/>
    <n v="8474"/>
    <n v="20925"/>
    <n v="1"/>
    <s v="No"/>
    <n v="22"/>
    <n v="4"/>
    <n v="3"/>
    <n v="0"/>
    <n v="12"/>
    <n v="2"/>
    <n v="3"/>
    <n v="11"/>
    <n v="8"/>
    <n v="5"/>
    <n v="8"/>
  </r>
  <r>
    <n v="27"/>
    <s v="No"/>
    <s v="Travel_Frequently"/>
    <n v="1242"/>
    <s v="Sales"/>
    <n v="20"/>
    <n v="3"/>
    <s v="Life Sciences"/>
    <n v="4"/>
    <s v="Female"/>
    <n v="90"/>
    <n v="3"/>
    <n v="2"/>
    <s v="Sales Executive"/>
    <n v="3"/>
    <s v="Single"/>
    <n v="9981"/>
    <n v="12916"/>
    <n v="1"/>
    <s v="No"/>
    <n v="14"/>
    <n v="3"/>
    <n v="4"/>
    <n v="0"/>
    <n v="7"/>
    <n v="2"/>
    <n v="3"/>
    <n v="7"/>
    <n v="7"/>
    <n v="0"/>
    <n v="7"/>
  </r>
  <r>
    <n v="51"/>
    <s v="No"/>
    <s v="Travel_Rarely"/>
    <n v="1469"/>
    <s v="Research &amp; Development"/>
    <n v="8"/>
    <n v="4"/>
    <s v="Life Sciences"/>
    <n v="2"/>
    <s v="Male"/>
    <n v="81"/>
    <n v="2"/>
    <n v="3"/>
    <s v="Research Director"/>
    <n v="2"/>
    <s v="Married"/>
    <n v="12490"/>
    <n v="15736"/>
    <n v="5"/>
    <s v="No"/>
    <n v="16"/>
    <n v="3"/>
    <n v="4"/>
    <n v="2"/>
    <n v="16"/>
    <n v="5"/>
    <n v="1"/>
    <n v="10"/>
    <n v="9"/>
    <n v="4"/>
    <n v="7"/>
  </r>
  <r>
    <n v="30"/>
    <s v="Yes"/>
    <s v="Travel_Rarely"/>
    <n v="1005"/>
    <s v="Research &amp; Development"/>
    <n v="3"/>
    <n v="3"/>
    <s v="Technical Degree"/>
    <n v="4"/>
    <s v="Female"/>
    <n v="88"/>
    <n v="3"/>
    <n v="1"/>
    <s v="Research Scientist"/>
    <n v="1"/>
    <s v="Single"/>
    <n v="2657"/>
    <n v="8556"/>
    <n v="5"/>
    <s v="Yes"/>
    <n v="11"/>
    <n v="3"/>
    <n v="3"/>
    <n v="0"/>
    <n v="8"/>
    <n v="5"/>
    <n v="3"/>
    <n v="5"/>
    <n v="2"/>
    <n v="0"/>
    <n v="4"/>
  </r>
  <r>
    <n v="41"/>
    <s v="No"/>
    <s v="Travel_Rarely"/>
    <n v="896"/>
    <s v="Sales"/>
    <n v="6"/>
    <n v="3"/>
    <s v="Life Sciences"/>
    <n v="4"/>
    <s v="Female"/>
    <n v="75"/>
    <n v="3"/>
    <n v="3"/>
    <s v="Manager"/>
    <n v="4"/>
    <s v="Single"/>
    <n v="13591"/>
    <n v="14674"/>
    <n v="3"/>
    <s v="Yes"/>
    <n v="18"/>
    <n v="3"/>
    <n v="3"/>
    <n v="0"/>
    <n v="16"/>
    <n v="3"/>
    <n v="3"/>
    <n v="1"/>
    <n v="0"/>
    <n v="0"/>
    <n v="0"/>
  </r>
  <r>
    <n v="30"/>
    <s v="Yes"/>
    <s v="Travel_Frequently"/>
    <n v="334"/>
    <s v="Sales"/>
    <n v="26"/>
    <n v="4"/>
    <s v="Marketing"/>
    <n v="3"/>
    <s v="Female"/>
    <n v="52"/>
    <n v="2"/>
    <n v="2"/>
    <s v="Sales Executive"/>
    <n v="1"/>
    <s v="Single"/>
    <n v="6696"/>
    <n v="22967"/>
    <n v="5"/>
    <s v="No"/>
    <n v="15"/>
    <n v="3"/>
    <n v="3"/>
    <n v="0"/>
    <n v="9"/>
    <n v="5"/>
    <n v="2"/>
    <n v="6"/>
    <n v="3"/>
    <n v="0"/>
    <n v="1"/>
  </r>
  <r>
    <n v="29"/>
    <s v="Yes"/>
    <s v="Travel_Rarely"/>
    <n v="992"/>
    <s v="Research &amp; Development"/>
    <n v="1"/>
    <n v="3"/>
    <s v="Technical Degree"/>
    <n v="3"/>
    <s v="Male"/>
    <n v="85"/>
    <n v="3"/>
    <n v="1"/>
    <s v="Research Scientist"/>
    <n v="3"/>
    <s v="Single"/>
    <n v="2058"/>
    <n v="19757"/>
    <n v="0"/>
    <s v="No"/>
    <n v="14"/>
    <n v="3"/>
    <n v="4"/>
    <n v="0"/>
    <n v="7"/>
    <n v="1"/>
    <n v="2"/>
    <n v="6"/>
    <n v="2"/>
    <n v="1"/>
    <n v="5"/>
  </r>
  <r>
    <n v="45"/>
    <s v="No"/>
    <s v="Non-Travel"/>
    <n v="1052"/>
    <s v="Sales"/>
    <n v="6"/>
    <n v="3"/>
    <s v="Medical"/>
    <n v="4"/>
    <s v="Female"/>
    <n v="57"/>
    <n v="2"/>
    <n v="3"/>
    <s v="Sales Executive"/>
    <n v="4"/>
    <s v="Single"/>
    <n v="8865"/>
    <n v="16840"/>
    <n v="6"/>
    <s v="No"/>
    <n v="12"/>
    <n v="3"/>
    <n v="4"/>
    <n v="0"/>
    <n v="23"/>
    <n v="2"/>
    <n v="3"/>
    <n v="19"/>
    <n v="7"/>
    <n v="12"/>
    <n v="8"/>
  </r>
  <r>
    <n v="54"/>
    <s v="No"/>
    <s v="Travel_Rarely"/>
    <n v="1147"/>
    <s v="Sales"/>
    <n v="3"/>
    <n v="3"/>
    <s v="Marketing"/>
    <n v="4"/>
    <s v="Female"/>
    <n v="52"/>
    <n v="3"/>
    <n v="2"/>
    <s v="Sales Executive"/>
    <n v="1"/>
    <s v="Married"/>
    <n v="5940"/>
    <n v="17011"/>
    <n v="2"/>
    <s v="No"/>
    <n v="14"/>
    <n v="3"/>
    <n v="4"/>
    <n v="1"/>
    <n v="16"/>
    <n v="4"/>
    <n v="3"/>
    <n v="6"/>
    <n v="2"/>
    <n v="0"/>
    <n v="5"/>
  </r>
  <r>
    <n v="36"/>
    <s v="No"/>
    <s v="Travel_Rarely"/>
    <n v="1396"/>
    <s v="Research &amp; Development"/>
    <n v="5"/>
    <n v="2"/>
    <s v="Life Sciences"/>
    <n v="4"/>
    <s v="Male"/>
    <n v="62"/>
    <n v="3"/>
    <n v="2"/>
    <s v="Laboratory Technician"/>
    <n v="2"/>
    <s v="Single"/>
    <n v="5914"/>
    <n v="9945"/>
    <n v="8"/>
    <s v="No"/>
    <n v="16"/>
    <n v="3"/>
    <n v="4"/>
    <n v="0"/>
    <n v="16"/>
    <n v="3"/>
    <n v="4"/>
    <n v="13"/>
    <n v="11"/>
    <n v="3"/>
    <n v="7"/>
  </r>
  <r>
    <n v="33"/>
    <s v="No"/>
    <s v="Travel_Rarely"/>
    <n v="147"/>
    <s v="Research &amp; Development"/>
    <n v="4"/>
    <n v="4"/>
    <s v="Medical"/>
    <n v="3"/>
    <s v="Female"/>
    <n v="47"/>
    <n v="2"/>
    <n v="1"/>
    <s v="Research Scientist"/>
    <n v="2"/>
    <s v="Married"/>
    <n v="2622"/>
    <n v="13248"/>
    <n v="6"/>
    <s v="No"/>
    <n v="21"/>
    <n v="4"/>
    <n v="4"/>
    <n v="0"/>
    <n v="7"/>
    <n v="3"/>
    <n v="3"/>
    <n v="3"/>
    <n v="2"/>
    <n v="1"/>
    <n v="1"/>
  </r>
  <r>
    <n v="37"/>
    <s v="No"/>
    <s v="Travel_Frequently"/>
    <n v="663"/>
    <s v="Research &amp; Development"/>
    <n v="11"/>
    <n v="3"/>
    <s v="Other"/>
    <n v="2"/>
    <s v="Male"/>
    <n v="47"/>
    <n v="3"/>
    <n v="3"/>
    <s v="Research Director"/>
    <n v="4"/>
    <s v="Divorced"/>
    <n v="12185"/>
    <n v="10056"/>
    <n v="1"/>
    <s v="Yes"/>
    <n v="14"/>
    <n v="3"/>
    <n v="3"/>
    <n v="3"/>
    <n v="10"/>
    <n v="1"/>
    <n v="3"/>
    <n v="10"/>
    <n v="8"/>
    <n v="0"/>
    <n v="7"/>
  </r>
  <r>
    <n v="38"/>
    <s v="No"/>
    <s v="Travel_Rarely"/>
    <n v="119"/>
    <s v="Sales"/>
    <n v="3"/>
    <n v="3"/>
    <s v="Life Sciences"/>
    <n v="1"/>
    <s v="Male"/>
    <n v="76"/>
    <n v="3"/>
    <n v="3"/>
    <s v="Sales Executive"/>
    <n v="3"/>
    <s v="Divorced"/>
    <n v="10609"/>
    <n v="9647"/>
    <n v="0"/>
    <s v="No"/>
    <n v="12"/>
    <n v="3"/>
    <n v="3"/>
    <n v="2"/>
    <n v="17"/>
    <n v="6"/>
    <n v="2"/>
    <n v="16"/>
    <n v="10"/>
    <n v="5"/>
    <n v="13"/>
  </r>
  <r>
    <n v="31"/>
    <s v="No"/>
    <s v="Non-Travel"/>
    <n v="979"/>
    <s v="Research &amp; Development"/>
    <n v="1"/>
    <n v="4"/>
    <s v="Medical"/>
    <n v="3"/>
    <s v="Male"/>
    <n v="90"/>
    <n v="1"/>
    <n v="2"/>
    <s v="Manufacturing Director"/>
    <n v="3"/>
    <s v="Married"/>
    <n v="4345"/>
    <n v="4381"/>
    <n v="0"/>
    <s v="No"/>
    <n v="12"/>
    <n v="3"/>
    <n v="4"/>
    <n v="1"/>
    <n v="6"/>
    <n v="2"/>
    <n v="3"/>
    <n v="5"/>
    <n v="4"/>
    <n v="1"/>
    <n v="4"/>
  </r>
  <r>
    <n v="59"/>
    <s v="No"/>
    <s v="Travel_Rarely"/>
    <n v="142"/>
    <s v="Research &amp; Development"/>
    <n v="3"/>
    <n v="3"/>
    <s v="Life Sciences"/>
    <n v="3"/>
    <s v="Male"/>
    <n v="70"/>
    <n v="2"/>
    <n v="1"/>
    <s v="Research Scientist"/>
    <n v="4"/>
    <s v="Married"/>
    <n v="2177"/>
    <n v="8456"/>
    <n v="3"/>
    <s v="No"/>
    <n v="17"/>
    <n v="3"/>
    <n v="1"/>
    <n v="1"/>
    <n v="7"/>
    <n v="6"/>
    <n v="3"/>
    <n v="1"/>
    <n v="0"/>
    <n v="0"/>
    <n v="0"/>
  </r>
  <r>
    <n v="37"/>
    <s v="No"/>
    <s v="Travel_Frequently"/>
    <n v="319"/>
    <s v="Sales"/>
    <n v="4"/>
    <n v="4"/>
    <s v="Marketing"/>
    <n v="1"/>
    <s v="Male"/>
    <n v="41"/>
    <n v="3"/>
    <n v="1"/>
    <s v="Sales Representative"/>
    <n v="4"/>
    <s v="Divorced"/>
    <n v="2793"/>
    <n v="2539"/>
    <n v="4"/>
    <s v="No"/>
    <n v="17"/>
    <n v="3"/>
    <n v="3"/>
    <n v="1"/>
    <n v="13"/>
    <n v="2"/>
    <n v="3"/>
    <n v="9"/>
    <n v="8"/>
    <n v="5"/>
    <n v="8"/>
  </r>
  <r>
    <n v="29"/>
    <s v="No"/>
    <s v="Travel_Frequently"/>
    <n v="1413"/>
    <s v="Sales"/>
    <n v="1"/>
    <n v="1"/>
    <s v="Medical"/>
    <n v="2"/>
    <s v="Female"/>
    <n v="42"/>
    <n v="3"/>
    <n v="3"/>
    <s v="Sales Executive"/>
    <n v="4"/>
    <s v="Married"/>
    <n v="7918"/>
    <n v="6599"/>
    <n v="1"/>
    <s v="No"/>
    <n v="14"/>
    <n v="3"/>
    <n v="4"/>
    <n v="1"/>
    <n v="11"/>
    <n v="5"/>
    <n v="3"/>
    <n v="11"/>
    <n v="10"/>
    <n v="4"/>
    <n v="1"/>
  </r>
  <r>
    <n v="35"/>
    <s v="No"/>
    <s v="Travel_Frequently"/>
    <n v="944"/>
    <s v="Sales"/>
    <n v="1"/>
    <n v="3"/>
    <s v="Marketing"/>
    <n v="3"/>
    <s v="Female"/>
    <n v="92"/>
    <n v="3"/>
    <n v="3"/>
    <s v="Sales Executive"/>
    <n v="3"/>
    <s v="Single"/>
    <n v="8789"/>
    <n v="9096"/>
    <n v="1"/>
    <s v="No"/>
    <n v="14"/>
    <n v="3"/>
    <n v="1"/>
    <n v="0"/>
    <n v="10"/>
    <n v="3"/>
    <n v="4"/>
    <n v="10"/>
    <n v="7"/>
    <n v="0"/>
    <n v="8"/>
  </r>
  <r>
    <n v="29"/>
    <s v="Yes"/>
    <s v="Travel_Rarely"/>
    <n v="896"/>
    <s v="Research &amp; Development"/>
    <n v="18"/>
    <n v="1"/>
    <s v="Medical"/>
    <n v="3"/>
    <s v="Male"/>
    <n v="86"/>
    <n v="2"/>
    <n v="1"/>
    <s v="Research Scientist"/>
    <n v="4"/>
    <s v="Single"/>
    <n v="2389"/>
    <n v="14961"/>
    <n v="1"/>
    <s v="Yes"/>
    <n v="13"/>
    <n v="3"/>
    <n v="3"/>
    <n v="0"/>
    <n v="4"/>
    <n v="3"/>
    <n v="2"/>
    <n v="4"/>
    <n v="3"/>
    <n v="0"/>
    <n v="1"/>
  </r>
  <r>
    <n v="52"/>
    <s v="No"/>
    <s v="Travel_Rarely"/>
    <n v="1323"/>
    <s v="Research &amp; Development"/>
    <n v="2"/>
    <n v="3"/>
    <s v="Life Sciences"/>
    <n v="3"/>
    <s v="Female"/>
    <n v="89"/>
    <n v="2"/>
    <n v="1"/>
    <s v="Laboratory Technician"/>
    <n v="4"/>
    <s v="Single"/>
    <n v="3212"/>
    <n v="3300"/>
    <n v="7"/>
    <s v="No"/>
    <n v="15"/>
    <n v="3"/>
    <n v="2"/>
    <n v="0"/>
    <n v="6"/>
    <n v="3"/>
    <n v="2"/>
    <n v="2"/>
    <n v="2"/>
    <n v="2"/>
    <n v="2"/>
  </r>
  <r>
    <n v="42"/>
    <s v="No"/>
    <s v="Travel_Rarely"/>
    <n v="532"/>
    <s v="Research &amp; Development"/>
    <n v="4"/>
    <n v="2"/>
    <s v="Technical Degree"/>
    <n v="3"/>
    <s v="Male"/>
    <n v="58"/>
    <n v="3"/>
    <n v="5"/>
    <s v="Manager"/>
    <n v="4"/>
    <s v="Married"/>
    <n v="19232"/>
    <n v="4933"/>
    <n v="1"/>
    <s v="No"/>
    <n v="11"/>
    <n v="3"/>
    <n v="4"/>
    <n v="0"/>
    <n v="22"/>
    <n v="3"/>
    <n v="3"/>
    <n v="22"/>
    <n v="17"/>
    <n v="11"/>
    <n v="15"/>
  </r>
  <r>
    <n v="59"/>
    <s v="No"/>
    <s v="Travel_Rarely"/>
    <n v="818"/>
    <s v="Human Resources"/>
    <n v="6"/>
    <n v="2"/>
    <s v="Medical"/>
    <n v="2"/>
    <s v="Male"/>
    <n v="52"/>
    <n v="3"/>
    <n v="1"/>
    <s v="Human Resources"/>
    <n v="3"/>
    <s v="Married"/>
    <n v="2267"/>
    <n v="25657"/>
    <n v="8"/>
    <s v="No"/>
    <n v="17"/>
    <n v="3"/>
    <n v="4"/>
    <n v="0"/>
    <n v="7"/>
    <n v="2"/>
    <n v="2"/>
    <n v="2"/>
    <n v="2"/>
    <n v="2"/>
    <n v="2"/>
  </r>
  <r>
    <n v="50"/>
    <s v="No"/>
    <s v="Travel_Rarely"/>
    <n v="854"/>
    <s v="Sales"/>
    <n v="1"/>
    <n v="4"/>
    <s v="Medical"/>
    <n v="4"/>
    <s v="Female"/>
    <n v="68"/>
    <n v="3"/>
    <n v="5"/>
    <s v="Manager"/>
    <n v="4"/>
    <s v="Divorced"/>
    <n v="19517"/>
    <n v="24118"/>
    <n v="3"/>
    <s v="No"/>
    <n v="11"/>
    <n v="3"/>
    <n v="3"/>
    <n v="1"/>
    <n v="32"/>
    <n v="3"/>
    <n v="2"/>
    <n v="7"/>
    <n v="0"/>
    <n v="0"/>
    <n v="6"/>
  </r>
  <r>
    <n v="33"/>
    <s v="Yes"/>
    <s v="Travel_Rarely"/>
    <n v="813"/>
    <s v="Research &amp; Development"/>
    <n v="14"/>
    <n v="3"/>
    <s v="Medical"/>
    <n v="3"/>
    <s v="Male"/>
    <n v="58"/>
    <n v="3"/>
    <n v="1"/>
    <s v="Laboratory Technician"/>
    <n v="4"/>
    <s v="Married"/>
    <n v="2436"/>
    <n v="22149"/>
    <n v="5"/>
    <s v="Yes"/>
    <n v="13"/>
    <n v="3"/>
    <n v="3"/>
    <n v="1"/>
    <n v="8"/>
    <n v="2"/>
    <n v="1"/>
    <n v="5"/>
    <n v="4"/>
    <n v="0"/>
    <n v="4"/>
  </r>
  <r>
    <n v="43"/>
    <s v="No"/>
    <s v="Travel_Rarely"/>
    <n v="1034"/>
    <s v="Sales"/>
    <n v="16"/>
    <n v="3"/>
    <s v="Marketing"/>
    <n v="4"/>
    <s v="Female"/>
    <n v="80"/>
    <n v="3"/>
    <n v="4"/>
    <s v="Manager"/>
    <n v="4"/>
    <s v="Married"/>
    <n v="16064"/>
    <n v="7744"/>
    <n v="5"/>
    <s v="Yes"/>
    <n v="22"/>
    <n v="4"/>
    <n v="3"/>
    <n v="1"/>
    <n v="22"/>
    <n v="3"/>
    <n v="3"/>
    <n v="17"/>
    <n v="13"/>
    <n v="1"/>
    <n v="9"/>
  </r>
  <r>
    <n v="33"/>
    <s v="Yes"/>
    <s v="Travel_Rarely"/>
    <n v="465"/>
    <s v="Research &amp; Development"/>
    <n v="2"/>
    <n v="2"/>
    <s v="Life Sciences"/>
    <n v="1"/>
    <s v="Female"/>
    <n v="39"/>
    <n v="3"/>
    <n v="1"/>
    <s v="Laboratory Technician"/>
    <n v="1"/>
    <s v="Married"/>
    <n v="2707"/>
    <n v="21509"/>
    <n v="7"/>
    <s v="No"/>
    <n v="20"/>
    <n v="4"/>
    <n v="1"/>
    <n v="0"/>
    <n v="13"/>
    <n v="3"/>
    <n v="4"/>
    <n v="9"/>
    <n v="7"/>
    <n v="1"/>
    <n v="7"/>
  </r>
  <r>
    <n v="52"/>
    <s v="No"/>
    <s v="Non-Travel"/>
    <n v="771"/>
    <s v="Sales"/>
    <n v="2"/>
    <n v="4"/>
    <s v="Life Sciences"/>
    <n v="1"/>
    <s v="Male"/>
    <n v="79"/>
    <n v="2"/>
    <n v="5"/>
    <s v="Manager"/>
    <n v="3"/>
    <s v="Single"/>
    <n v="19068"/>
    <n v="21030"/>
    <n v="1"/>
    <s v="Yes"/>
    <n v="18"/>
    <n v="3"/>
    <n v="4"/>
    <n v="0"/>
    <n v="33"/>
    <n v="2"/>
    <n v="4"/>
    <n v="33"/>
    <n v="7"/>
    <n v="15"/>
    <n v="12"/>
  </r>
  <r>
    <n v="32"/>
    <s v="No"/>
    <s v="Travel_Rarely"/>
    <n v="1401"/>
    <s v="Sales"/>
    <n v="4"/>
    <n v="2"/>
    <s v="Life Sciences"/>
    <n v="3"/>
    <s v="Female"/>
    <n v="56"/>
    <n v="3"/>
    <n v="1"/>
    <s v="Sales Representative"/>
    <n v="2"/>
    <s v="Married"/>
    <n v="3931"/>
    <n v="20990"/>
    <n v="2"/>
    <s v="No"/>
    <n v="11"/>
    <n v="3"/>
    <n v="1"/>
    <n v="1"/>
    <n v="6"/>
    <n v="5"/>
    <n v="3"/>
    <n v="4"/>
    <n v="3"/>
    <n v="1"/>
    <n v="2"/>
  </r>
  <r>
    <n v="32"/>
    <s v="Yes"/>
    <s v="Travel_Rarely"/>
    <n v="515"/>
    <s v="Research &amp; Development"/>
    <n v="1"/>
    <n v="3"/>
    <s v="Life Sciences"/>
    <n v="4"/>
    <s v="Male"/>
    <n v="62"/>
    <n v="2"/>
    <n v="1"/>
    <s v="Laboratory Technician"/>
    <n v="3"/>
    <s v="Single"/>
    <n v="3730"/>
    <n v="9571"/>
    <n v="0"/>
    <s v="Yes"/>
    <n v="14"/>
    <n v="3"/>
    <n v="4"/>
    <n v="0"/>
    <n v="4"/>
    <n v="2"/>
    <n v="1"/>
    <n v="3"/>
    <n v="2"/>
    <n v="1"/>
    <n v="2"/>
  </r>
  <r>
    <n v="39"/>
    <s v="No"/>
    <s v="Travel_Rarely"/>
    <n v="1431"/>
    <s v="Research &amp; Development"/>
    <n v="1"/>
    <n v="4"/>
    <s v="Medical"/>
    <n v="3"/>
    <s v="Female"/>
    <n v="96"/>
    <n v="3"/>
    <n v="1"/>
    <s v="Laboratory Technician"/>
    <n v="3"/>
    <s v="Divorced"/>
    <n v="2232"/>
    <n v="15417"/>
    <n v="7"/>
    <s v="No"/>
    <n v="14"/>
    <n v="3"/>
    <n v="3"/>
    <n v="3"/>
    <n v="7"/>
    <n v="1"/>
    <n v="3"/>
    <n v="3"/>
    <n v="2"/>
    <n v="1"/>
    <n v="2"/>
  </r>
  <r>
    <n v="32"/>
    <s v="No"/>
    <s v="Non-Travel"/>
    <n v="976"/>
    <s v="Sales"/>
    <n v="26"/>
    <n v="4"/>
    <s v="Marketing"/>
    <n v="3"/>
    <s v="Male"/>
    <n v="100"/>
    <n v="3"/>
    <n v="2"/>
    <s v="Sales Executive"/>
    <n v="4"/>
    <s v="Married"/>
    <n v="4465"/>
    <n v="12069"/>
    <n v="0"/>
    <s v="No"/>
    <n v="18"/>
    <n v="3"/>
    <n v="1"/>
    <n v="0"/>
    <n v="4"/>
    <n v="2"/>
    <n v="3"/>
    <n v="3"/>
    <n v="2"/>
    <n v="2"/>
    <n v="2"/>
  </r>
  <r>
    <n v="41"/>
    <s v="No"/>
    <s v="Travel_Rarely"/>
    <n v="1411"/>
    <s v="Research &amp; Development"/>
    <n v="19"/>
    <n v="2"/>
    <s v="Life Sciences"/>
    <n v="3"/>
    <s v="Male"/>
    <n v="36"/>
    <n v="3"/>
    <n v="2"/>
    <s v="Research Scientist"/>
    <n v="1"/>
    <s v="Divorced"/>
    <n v="3072"/>
    <n v="19877"/>
    <n v="2"/>
    <s v="No"/>
    <n v="16"/>
    <n v="3"/>
    <n v="1"/>
    <n v="2"/>
    <n v="17"/>
    <n v="2"/>
    <n v="2"/>
    <n v="1"/>
    <n v="0"/>
    <n v="0"/>
    <n v="0"/>
  </r>
  <r>
    <n v="40"/>
    <s v="No"/>
    <s v="Travel_Rarely"/>
    <n v="1300"/>
    <s v="Research &amp; Development"/>
    <n v="24"/>
    <n v="2"/>
    <s v="Technical Degree"/>
    <n v="1"/>
    <s v="Male"/>
    <n v="62"/>
    <n v="3"/>
    <n v="2"/>
    <s v="Research Scientist"/>
    <n v="4"/>
    <s v="Divorced"/>
    <n v="3319"/>
    <n v="24447"/>
    <n v="1"/>
    <s v="No"/>
    <n v="17"/>
    <n v="3"/>
    <n v="1"/>
    <n v="2"/>
    <n v="9"/>
    <n v="3"/>
    <n v="3"/>
    <n v="9"/>
    <n v="8"/>
    <n v="4"/>
    <n v="7"/>
  </r>
  <r>
    <n v="45"/>
    <s v="No"/>
    <s v="Travel_Rarely"/>
    <n v="252"/>
    <s v="Research &amp; Development"/>
    <n v="1"/>
    <n v="3"/>
    <s v="Other"/>
    <n v="3"/>
    <s v="Male"/>
    <n v="70"/>
    <n v="4"/>
    <n v="5"/>
    <s v="Manager"/>
    <n v="4"/>
    <s v="Married"/>
    <n v="19202"/>
    <n v="15970"/>
    <n v="0"/>
    <s v="No"/>
    <n v="11"/>
    <n v="3"/>
    <n v="3"/>
    <n v="1"/>
    <n v="25"/>
    <n v="2"/>
    <n v="3"/>
    <n v="24"/>
    <n v="0"/>
    <n v="1"/>
    <n v="7"/>
  </r>
  <r>
    <n v="31"/>
    <s v="No"/>
    <s v="Travel_Frequently"/>
    <n v="1327"/>
    <s v="Research &amp; Development"/>
    <n v="3"/>
    <n v="4"/>
    <s v="Medical"/>
    <n v="2"/>
    <s v="Male"/>
    <n v="73"/>
    <n v="3"/>
    <n v="3"/>
    <s v="Research Director"/>
    <n v="3"/>
    <s v="Divorced"/>
    <n v="13675"/>
    <n v="13523"/>
    <n v="9"/>
    <s v="No"/>
    <n v="12"/>
    <n v="3"/>
    <n v="1"/>
    <n v="1"/>
    <n v="9"/>
    <n v="3"/>
    <n v="3"/>
    <n v="2"/>
    <n v="2"/>
    <n v="2"/>
    <n v="2"/>
  </r>
  <r>
    <n v="33"/>
    <s v="No"/>
    <s v="Travel_Rarely"/>
    <n v="832"/>
    <s v="Research &amp; Development"/>
    <n v="5"/>
    <n v="4"/>
    <s v="Life Sciences"/>
    <n v="3"/>
    <s v="Female"/>
    <n v="63"/>
    <n v="2"/>
    <n v="1"/>
    <s v="Research Scientist"/>
    <n v="4"/>
    <s v="Married"/>
    <n v="2911"/>
    <n v="14776"/>
    <n v="1"/>
    <s v="No"/>
    <n v="13"/>
    <n v="3"/>
    <n v="3"/>
    <n v="1"/>
    <n v="2"/>
    <n v="2"/>
    <n v="2"/>
    <n v="2"/>
    <n v="2"/>
    <n v="0"/>
    <n v="2"/>
  </r>
  <r>
    <n v="34"/>
    <s v="No"/>
    <s v="Travel_Rarely"/>
    <n v="470"/>
    <s v="Research &amp; Development"/>
    <n v="2"/>
    <n v="4"/>
    <s v="Life Sciences"/>
    <n v="4"/>
    <s v="Male"/>
    <n v="84"/>
    <n v="2"/>
    <n v="2"/>
    <s v="Manufacturing Director"/>
    <n v="1"/>
    <s v="Married"/>
    <n v="5957"/>
    <n v="23687"/>
    <n v="6"/>
    <s v="No"/>
    <n v="13"/>
    <n v="3"/>
    <n v="2"/>
    <n v="1"/>
    <n v="13"/>
    <n v="3"/>
    <n v="3"/>
    <n v="11"/>
    <n v="9"/>
    <n v="5"/>
    <n v="9"/>
  </r>
  <r>
    <n v="37"/>
    <s v="No"/>
    <s v="Travel_Rarely"/>
    <n v="1017"/>
    <s v="Research &amp; Development"/>
    <n v="1"/>
    <n v="2"/>
    <s v="Medical"/>
    <n v="3"/>
    <s v="Female"/>
    <n v="83"/>
    <n v="2"/>
    <n v="1"/>
    <s v="Research Scientist"/>
    <n v="1"/>
    <s v="Married"/>
    <n v="3920"/>
    <n v="18697"/>
    <n v="2"/>
    <s v="No"/>
    <n v="14"/>
    <n v="3"/>
    <n v="1"/>
    <n v="1"/>
    <n v="17"/>
    <n v="2"/>
    <n v="2"/>
    <n v="3"/>
    <n v="1"/>
    <n v="0"/>
    <n v="2"/>
  </r>
  <r>
    <n v="45"/>
    <s v="No"/>
    <s v="Travel_Frequently"/>
    <n v="1199"/>
    <s v="Research &amp; Development"/>
    <n v="7"/>
    <n v="4"/>
    <s v="Life Sciences"/>
    <n v="1"/>
    <s v="Male"/>
    <n v="77"/>
    <n v="4"/>
    <n v="2"/>
    <s v="Manufacturing Director"/>
    <n v="3"/>
    <s v="Married"/>
    <n v="6434"/>
    <n v="5118"/>
    <n v="4"/>
    <s v="No"/>
    <n v="17"/>
    <n v="3"/>
    <n v="4"/>
    <n v="1"/>
    <n v="9"/>
    <n v="1"/>
    <n v="3"/>
    <n v="3"/>
    <n v="2"/>
    <n v="0"/>
    <n v="2"/>
  </r>
  <r>
    <n v="37"/>
    <s v="Yes"/>
    <s v="Travel_Frequently"/>
    <n v="504"/>
    <s v="Research &amp; Development"/>
    <n v="10"/>
    <n v="3"/>
    <s v="Medical"/>
    <n v="1"/>
    <s v="Male"/>
    <n v="61"/>
    <n v="3"/>
    <n v="3"/>
    <s v="Manufacturing Director"/>
    <n v="3"/>
    <s v="Divorced"/>
    <n v="10048"/>
    <n v="22573"/>
    <n v="6"/>
    <s v="No"/>
    <n v="11"/>
    <n v="3"/>
    <n v="2"/>
    <n v="2"/>
    <n v="17"/>
    <n v="5"/>
    <n v="3"/>
    <n v="1"/>
    <n v="0"/>
    <n v="0"/>
    <n v="0"/>
  </r>
  <r>
    <n v="39"/>
    <s v="No"/>
    <s v="Travel_Frequently"/>
    <n v="505"/>
    <s v="Research &amp; Development"/>
    <n v="2"/>
    <n v="4"/>
    <s v="Technical Degree"/>
    <n v="3"/>
    <s v="Female"/>
    <n v="64"/>
    <n v="3"/>
    <n v="3"/>
    <s v="Healthcare Representative"/>
    <n v="3"/>
    <s v="Single"/>
    <n v="10938"/>
    <n v="6420"/>
    <n v="0"/>
    <s v="No"/>
    <n v="25"/>
    <n v="4"/>
    <n v="4"/>
    <n v="0"/>
    <n v="20"/>
    <n v="1"/>
    <n v="3"/>
    <n v="19"/>
    <n v="6"/>
    <n v="11"/>
    <n v="8"/>
  </r>
  <r>
    <n v="29"/>
    <s v="No"/>
    <s v="Travel_Rarely"/>
    <n v="665"/>
    <s v="Research &amp; Development"/>
    <n v="15"/>
    <n v="3"/>
    <s v="Life Sciences"/>
    <n v="3"/>
    <s v="Male"/>
    <n v="60"/>
    <n v="3"/>
    <n v="1"/>
    <s v="Research Scientist"/>
    <n v="4"/>
    <s v="Single"/>
    <n v="2340"/>
    <n v="22673"/>
    <n v="1"/>
    <s v="No"/>
    <n v="19"/>
    <n v="3"/>
    <n v="1"/>
    <n v="0"/>
    <n v="6"/>
    <n v="1"/>
    <n v="3"/>
    <n v="6"/>
    <n v="5"/>
    <n v="1"/>
    <n v="5"/>
  </r>
  <r>
    <n v="42"/>
    <s v="No"/>
    <s v="Travel_Rarely"/>
    <n v="916"/>
    <s v="Research &amp; Development"/>
    <n v="17"/>
    <n v="2"/>
    <s v="Life Sciences"/>
    <n v="4"/>
    <s v="Female"/>
    <n v="82"/>
    <n v="4"/>
    <n v="2"/>
    <s v="Research Scientist"/>
    <n v="1"/>
    <s v="Single"/>
    <n v="6545"/>
    <n v="23016"/>
    <n v="3"/>
    <s v="Yes"/>
    <n v="13"/>
    <n v="3"/>
    <n v="3"/>
    <n v="0"/>
    <n v="10"/>
    <n v="1"/>
    <n v="3"/>
    <n v="3"/>
    <n v="2"/>
    <n v="0"/>
    <n v="2"/>
  </r>
  <r>
    <n v="29"/>
    <s v="No"/>
    <s v="Travel_Rarely"/>
    <n v="1247"/>
    <s v="Sales"/>
    <n v="20"/>
    <n v="2"/>
    <s v="Marketing"/>
    <n v="4"/>
    <s v="Male"/>
    <n v="45"/>
    <n v="3"/>
    <n v="2"/>
    <s v="Sales Executive"/>
    <n v="4"/>
    <s v="Divorced"/>
    <n v="6931"/>
    <n v="10732"/>
    <n v="2"/>
    <s v="No"/>
    <n v="14"/>
    <n v="3"/>
    <n v="4"/>
    <n v="1"/>
    <n v="10"/>
    <n v="2"/>
    <n v="3"/>
    <n v="3"/>
    <n v="2"/>
    <n v="0"/>
    <n v="2"/>
  </r>
  <r>
    <n v="25"/>
    <s v="No"/>
    <s v="Travel_Rarely"/>
    <n v="685"/>
    <s v="Research &amp; Development"/>
    <n v="1"/>
    <n v="3"/>
    <s v="Life Sciences"/>
    <n v="1"/>
    <s v="Female"/>
    <n v="62"/>
    <n v="3"/>
    <n v="2"/>
    <s v="Manufacturing Director"/>
    <n v="3"/>
    <s v="Married"/>
    <n v="4898"/>
    <n v="7505"/>
    <n v="0"/>
    <s v="No"/>
    <n v="12"/>
    <n v="3"/>
    <n v="4"/>
    <n v="2"/>
    <n v="5"/>
    <n v="3"/>
    <n v="3"/>
    <n v="4"/>
    <n v="2"/>
    <n v="1"/>
    <n v="2"/>
  </r>
  <r>
    <n v="42"/>
    <s v="No"/>
    <s v="Travel_Rarely"/>
    <n v="269"/>
    <s v="Research &amp; Development"/>
    <n v="2"/>
    <n v="3"/>
    <s v="Medical"/>
    <n v="4"/>
    <s v="Female"/>
    <n v="56"/>
    <n v="2"/>
    <n v="1"/>
    <s v="Laboratory Technician"/>
    <n v="1"/>
    <s v="Divorced"/>
    <n v="2593"/>
    <n v="8007"/>
    <n v="0"/>
    <s v="Yes"/>
    <n v="11"/>
    <n v="3"/>
    <n v="3"/>
    <n v="1"/>
    <n v="10"/>
    <n v="4"/>
    <n v="3"/>
    <n v="9"/>
    <n v="6"/>
    <n v="7"/>
    <n v="8"/>
  </r>
  <r>
    <n v="40"/>
    <s v="No"/>
    <s v="Travel_Rarely"/>
    <n v="1416"/>
    <s v="Research &amp; Development"/>
    <n v="2"/>
    <n v="2"/>
    <s v="Medical"/>
    <n v="1"/>
    <s v="Male"/>
    <n v="49"/>
    <n v="3"/>
    <n v="5"/>
    <s v="Research Director"/>
    <n v="3"/>
    <s v="Divorced"/>
    <n v="19436"/>
    <n v="5949"/>
    <n v="0"/>
    <s v="No"/>
    <n v="19"/>
    <n v="3"/>
    <n v="4"/>
    <n v="1"/>
    <n v="22"/>
    <n v="5"/>
    <n v="3"/>
    <n v="21"/>
    <n v="7"/>
    <n v="3"/>
    <n v="9"/>
  </r>
  <r>
    <n v="51"/>
    <s v="No"/>
    <s v="Travel_Rarely"/>
    <n v="833"/>
    <s v="Research &amp; Development"/>
    <n v="1"/>
    <n v="3"/>
    <s v="Life Sciences"/>
    <n v="3"/>
    <s v="Male"/>
    <n v="96"/>
    <n v="3"/>
    <n v="1"/>
    <s v="Research Scientist"/>
    <n v="4"/>
    <s v="Married"/>
    <n v="2723"/>
    <n v="23231"/>
    <n v="1"/>
    <s v="No"/>
    <n v="11"/>
    <n v="3"/>
    <n v="2"/>
    <n v="0"/>
    <n v="1"/>
    <n v="0"/>
    <n v="2"/>
    <n v="1"/>
    <n v="0"/>
    <n v="0"/>
    <n v="0"/>
  </r>
  <r>
    <n v="31"/>
    <s v="Yes"/>
    <s v="Travel_Frequently"/>
    <n v="307"/>
    <s v="Research &amp; Development"/>
    <n v="29"/>
    <n v="2"/>
    <s v="Medical"/>
    <n v="3"/>
    <s v="Male"/>
    <n v="71"/>
    <n v="2"/>
    <n v="1"/>
    <s v="Laboratory Technician"/>
    <n v="2"/>
    <s v="Single"/>
    <n v="3479"/>
    <n v="11652"/>
    <n v="0"/>
    <s v="No"/>
    <n v="11"/>
    <n v="3"/>
    <n v="2"/>
    <n v="0"/>
    <n v="6"/>
    <n v="2"/>
    <n v="4"/>
    <n v="5"/>
    <n v="4"/>
    <n v="1"/>
    <n v="4"/>
  </r>
  <r>
    <n v="32"/>
    <s v="No"/>
    <s v="Travel_Frequently"/>
    <n v="1311"/>
    <s v="Research &amp; Development"/>
    <n v="7"/>
    <n v="3"/>
    <s v="Life Sciences"/>
    <n v="2"/>
    <s v="Male"/>
    <n v="100"/>
    <n v="4"/>
    <n v="1"/>
    <s v="Laboratory Technician"/>
    <n v="2"/>
    <s v="Married"/>
    <n v="2794"/>
    <n v="26062"/>
    <n v="1"/>
    <s v="No"/>
    <n v="20"/>
    <n v="4"/>
    <n v="3"/>
    <n v="0"/>
    <n v="5"/>
    <n v="3"/>
    <n v="1"/>
    <n v="5"/>
    <n v="1"/>
    <n v="0"/>
    <n v="3"/>
  </r>
  <r>
    <n v="38"/>
    <s v="No"/>
    <s v="Non-Travel"/>
    <n v="1327"/>
    <s v="Sales"/>
    <n v="2"/>
    <n v="2"/>
    <s v="Life Sciences"/>
    <n v="4"/>
    <s v="Male"/>
    <n v="39"/>
    <n v="2"/>
    <n v="2"/>
    <s v="Sales Executive"/>
    <n v="4"/>
    <s v="Married"/>
    <n v="5249"/>
    <n v="19682"/>
    <n v="3"/>
    <s v="No"/>
    <n v="18"/>
    <n v="3"/>
    <n v="4"/>
    <n v="1"/>
    <n v="13"/>
    <n v="0"/>
    <n v="3"/>
    <n v="8"/>
    <n v="7"/>
    <n v="7"/>
    <n v="5"/>
  </r>
  <r>
    <n v="32"/>
    <s v="No"/>
    <s v="Travel_Rarely"/>
    <n v="128"/>
    <s v="Research &amp; Development"/>
    <n v="2"/>
    <n v="1"/>
    <s v="Technical Degree"/>
    <n v="4"/>
    <s v="Male"/>
    <n v="84"/>
    <n v="2"/>
    <n v="2"/>
    <s v="Laboratory Technician"/>
    <n v="1"/>
    <s v="Single"/>
    <n v="2176"/>
    <n v="19737"/>
    <n v="4"/>
    <s v="No"/>
    <n v="13"/>
    <n v="3"/>
    <n v="4"/>
    <n v="0"/>
    <n v="9"/>
    <n v="5"/>
    <n v="3"/>
    <n v="6"/>
    <n v="2"/>
    <n v="0"/>
    <n v="4"/>
  </r>
  <r>
    <n v="46"/>
    <s v="No"/>
    <s v="Travel_Rarely"/>
    <n v="488"/>
    <s v="Sales"/>
    <n v="2"/>
    <n v="3"/>
    <s v="Technical Degree"/>
    <n v="3"/>
    <s v="Female"/>
    <n v="75"/>
    <n v="1"/>
    <n v="4"/>
    <s v="Manager"/>
    <n v="2"/>
    <s v="Married"/>
    <n v="16872"/>
    <n v="14977"/>
    <n v="3"/>
    <s v="Yes"/>
    <n v="12"/>
    <n v="3"/>
    <n v="2"/>
    <n v="1"/>
    <n v="28"/>
    <n v="2"/>
    <n v="2"/>
    <n v="7"/>
    <n v="7"/>
    <n v="7"/>
    <n v="7"/>
  </r>
  <r>
    <n v="28"/>
    <s v="Yes"/>
    <s v="Travel_Rarely"/>
    <n v="529"/>
    <s v="Research &amp; Development"/>
    <n v="2"/>
    <n v="4"/>
    <s v="Life Sciences"/>
    <n v="1"/>
    <s v="Male"/>
    <n v="79"/>
    <n v="3"/>
    <n v="1"/>
    <s v="Laboratory Technician"/>
    <n v="3"/>
    <s v="Single"/>
    <n v="3485"/>
    <n v="14935"/>
    <n v="2"/>
    <s v="No"/>
    <n v="11"/>
    <n v="3"/>
    <n v="3"/>
    <n v="0"/>
    <n v="5"/>
    <n v="5"/>
    <n v="1"/>
    <n v="0"/>
    <n v="0"/>
    <n v="0"/>
    <n v="0"/>
  </r>
  <r>
    <n v="29"/>
    <s v="No"/>
    <s v="Travel_Rarely"/>
    <n v="1210"/>
    <s v="Sales"/>
    <n v="2"/>
    <n v="3"/>
    <s v="Medical"/>
    <n v="1"/>
    <s v="Male"/>
    <n v="78"/>
    <n v="2"/>
    <n v="2"/>
    <s v="Sales Executive"/>
    <n v="2"/>
    <s v="Married"/>
    <n v="6644"/>
    <n v="3687"/>
    <n v="2"/>
    <s v="No"/>
    <n v="19"/>
    <n v="3"/>
    <n v="2"/>
    <n v="2"/>
    <n v="10"/>
    <n v="2"/>
    <n v="3"/>
    <n v="0"/>
    <n v="0"/>
    <n v="0"/>
    <n v="0"/>
  </r>
  <r>
    <n v="31"/>
    <s v="No"/>
    <s v="Travel_Rarely"/>
    <n v="1463"/>
    <s v="Research &amp; Development"/>
    <n v="23"/>
    <n v="3"/>
    <s v="Medical"/>
    <n v="2"/>
    <s v="Male"/>
    <n v="64"/>
    <n v="2"/>
    <n v="2"/>
    <s v="Healthcare Representative"/>
    <n v="4"/>
    <s v="Married"/>
    <n v="5582"/>
    <n v="14408"/>
    <n v="0"/>
    <s v="No"/>
    <n v="21"/>
    <n v="4"/>
    <n v="2"/>
    <n v="1"/>
    <n v="10"/>
    <n v="2"/>
    <n v="3"/>
    <n v="9"/>
    <n v="0"/>
    <n v="7"/>
    <n v="8"/>
  </r>
  <r>
    <n v="25"/>
    <s v="No"/>
    <s v="Non-Travel"/>
    <n v="675"/>
    <s v="Research &amp; Development"/>
    <n v="5"/>
    <n v="2"/>
    <s v="Life Sciences"/>
    <n v="2"/>
    <s v="Male"/>
    <n v="85"/>
    <n v="4"/>
    <n v="2"/>
    <s v="Healthcare Representative"/>
    <n v="1"/>
    <s v="Divorced"/>
    <n v="4000"/>
    <n v="18384"/>
    <n v="1"/>
    <s v="No"/>
    <n v="12"/>
    <n v="3"/>
    <n v="4"/>
    <n v="2"/>
    <n v="6"/>
    <n v="2"/>
    <n v="3"/>
    <n v="6"/>
    <n v="3"/>
    <n v="1"/>
    <n v="5"/>
  </r>
  <r>
    <n v="45"/>
    <s v="No"/>
    <s v="Travel_Rarely"/>
    <n v="1385"/>
    <s v="Research &amp; Development"/>
    <n v="20"/>
    <n v="2"/>
    <s v="Medical"/>
    <n v="3"/>
    <s v="Male"/>
    <n v="79"/>
    <n v="3"/>
    <n v="4"/>
    <s v="Healthcare Representative"/>
    <n v="4"/>
    <s v="Married"/>
    <n v="13496"/>
    <n v="7501"/>
    <n v="0"/>
    <s v="Yes"/>
    <n v="14"/>
    <n v="3"/>
    <n v="2"/>
    <n v="0"/>
    <n v="21"/>
    <n v="2"/>
    <n v="3"/>
    <n v="20"/>
    <n v="7"/>
    <n v="4"/>
    <n v="10"/>
  </r>
  <r>
    <n v="36"/>
    <s v="No"/>
    <s v="Travel_Rarely"/>
    <n v="1403"/>
    <s v="Research &amp; Development"/>
    <n v="6"/>
    <n v="3"/>
    <s v="Life Sciences"/>
    <n v="4"/>
    <s v="Male"/>
    <n v="47"/>
    <n v="3"/>
    <n v="1"/>
    <s v="Laboratory Technician"/>
    <n v="4"/>
    <s v="Married"/>
    <n v="3210"/>
    <n v="20251"/>
    <n v="0"/>
    <s v="No"/>
    <n v="11"/>
    <n v="3"/>
    <n v="3"/>
    <n v="1"/>
    <n v="16"/>
    <n v="4"/>
    <n v="3"/>
    <n v="15"/>
    <n v="13"/>
    <n v="10"/>
    <n v="11"/>
  </r>
  <r>
    <n v="55"/>
    <s v="No"/>
    <s v="Travel_Rarely"/>
    <n v="452"/>
    <s v="Research &amp; Development"/>
    <n v="1"/>
    <n v="3"/>
    <s v="Medical"/>
    <n v="4"/>
    <s v="Male"/>
    <n v="81"/>
    <n v="3"/>
    <n v="5"/>
    <s v="Manager"/>
    <n v="1"/>
    <s v="Single"/>
    <n v="19045"/>
    <n v="18938"/>
    <n v="0"/>
    <s v="Yes"/>
    <n v="14"/>
    <n v="3"/>
    <n v="3"/>
    <n v="0"/>
    <n v="37"/>
    <n v="2"/>
    <n v="3"/>
    <n v="36"/>
    <n v="10"/>
    <n v="4"/>
    <n v="13"/>
  </r>
  <r>
    <n v="47"/>
    <s v="Yes"/>
    <s v="Non-Travel"/>
    <n v="666"/>
    <s v="Research &amp; Development"/>
    <n v="29"/>
    <n v="4"/>
    <s v="Life Sciences"/>
    <n v="1"/>
    <s v="Male"/>
    <n v="88"/>
    <n v="3"/>
    <n v="3"/>
    <s v="Manager"/>
    <n v="2"/>
    <s v="Married"/>
    <n v="11849"/>
    <n v="10268"/>
    <n v="1"/>
    <s v="Yes"/>
    <n v="12"/>
    <n v="3"/>
    <n v="4"/>
    <n v="1"/>
    <n v="10"/>
    <n v="2"/>
    <n v="2"/>
    <n v="10"/>
    <n v="7"/>
    <n v="9"/>
    <n v="9"/>
  </r>
  <r>
    <n v="28"/>
    <s v="No"/>
    <s v="Travel_Rarely"/>
    <n v="1158"/>
    <s v="Research &amp; Development"/>
    <n v="9"/>
    <n v="3"/>
    <s v="Medical"/>
    <n v="4"/>
    <s v="Male"/>
    <n v="94"/>
    <n v="3"/>
    <n v="1"/>
    <s v="Research Scientist"/>
    <n v="4"/>
    <s v="Married"/>
    <n v="2070"/>
    <n v="2613"/>
    <n v="1"/>
    <s v="No"/>
    <n v="23"/>
    <n v="4"/>
    <n v="4"/>
    <n v="1"/>
    <n v="5"/>
    <n v="3"/>
    <n v="2"/>
    <n v="5"/>
    <n v="2"/>
    <n v="0"/>
    <n v="4"/>
  </r>
  <r>
    <n v="37"/>
    <s v="No"/>
    <s v="Travel_Rarely"/>
    <n v="228"/>
    <s v="Sales"/>
    <n v="6"/>
    <n v="4"/>
    <s v="Medical"/>
    <n v="3"/>
    <s v="Male"/>
    <n v="98"/>
    <n v="3"/>
    <n v="2"/>
    <s v="Sales Executive"/>
    <n v="4"/>
    <s v="Married"/>
    <n v="6502"/>
    <n v="22825"/>
    <n v="4"/>
    <s v="No"/>
    <n v="14"/>
    <n v="3"/>
    <n v="2"/>
    <n v="1"/>
    <n v="7"/>
    <n v="5"/>
    <n v="4"/>
    <n v="5"/>
    <n v="4"/>
    <n v="0"/>
    <n v="1"/>
  </r>
  <r>
    <n v="21"/>
    <s v="No"/>
    <s v="Travel_Rarely"/>
    <n v="996"/>
    <s v="Research &amp; Development"/>
    <n v="3"/>
    <n v="2"/>
    <s v="Medical"/>
    <n v="4"/>
    <s v="Male"/>
    <n v="100"/>
    <n v="2"/>
    <n v="1"/>
    <s v="Research Scientist"/>
    <n v="3"/>
    <s v="Single"/>
    <n v="3230"/>
    <n v="10531"/>
    <n v="1"/>
    <s v="No"/>
    <n v="17"/>
    <n v="3"/>
    <n v="1"/>
    <n v="0"/>
    <n v="3"/>
    <n v="4"/>
    <n v="4"/>
    <n v="3"/>
    <n v="2"/>
    <n v="1"/>
    <n v="0"/>
  </r>
  <r>
    <n v="37"/>
    <s v="No"/>
    <s v="Non-Travel"/>
    <n v="728"/>
    <s v="Research &amp; Development"/>
    <n v="1"/>
    <n v="4"/>
    <s v="Medical"/>
    <n v="1"/>
    <s v="Female"/>
    <n v="80"/>
    <n v="3"/>
    <n v="3"/>
    <s v="Research Director"/>
    <n v="4"/>
    <s v="Divorced"/>
    <n v="13603"/>
    <n v="11677"/>
    <n v="2"/>
    <s v="Yes"/>
    <n v="18"/>
    <n v="3"/>
    <n v="1"/>
    <n v="2"/>
    <n v="15"/>
    <n v="2"/>
    <n v="3"/>
    <n v="5"/>
    <n v="2"/>
    <n v="0"/>
    <n v="2"/>
  </r>
  <r>
    <n v="35"/>
    <s v="No"/>
    <s v="Travel_Rarely"/>
    <n v="1315"/>
    <s v="Research &amp; Development"/>
    <n v="22"/>
    <n v="3"/>
    <s v="Life Sciences"/>
    <n v="2"/>
    <s v="Female"/>
    <n v="71"/>
    <n v="4"/>
    <n v="3"/>
    <s v="Manager"/>
    <n v="2"/>
    <s v="Divorced"/>
    <n v="11996"/>
    <n v="19100"/>
    <n v="7"/>
    <s v="No"/>
    <n v="18"/>
    <n v="3"/>
    <n v="2"/>
    <n v="1"/>
    <n v="10"/>
    <n v="6"/>
    <n v="2"/>
    <n v="7"/>
    <n v="7"/>
    <n v="6"/>
    <n v="2"/>
  </r>
  <r>
    <n v="38"/>
    <s v="No"/>
    <s v="Travel_Rarely"/>
    <n v="322"/>
    <s v="Sales"/>
    <n v="7"/>
    <n v="2"/>
    <s v="Medical"/>
    <n v="1"/>
    <s v="Female"/>
    <n v="44"/>
    <n v="4"/>
    <n v="2"/>
    <s v="Sales Executive"/>
    <n v="1"/>
    <s v="Divorced"/>
    <n v="5605"/>
    <n v="19191"/>
    <n v="1"/>
    <s v="Yes"/>
    <n v="24"/>
    <n v="4"/>
    <n v="3"/>
    <n v="1"/>
    <n v="8"/>
    <n v="3"/>
    <n v="3"/>
    <n v="8"/>
    <n v="0"/>
    <n v="7"/>
    <n v="7"/>
  </r>
  <r>
    <n v="26"/>
    <s v="No"/>
    <s v="Travel_Frequently"/>
    <n v="1479"/>
    <s v="Research &amp; Development"/>
    <n v="1"/>
    <n v="3"/>
    <s v="Life Sciences"/>
    <n v="3"/>
    <s v="Female"/>
    <n v="84"/>
    <n v="3"/>
    <n v="2"/>
    <s v="Manufacturing Director"/>
    <n v="2"/>
    <s v="Divorced"/>
    <n v="6397"/>
    <n v="26767"/>
    <n v="1"/>
    <s v="No"/>
    <n v="20"/>
    <n v="4"/>
    <n v="1"/>
    <n v="1"/>
    <n v="6"/>
    <n v="6"/>
    <n v="1"/>
    <n v="6"/>
    <n v="5"/>
    <n v="1"/>
    <n v="4"/>
  </r>
  <r>
    <n v="50"/>
    <s v="No"/>
    <s v="Travel_Rarely"/>
    <n v="797"/>
    <s v="Research &amp; Development"/>
    <n v="4"/>
    <n v="1"/>
    <s v="Life Sciences"/>
    <n v="1"/>
    <s v="Male"/>
    <n v="96"/>
    <n v="3"/>
    <n v="5"/>
    <s v="Research Director"/>
    <n v="2"/>
    <s v="Divorced"/>
    <n v="19144"/>
    <n v="15815"/>
    <n v="3"/>
    <s v="No"/>
    <n v="14"/>
    <n v="3"/>
    <n v="1"/>
    <n v="2"/>
    <n v="28"/>
    <n v="4"/>
    <n v="2"/>
    <n v="10"/>
    <n v="4"/>
    <n v="1"/>
    <n v="6"/>
  </r>
  <r>
    <n v="53"/>
    <s v="No"/>
    <s v="Travel_Rarely"/>
    <n v="1070"/>
    <s v="Research &amp; Development"/>
    <n v="3"/>
    <n v="4"/>
    <s v="Medical"/>
    <n v="3"/>
    <s v="Male"/>
    <n v="45"/>
    <n v="3"/>
    <n v="4"/>
    <s v="Research Director"/>
    <n v="3"/>
    <s v="Married"/>
    <n v="17584"/>
    <n v="21016"/>
    <n v="3"/>
    <s v="Yes"/>
    <n v="16"/>
    <n v="3"/>
    <n v="4"/>
    <n v="3"/>
    <n v="21"/>
    <n v="5"/>
    <n v="2"/>
    <n v="5"/>
    <n v="3"/>
    <n v="1"/>
    <n v="3"/>
  </r>
  <r>
    <n v="42"/>
    <s v="No"/>
    <s v="Travel_Rarely"/>
    <n v="635"/>
    <s v="Sales"/>
    <n v="1"/>
    <n v="1"/>
    <s v="Life Sciences"/>
    <n v="2"/>
    <s v="Male"/>
    <n v="99"/>
    <n v="3"/>
    <n v="2"/>
    <s v="Sales Executive"/>
    <n v="3"/>
    <s v="Married"/>
    <n v="4907"/>
    <n v="24532"/>
    <n v="1"/>
    <s v="No"/>
    <n v="25"/>
    <n v="4"/>
    <n v="3"/>
    <n v="0"/>
    <n v="20"/>
    <n v="3"/>
    <n v="3"/>
    <n v="20"/>
    <n v="16"/>
    <n v="11"/>
    <n v="6"/>
  </r>
  <r>
    <n v="29"/>
    <s v="No"/>
    <s v="Travel_Frequently"/>
    <n v="442"/>
    <s v="Sales"/>
    <n v="2"/>
    <n v="2"/>
    <s v="Life Sciences"/>
    <n v="2"/>
    <s v="Male"/>
    <n v="44"/>
    <n v="3"/>
    <n v="2"/>
    <s v="Sales Executive"/>
    <n v="4"/>
    <s v="Single"/>
    <n v="4554"/>
    <n v="20260"/>
    <n v="1"/>
    <s v="No"/>
    <n v="18"/>
    <n v="3"/>
    <n v="1"/>
    <n v="0"/>
    <n v="10"/>
    <n v="3"/>
    <n v="2"/>
    <n v="10"/>
    <n v="7"/>
    <n v="0"/>
    <n v="9"/>
  </r>
  <r>
    <n v="55"/>
    <s v="No"/>
    <s v="Travel_Rarely"/>
    <n v="147"/>
    <s v="Research &amp; Development"/>
    <n v="20"/>
    <n v="2"/>
    <s v="Technical Degree"/>
    <n v="2"/>
    <s v="Male"/>
    <n v="37"/>
    <n v="3"/>
    <n v="2"/>
    <s v="Laboratory Technician"/>
    <n v="4"/>
    <s v="Married"/>
    <n v="5415"/>
    <n v="15972"/>
    <n v="3"/>
    <s v="Yes"/>
    <n v="19"/>
    <n v="3"/>
    <n v="4"/>
    <n v="1"/>
    <n v="12"/>
    <n v="4"/>
    <n v="3"/>
    <n v="10"/>
    <n v="7"/>
    <n v="0"/>
    <n v="8"/>
  </r>
  <r>
    <n v="26"/>
    <s v="No"/>
    <s v="Travel_Frequently"/>
    <n v="496"/>
    <s v="Research &amp; Development"/>
    <n v="11"/>
    <n v="2"/>
    <s v="Medical"/>
    <n v="1"/>
    <s v="Male"/>
    <n v="60"/>
    <n v="3"/>
    <n v="2"/>
    <s v="Healthcare Representative"/>
    <n v="1"/>
    <s v="Married"/>
    <n v="4741"/>
    <n v="22722"/>
    <n v="1"/>
    <s v="Yes"/>
    <n v="13"/>
    <n v="3"/>
    <n v="3"/>
    <n v="1"/>
    <n v="5"/>
    <n v="3"/>
    <n v="3"/>
    <n v="5"/>
    <n v="3"/>
    <n v="3"/>
    <n v="3"/>
  </r>
  <r>
    <n v="37"/>
    <s v="No"/>
    <s v="Travel_Rarely"/>
    <n v="1372"/>
    <s v="Research &amp; Development"/>
    <n v="1"/>
    <n v="3"/>
    <s v="Life Sciences"/>
    <n v="4"/>
    <s v="Female"/>
    <n v="42"/>
    <n v="3"/>
    <n v="1"/>
    <s v="Research Scientist"/>
    <n v="4"/>
    <s v="Single"/>
    <n v="2115"/>
    <n v="15881"/>
    <n v="1"/>
    <s v="No"/>
    <n v="12"/>
    <n v="3"/>
    <n v="2"/>
    <n v="0"/>
    <n v="17"/>
    <n v="3"/>
    <n v="3"/>
    <n v="17"/>
    <n v="12"/>
    <n v="5"/>
    <n v="7"/>
  </r>
  <r>
    <n v="44"/>
    <s v="Yes"/>
    <s v="Travel_Frequently"/>
    <n v="920"/>
    <s v="Research &amp; Development"/>
    <n v="24"/>
    <n v="3"/>
    <s v="Life Sciences"/>
    <n v="4"/>
    <s v="Male"/>
    <n v="43"/>
    <n v="3"/>
    <n v="1"/>
    <s v="Laboratory Technician"/>
    <n v="3"/>
    <s v="Divorced"/>
    <n v="3161"/>
    <n v="19920"/>
    <n v="3"/>
    <s v="Yes"/>
    <n v="22"/>
    <n v="4"/>
    <n v="4"/>
    <n v="1"/>
    <n v="19"/>
    <n v="0"/>
    <n v="1"/>
    <n v="1"/>
    <n v="0"/>
    <n v="0"/>
    <n v="0"/>
  </r>
  <r>
    <n v="38"/>
    <s v="No"/>
    <s v="Travel_Rarely"/>
    <n v="688"/>
    <s v="Research &amp; Development"/>
    <n v="23"/>
    <n v="4"/>
    <s v="Life Sciences"/>
    <n v="4"/>
    <s v="Male"/>
    <n v="82"/>
    <n v="3"/>
    <n v="2"/>
    <s v="Healthcare Representative"/>
    <n v="4"/>
    <s v="Divorced"/>
    <n v="5745"/>
    <n v="18899"/>
    <n v="9"/>
    <s v="No"/>
    <n v="14"/>
    <n v="3"/>
    <n v="2"/>
    <n v="1"/>
    <n v="10"/>
    <n v="2"/>
    <n v="3"/>
    <n v="2"/>
    <n v="2"/>
    <n v="1"/>
    <n v="2"/>
  </r>
  <r>
    <n v="26"/>
    <s v="Yes"/>
    <s v="Travel_Rarely"/>
    <n v="1449"/>
    <s v="Research &amp; Development"/>
    <n v="16"/>
    <n v="4"/>
    <s v="Medical"/>
    <n v="1"/>
    <s v="Male"/>
    <n v="45"/>
    <n v="3"/>
    <n v="1"/>
    <s v="Laboratory Technician"/>
    <n v="2"/>
    <s v="Divorced"/>
    <n v="2373"/>
    <n v="14180"/>
    <n v="2"/>
    <s v="Yes"/>
    <n v="13"/>
    <n v="3"/>
    <n v="4"/>
    <n v="1"/>
    <n v="5"/>
    <n v="2"/>
    <n v="3"/>
    <n v="3"/>
    <n v="2"/>
    <n v="0"/>
    <n v="2"/>
  </r>
  <r>
    <n v="28"/>
    <s v="No"/>
    <s v="Travel_Rarely"/>
    <n v="1117"/>
    <s v="Research &amp; Development"/>
    <n v="8"/>
    <n v="2"/>
    <s v="Life Sciences"/>
    <n v="4"/>
    <s v="Female"/>
    <n v="66"/>
    <n v="3"/>
    <n v="1"/>
    <s v="Research Scientist"/>
    <n v="4"/>
    <s v="Single"/>
    <n v="3310"/>
    <n v="4488"/>
    <n v="1"/>
    <s v="No"/>
    <n v="21"/>
    <n v="4"/>
    <n v="4"/>
    <n v="0"/>
    <n v="5"/>
    <n v="3"/>
    <n v="3"/>
    <n v="5"/>
    <n v="3"/>
    <n v="0"/>
    <n v="2"/>
  </r>
  <r>
    <n v="49"/>
    <s v="No"/>
    <s v="Travel_Frequently"/>
    <n v="636"/>
    <s v="Research &amp; Development"/>
    <n v="10"/>
    <n v="4"/>
    <s v="Life Sciences"/>
    <n v="3"/>
    <s v="Female"/>
    <n v="35"/>
    <n v="3"/>
    <n v="5"/>
    <s v="Research Director"/>
    <n v="1"/>
    <s v="Single"/>
    <n v="18665"/>
    <n v="25594"/>
    <n v="9"/>
    <s v="Yes"/>
    <n v="11"/>
    <n v="3"/>
    <n v="4"/>
    <n v="0"/>
    <n v="22"/>
    <n v="4"/>
    <n v="3"/>
    <n v="3"/>
    <n v="2"/>
    <n v="1"/>
    <n v="2"/>
  </r>
  <r>
    <n v="36"/>
    <s v="No"/>
    <s v="Travel_Rarely"/>
    <n v="506"/>
    <s v="Research &amp; Development"/>
    <n v="3"/>
    <n v="3"/>
    <s v="Technical Degree"/>
    <n v="3"/>
    <s v="Male"/>
    <n v="30"/>
    <n v="3"/>
    <n v="2"/>
    <s v="Research Scientist"/>
    <n v="2"/>
    <s v="Single"/>
    <n v="4485"/>
    <n v="26285"/>
    <n v="4"/>
    <s v="No"/>
    <n v="12"/>
    <n v="3"/>
    <n v="4"/>
    <n v="0"/>
    <n v="10"/>
    <n v="2"/>
    <n v="3"/>
    <n v="8"/>
    <n v="0"/>
    <n v="7"/>
    <n v="7"/>
  </r>
  <r>
    <n v="31"/>
    <s v="No"/>
    <s v="Travel_Frequently"/>
    <n v="444"/>
    <s v="Sales"/>
    <n v="5"/>
    <n v="3"/>
    <s v="Marketing"/>
    <n v="4"/>
    <s v="Female"/>
    <n v="84"/>
    <n v="3"/>
    <n v="1"/>
    <s v="Sales Representative"/>
    <n v="2"/>
    <s v="Divorced"/>
    <n v="2789"/>
    <n v="3909"/>
    <n v="1"/>
    <s v="No"/>
    <n v="11"/>
    <n v="3"/>
    <n v="3"/>
    <n v="1"/>
    <n v="2"/>
    <n v="5"/>
    <n v="2"/>
    <n v="2"/>
    <n v="2"/>
    <n v="2"/>
    <n v="2"/>
  </r>
  <r>
    <n v="26"/>
    <s v="Yes"/>
    <s v="Travel_Rarely"/>
    <n v="950"/>
    <s v="Sales"/>
    <n v="4"/>
    <n v="4"/>
    <s v="Marketing"/>
    <n v="4"/>
    <s v="Male"/>
    <n v="48"/>
    <n v="2"/>
    <n v="2"/>
    <s v="Sales Executive"/>
    <n v="4"/>
    <s v="Single"/>
    <n v="5828"/>
    <n v="8450"/>
    <n v="1"/>
    <s v="Yes"/>
    <n v="12"/>
    <n v="3"/>
    <n v="2"/>
    <n v="0"/>
    <n v="8"/>
    <n v="0"/>
    <n v="3"/>
    <n v="8"/>
    <n v="7"/>
    <n v="7"/>
    <n v="4"/>
  </r>
  <r>
    <n v="37"/>
    <s v="No"/>
    <s v="Travel_Frequently"/>
    <n v="889"/>
    <s v="Research &amp; Development"/>
    <n v="9"/>
    <n v="3"/>
    <s v="Medical"/>
    <n v="2"/>
    <s v="Male"/>
    <n v="53"/>
    <n v="3"/>
    <n v="1"/>
    <s v="Research Scientist"/>
    <n v="4"/>
    <s v="Married"/>
    <n v="2326"/>
    <n v="11411"/>
    <n v="1"/>
    <s v="Yes"/>
    <n v="12"/>
    <n v="3"/>
    <n v="3"/>
    <n v="3"/>
    <n v="4"/>
    <n v="3"/>
    <n v="2"/>
    <n v="4"/>
    <n v="2"/>
    <n v="1"/>
    <n v="2"/>
  </r>
  <r>
    <n v="42"/>
    <s v="No"/>
    <s v="Travel_Frequently"/>
    <n v="555"/>
    <s v="Sales"/>
    <n v="26"/>
    <n v="3"/>
    <s v="Marketing"/>
    <n v="3"/>
    <s v="Female"/>
    <n v="77"/>
    <n v="3"/>
    <n v="4"/>
    <s v="Sales Executive"/>
    <n v="2"/>
    <s v="Married"/>
    <n v="13525"/>
    <n v="14864"/>
    <n v="5"/>
    <s v="No"/>
    <n v="14"/>
    <n v="3"/>
    <n v="4"/>
    <n v="1"/>
    <n v="23"/>
    <n v="2"/>
    <n v="4"/>
    <n v="20"/>
    <n v="4"/>
    <n v="4"/>
    <n v="8"/>
  </r>
  <r>
    <n v="18"/>
    <s v="Yes"/>
    <s v="Travel_Rarely"/>
    <n v="230"/>
    <s v="Research &amp; Development"/>
    <n v="3"/>
    <n v="3"/>
    <s v="Life Sciences"/>
    <n v="3"/>
    <s v="Male"/>
    <n v="54"/>
    <n v="3"/>
    <n v="1"/>
    <s v="Laboratory Technician"/>
    <n v="3"/>
    <s v="Single"/>
    <n v="1420"/>
    <n v="25233"/>
    <n v="1"/>
    <s v="No"/>
    <n v="13"/>
    <n v="3"/>
    <n v="3"/>
    <n v="0"/>
    <n v="0"/>
    <n v="2"/>
    <n v="3"/>
    <n v="0"/>
    <n v="0"/>
    <n v="0"/>
    <n v="0"/>
  </r>
  <r>
    <n v="35"/>
    <s v="No"/>
    <s v="Travel_Rarely"/>
    <n v="1232"/>
    <s v="Sales"/>
    <n v="16"/>
    <n v="3"/>
    <s v="Marketing"/>
    <n v="3"/>
    <s v="Male"/>
    <n v="96"/>
    <n v="3"/>
    <n v="3"/>
    <s v="Sales Executive"/>
    <n v="2"/>
    <s v="Married"/>
    <n v="8020"/>
    <n v="5100"/>
    <n v="0"/>
    <s v="No"/>
    <n v="15"/>
    <n v="3"/>
    <n v="3"/>
    <n v="2"/>
    <n v="12"/>
    <n v="3"/>
    <n v="2"/>
    <n v="11"/>
    <n v="9"/>
    <n v="6"/>
    <n v="9"/>
  </r>
  <r>
    <n v="36"/>
    <s v="No"/>
    <s v="Travel_Frequently"/>
    <n v="566"/>
    <s v="Research &amp; Development"/>
    <n v="18"/>
    <n v="4"/>
    <s v="Life Sciences"/>
    <n v="3"/>
    <s v="Male"/>
    <n v="81"/>
    <n v="4"/>
    <n v="1"/>
    <s v="Laboratory Technician"/>
    <n v="4"/>
    <s v="Married"/>
    <n v="3688"/>
    <n v="7122"/>
    <n v="4"/>
    <s v="No"/>
    <n v="18"/>
    <n v="3"/>
    <n v="4"/>
    <n v="2"/>
    <n v="4"/>
    <n v="2"/>
    <n v="3"/>
    <n v="1"/>
    <n v="0"/>
    <n v="0"/>
    <n v="0"/>
  </r>
  <r>
    <n v="51"/>
    <s v="No"/>
    <s v="Travel_Rarely"/>
    <n v="1302"/>
    <s v="Research &amp; Development"/>
    <n v="2"/>
    <n v="3"/>
    <s v="Medical"/>
    <n v="4"/>
    <s v="Male"/>
    <n v="84"/>
    <n v="1"/>
    <n v="2"/>
    <s v="Manufacturing Director"/>
    <n v="2"/>
    <s v="Divorced"/>
    <n v="5482"/>
    <n v="16321"/>
    <n v="5"/>
    <s v="No"/>
    <n v="18"/>
    <n v="3"/>
    <n v="4"/>
    <n v="1"/>
    <n v="13"/>
    <n v="3"/>
    <n v="3"/>
    <n v="4"/>
    <n v="1"/>
    <n v="1"/>
    <n v="2"/>
  </r>
  <r>
    <n v="41"/>
    <s v="No"/>
    <s v="Travel_Rarely"/>
    <n v="334"/>
    <s v="Sales"/>
    <n v="2"/>
    <n v="4"/>
    <s v="Life Sciences"/>
    <n v="4"/>
    <s v="Male"/>
    <n v="88"/>
    <n v="3"/>
    <n v="4"/>
    <s v="Manager"/>
    <n v="2"/>
    <s v="Single"/>
    <n v="16015"/>
    <n v="15896"/>
    <n v="1"/>
    <s v="No"/>
    <n v="19"/>
    <n v="3"/>
    <n v="2"/>
    <n v="0"/>
    <n v="22"/>
    <n v="2"/>
    <n v="3"/>
    <n v="22"/>
    <n v="10"/>
    <n v="0"/>
    <n v="4"/>
  </r>
  <r>
    <n v="18"/>
    <s v="No"/>
    <s v="Travel_Rarely"/>
    <n v="812"/>
    <s v="Sales"/>
    <n v="10"/>
    <n v="3"/>
    <s v="Medical"/>
    <n v="4"/>
    <s v="Female"/>
    <n v="69"/>
    <n v="2"/>
    <n v="1"/>
    <s v="Sales Representative"/>
    <n v="3"/>
    <s v="Single"/>
    <n v="1200"/>
    <n v="9724"/>
    <n v="1"/>
    <s v="No"/>
    <n v="12"/>
    <n v="3"/>
    <n v="1"/>
    <n v="0"/>
    <n v="0"/>
    <n v="2"/>
    <n v="3"/>
    <n v="0"/>
    <n v="0"/>
    <n v="0"/>
    <n v="0"/>
  </r>
  <r>
    <n v="28"/>
    <s v="No"/>
    <s v="Travel_Rarely"/>
    <n v="1476"/>
    <s v="Research &amp; Development"/>
    <n v="16"/>
    <n v="2"/>
    <s v="Medical"/>
    <n v="2"/>
    <s v="Male"/>
    <n v="68"/>
    <n v="4"/>
    <n v="2"/>
    <s v="Healthcare Representative"/>
    <n v="1"/>
    <s v="Single"/>
    <n v="5661"/>
    <n v="4824"/>
    <n v="0"/>
    <s v="No"/>
    <n v="19"/>
    <n v="3"/>
    <n v="3"/>
    <n v="0"/>
    <n v="9"/>
    <n v="2"/>
    <n v="3"/>
    <n v="8"/>
    <n v="3"/>
    <n v="0"/>
    <n v="7"/>
  </r>
  <r>
    <n v="31"/>
    <s v="No"/>
    <s v="Travel_Rarely"/>
    <n v="218"/>
    <s v="Sales"/>
    <n v="7"/>
    <n v="3"/>
    <s v="Technical Degree"/>
    <n v="2"/>
    <s v="Male"/>
    <n v="100"/>
    <n v="4"/>
    <n v="2"/>
    <s v="Sales Executive"/>
    <n v="4"/>
    <s v="Married"/>
    <n v="6929"/>
    <n v="12241"/>
    <n v="4"/>
    <s v="No"/>
    <n v="11"/>
    <n v="3"/>
    <n v="2"/>
    <n v="1"/>
    <n v="10"/>
    <n v="3"/>
    <n v="2"/>
    <n v="8"/>
    <n v="7"/>
    <n v="7"/>
    <n v="7"/>
  </r>
  <r>
    <n v="39"/>
    <s v="No"/>
    <s v="Travel_Rarely"/>
    <n v="1132"/>
    <s v="Research &amp; Development"/>
    <n v="1"/>
    <n v="3"/>
    <s v="Medical"/>
    <n v="3"/>
    <s v="Male"/>
    <n v="48"/>
    <n v="4"/>
    <n v="3"/>
    <s v="Healthcare Representative"/>
    <n v="4"/>
    <s v="Divorced"/>
    <n v="9613"/>
    <n v="10942"/>
    <n v="0"/>
    <s v="No"/>
    <n v="17"/>
    <n v="3"/>
    <n v="1"/>
    <n v="3"/>
    <n v="19"/>
    <n v="5"/>
    <n v="2"/>
    <n v="18"/>
    <n v="10"/>
    <n v="3"/>
    <n v="7"/>
  </r>
  <r>
    <n v="36"/>
    <s v="No"/>
    <s v="Non-Travel"/>
    <n v="1105"/>
    <s v="Research &amp; Development"/>
    <n v="24"/>
    <n v="4"/>
    <s v="Life Sciences"/>
    <n v="2"/>
    <s v="Female"/>
    <n v="47"/>
    <n v="3"/>
    <n v="2"/>
    <s v="Laboratory Technician"/>
    <n v="2"/>
    <s v="Married"/>
    <n v="5674"/>
    <n v="6927"/>
    <n v="7"/>
    <s v="No"/>
    <n v="15"/>
    <n v="3"/>
    <n v="3"/>
    <n v="1"/>
    <n v="11"/>
    <n v="3"/>
    <n v="3"/>
    <n v="9"/>
    <n v="8"/>
    <n v="0"/>
    <n v="8"/>
  </r>
  <r>
    <n v="32"/>
    <s v="No"/>
    <s v="Travel_Rarely"/>
    <n v="906"/>
    <s v="Sales"/>
    <n v="7"/>
    <n v="3"/>
    <s v="Life Sciences"/>
    <n v="4"/>
    <s v="Male"/>
    <n v="91"/>
    <n v="2"/>
    <n v="2"/>
    <s v="Sales Executive"/>
    <n v="3"/>
    <s v="Married"/>
    <n v="5484"/>
    <n v="16985"/>
    <n v="1"/>
    <s v="No"/>
    <n v="14"/>
    <n v="3"/>
    <n v="3"/>
    <n v="1"/>
    <n v="13"/>
    <n v="3"/>
    <n v="2"/>
    <n v="13"/>
    <n v="8"/>
    <n v="4"/>
    <n v="8"/>
  </r>
  <r>
    <n v="38"/>
    <s v="No"/>
    <s v="Travel_Rarely"/>
    <n v="849"/>
    <s v="Research &amp; Development"/>
    <n v="25"/>
    <n v="2"/>
    <s v="Life Sciences"/>
    <n v="1"/>
    <s v="Female"/>
    <n v="81"/>
    <n v="2"/>
    <n v="3"/>
    <s v="Research Director"/>
    <n v="2"/>
    <s v="Married"/>
    <n v="12061"/>
    <n v="26707"/>
    <n v="3"/>
    <s v="No"/>
    <n v="17"/>
    <n v="3"/>
    <n v="3"/>
    <n v="1"/>
    <n v="19"/>
    <n v="2"/>
    <n v="3"/>
    <n v="10"/>
    <n v="8"/>
    <n v="0"/>
    <n v="1"/>
  </r>
  <r>
    <n v="58"/>
    <s v="No"/>
    <s v="Non-Travel"/>
    <n v="390"/>
    <s v="Research &amp; Development"/>
    <n v="1"/>
    <n v="4"/>
    <s v="Life Sciences"/>
    <n v="4"/>
    <s v="Male"/>
    <n v="32"/>
    <n v="1"/>
    <n v="2"/>
    <s v="Healthcare Representative"/>
    <n v="3"/>
    <s v="Divorced"/>
    <n v="5660"/>
    <n v="17056"/>
    <n v="2"/>
    <s v="Yes"/>
    <n v="13"/>
    <n v="3"/>
    <n v="4"/>
    <n v="1"/>
    <n v="12"/>
    <n v="2"/>
    <n v="3"/>
    <n v="5"/>
    <n v="3"/>
    <n v="1"/>
    <n v="2"/>
  </r>
  <r>
    <n v="31"/>
    <s v="No"/>
    <s v="Travel_Rarely"/>
    <n v="691"/>
    <s v="Research &amp; Development"/>
    <n v="5"/>
    <n v="4"/>
    <s v="Technical Degree"/>
    <n v="3"/>
    <s v="Male"/>
    <n v="86"/>
    <n v="3"/>
    <n v="1"/>
    <s v="Research Scientist"/>
    <n v="4"/>
    <s v="Married"/>
    <n v="4821"/>
    <n v="10077"/>
    <n v="0"/>
    <s v="Yes"/>
    <n v="12"/>
    <n v="3"/>
    <n v="3"/>
    <n v="1"/>
    <n v="6"/>
    <n v="4"/>
    <n v="3"/>
    <n v="5"/>
    <n v="2"/>
    <n v="0"/>
    <n v="3"/>
  </r>
  <r>
    <n v="31"/>
    <s v="No"/>
    <s v="Travel_Rarely"/>
    <n v="106"/>
    <s v="Human Resources"/>
    <n v="2"/>
    <n v="3"/>
    <s v="Human Resources"/>
    <n v="1"/>
    <s v="Male"/>
    <n v="62"/>
    <n v="2"/>
    <n v="2"/>
    <s v="Human Resources"/>
    <n v="1"/>
    <s v="Married"/>
    <n v="6410"/>
    <n v="17822"/>
    <n v="3"/>
    <s v="No"/>
    <n v="12"/>
    <n v="3"/>
    <n v="4"/>
    <n v="0"/>
    <n v="9"/>
    <n v="1"/>
    <n v="3"/>
    <n v="2"/>
    <n v="2"/>
    <n v="1"/>
    <n v="0"/>
  </r>
  <r>
    <n v="45"/>
    <s v="No"/>
    <s v="Travel_Frequently"/>
    <n v="1249"/>
    <s v="Research &amp; Development"/>
    <n v="7"/>
    <n v="3"/>
    <s v="Life Sciences"/>
    <n v="1"/>
    <s v="Male"/>
    <n v="97"/>
    <n v="3"/>
    <n v="3"/>
    <s v="Laboratory Technician"/>
    <n v="1"/>
    <s v="Divorced"/>
    <n v="5210"/>
    <n v="20308"/>
    <n v="1"/>
    <s v="No"/>
    <n v="18"/>
    <n v="3"/>
    <n v="1"/>
    <n v="1"/>
    <n v="24"/>
    <n v="2"/>
    <n v="3"/>
    <n v="24"/>
    <n v="9"/>
    <n v="9"/>
    <n v="11"/>
  </r>
  <r>
    <n v="31"/>
    <s v="No"/>
    <s v="Travel_Rarely"/>
    <n v="192"/>
    <s v="Research &amp; Development"/>
    <n v="2"/>
    <n v="4"/>
    <s v="Life Sciences"/>
    <n v="3"/>
    <s v="Male"/>
    <n v="32"/>
    <n v="3"/>
    <n v="1"/>
    <s v="Research Scientist"/>
    <n v="4"/>
    <s v="Divorced"/>
    <n v="2695"/>
    <n v="7747"/>
    <n v="0"/>
    <s v="Yes"/>
    <n v="18"/>
    <n v="3"/>
    <n v="2"/>
    <n v="1"/>
    <n v="3"/>
    <n v="2"/>
    <n v="1"/>
    <n v="2"/>
    <n v="2"/>
    <n v="2"/>
    <n v="2"/>
  </r>
  <r>
    <n v="33"/>
    <s v="No"/>
    <s v="Travel_Frequently"/>
    <n v="553"/>
    <s v="Research &amp; Development"/>
    <n v="5"/>
    <n v="4"/>
    <s v="Life Sciences"/>
    <n v="4"/>
    <s v="Female"/>
    <n v="74"/>
    <n v="3"/>
    <n v="3"/>
    <s v="Manager"/>
    <n v="2"/>
    <s v="Married"/>
    <n v="11878"/>
    <n v="23364"/>
    <n v="6"/>
    <s v="No"/>
    <n v="11"/>
    <n v="3"/>
    <n v="2"/>
    <n v="2"/>
    <n v="12"/>
    <n v="2"/>
    <n v="3"/>
    <n v="10"/>
    <n v="6"/>
    <n v="8"/>
    <n v="8"/>
  </r>
  <r>
    <n v="39"/>
    <s v="No"/>
    <s v="Travel_Rarely"/>
    <n v="117"/>
    <s v="Research &amp; Development"/>
    <n v="10"/>
    <n v="1"/>
    <s v="Medical"/>
    <n v="3"/>
    <s v="Male"/>
    <n v="99"/>
    <n v="3"/>
    <n v="4"/>
    <s v="Manager"/>
    <n v="1"/>
    <s v="Married"/>
    <n v="17068"/>
    <n v="5355"/>
    <n v="1"/>
    <s v="Yes"/>
    <n v="14"/>
    <n v="3"/>
    <n v="4"/>
    <n v="0"/>
    <n v="21"/>
    <n v="3"/>
    <n v="3"/>
    <n v="21"/>
    <n v="9"/>
    <n v="11"/>
    <n v="10"/>
  </r>
  <r>
    <n v="43"/>
    <s v="No"/>
    <s v="Travel_Frequently"/>
    <n v="185"/>
    <s v="Research &amp; Development"/>
    <n v="10"/>
    <n v="4"/>
    <s v="Life Sciences"/>
    <n v="3"/>
    <s v="Female"/>
    <n v="33"/>
    <n v="3"/>
    <n v="1"/>
    <s v="Laboratory Technician"/>
    <n v="4"/>
    <s v="Single"/>
    <n v="2455"/>
    <n v="10675"/>
    <n v="0"/>
    <s v="No"/>
    <n v="19"/>
    <n v="3"/>
    <n v="1"/>
    <n v="0"/>
    <n v="9"/>
    <n v="5"/>
    <n v="3"/>
    <n v="8"/>
    <n v="7"/>
    <n v="1"/>
    <n v="7"/>
  </r>
  <r>
    <n v="49"/>
    <s v="No"/>
    <s v="Travel_Rarely"/>
    <n v="1091"/>
    <s v="Research &amp; Development"/>
    <n v="1"/>
    <n v="2"/>
    <s v="Technical Degree"/>
    <n v="3"/>
    <s v="Female"/>
    <n v="90"/>
    <n v="2"/>
    <n v="4"/>
    <s v="Healthcare Representative"/>
    <n v="3"/>
    <s v="Single"/>
    <n v="13964"/>
    <n v="17810"/>
    <n v="7"/>
    <s v="Yes"/>
    <n v="12"/>
    <n v="3"/>
    <n v="4"/>
    <n v="0"/>
    <n v="25"/>
    <n v="2"/>
    <n v="3"/>
    <n v="7"/>
    <n v="1"/>
    <n v="0"/>
    <n v="7"/>
  </r>
  <r>
    <n v="52"/>
    <s v="Yes"/>
    <s v="Travel_Rarely"/>
    <n v="723"/>
    <s v="Research &amp; Development"/>
    <n v="8"/>
    <n v="4"/>
    <s v="Medical"/>
    <n v="3"/>
    <s v="Male"/>
    <n v="85"/>
    <n v="2"/>
    <n v="2"/>
    <s v="Research Scientist"/>
    <n v="2"/>
    <s v="Married"/>
    <n v="4941"/>
    <n v="17747"/>
    <n v="2"/>
    <s v="No"/>
    <n v="15"/>
    <n v="3"/>
    <n v="1"/>
    <n v="0"/>
    <n v="11"/>
    <n v="3"/>
    <n v="2"/>
    <n v="8"/>
    <n v="2"/>
    <n v="7"/>
    <n v="7"/>
  </r>
  <r>
    <n v="27"/>
    <s v="No"/>
    <s v="Travel_Rarely"/>
    <n v="1220"/>
    <s v="Research &amp; Development"/>
    <n v="5"/>
    <n v="3"/>
    <s v="Life Sciences"/>
    <n v="3"/>
    <s v="Female"/>
    <n v="85"/>
    <n v="3"/>
    <n v="1"/>
    <s v="Research Scientist"/>
    <n v="2"/>
    <s v="Single"/>
    <n v="2478"/>
    <n v="20938"/>
    <n v="1"/>
    <s v="Yes"/>
    <n v="12"/>
    <n v="3"/>
    <n v="2"/>
    <n v="0"/>
    <n v="4"/>
    <n v="2"/>
    <n v="2"/>
    <n v="4"/>
    <n v="3"/>
    <n v="1"/>
    <n v="2"/>
  </r>
  <r>
    <n v="32"/>
    <s v="No"/>
    <s v="Travel_Rarely"/>
    <n v="588"/>
    <s v="Sales"/>
    <n v="8"/>
    <n v="2"/>
    <s v="Technical Degree"/>
    <n v="3"/>
    <s v="Female"/>
    <n v="65"/>
    <n v="2"/>
    <n v="2"/>
    <s v="Sales Executive"/>
    <n v="2"/>
    <s v="Married"/>
    <n v="5228"/>
    <n v="24624"/>
    <n v="1"/>
    <s v="Yes"/>
    <n v="11"/>
    <n v="3"/>
    <n v="4"/>
    <n v="0"/>
    <n v="13"/>
    <n v="2"/>
    <n v="3"/>
    <n v="13"/>
    <n v="12"/>
    <n v="11"/>
    <n v="9"/>
  </r>
  <r>
    <n v="27"/>
    <s v="No"/>
    <s v="Travel_Rarely"/>
    <n v="1377"/>
    <s v="Sales"/>
    <n v="2"/>
    <n v="3"/>
    <s v="Life Sciences"/>
    <n v="4"/>
    <s v="Male"/>
    <n v="74"/>
    <n v="3"/>
    <n v="2"/>
    <s v="Sales Executive"/>
    <n v="3"/>
    <s v="Single"/>
    <n v="4478"/>
    <n v="5242"/>
    <n v="1"/>
    <s v="Yes"/>
    <n v="11"/>
    <n v="3"/>
    <n v="1"/>
    <n v="0"/>
    <n v="5"/>
    <n v="3"/>
    <n v="3"/>
    <n v="5"/>
    <n v="4"/>
    <n v="0"/>
    <n v="4"/>
  </r>
  <r>
    <n v="31"/>
    <s v="No"/>
    <s v="Travel_Rarely"/>
    <n v="691"/>
    <s v="Sales"/>
    <n v="7"/>
    <n v="3"/>
    <s v="Marketing"/>
    <n v="4"/>
    <s v="Male"/>
    <n v="73"/>
    <n v="3"/>
    <n v="2"/>
    <s v="Sales Executive"/>
    <n v="4"/>
    <s v="Divorced"/>
    <n v="7547"/>
    <n v="7143"/>
    <n v="4"/>
    <s v="No"/>
    <n v="12"/>
    <n v="3"/>
    <n v="4"/>
    <n v="3"/>
    <n v="13"/>
    <n v="3"/>
    <n v="3"/>
    <n v="7"/>
    <n v="7"/>
    <n v="1"/>
    <n v="7"/>
  </r>
  <r>
    <n v="32"/>
    <s v="No"/>
    <s v="Travel_Rarely"/>
    <n v="1018"/>
    <s v="Research &amp; Development"/>
    <n v="2"/>
    <n v="4"/>
    <s v="Medical"/>
    <n v="1"/>
    <s v="Female"/>
    <n v="74"/>
    <n v="4"/>
    <n v="2"/>
    <s v="Research Scientist"/>
    <n v="4"/>
    <s v="Single"/>
    <n v="5055"/>
    <n v="10557"/>
    <n v="7"/>
    <s v="No"/>
    <n v="16"/>
    <n v="3"/>
    <n v="3"/>
    <n v="0"/>
    <n v="10"/>
    <n v="0"/>
    <n v="2"/>
    <n v="7"/>
    <n v="7"/>
    <n v="0"/>
    <n v="7"/>
  </r>
  <r>
    <n v="28"/>
    <s v="Yes"/>
    <s v="Travel_Rarely"/>
    <n v="1157"/>
    <s v="Research &amp; Development"/>
    <n v="2"/>
    <n v="4"/>
    <s v="Medical"/>
    <n v="1"/>
    <s v="Male"/>
    <n v="84"/>
    <n v="1"/>
    <n v="1"/>
    <s v="Research Scientist"/>
    <n v="4"/>
    <s v="Married"/>
    <n v="3464"/>
    <n v="24737"/>
    <n v="5"/>
    <s v="Yes"/>
    <n v="13"/>
    <n v="3"/>
    <n v="4"/>
    <n v="0"/>
    <n v="5"/>
    <n v="4"/>
    <n v="2"/>
    <n v="3"/>
    <n v="2"/>
    <n v="2"/>
    <n v="2"/>
  </r>
  <r>
    <n v="30"/>
    <s v="No"/>
    <s v="Travel_Rarely"/>
    <n v="1275"/>
    <s v="Research &amp; Development"/>
    <n v="28"/>
    <n v="2"/>
    <s v="Medical"/>
    <n v="4"/>
    <s v="Female"/>
    <n v="64"/>
    <n v="3"/>
    <n v="2"/>
    <s v="Research Scientist"/>
    <n v="4"/>
    <s v="Married"/>
    <n v="5775"/>
    <n v="11934"/>
    <n v="1"/>
    <s v="No"/>
    <n v="13"/>
    <n v="3"/>
    <n v="4"/>
    <n v="2"/>
    <n v="11"/>
    <n v="2"/>
    <n v="3"/>
    <n v="10"/>
    <n v="8"/>
    <n v="1"/>
    <n v="9"/>
  </r>
  <r>
    <n v="31"/>
    <s v="No"/>
    <s v="Travel_Frequently"/>
    <n v="798"/>
    <s v="Research &amp; Development"/>
    <n v="7"/>
    <n v="2"/>
    <s v="Life Sciences"/>
    <n v="3"/>
    <s v="Female"/>
    <n v="48"/>
    <n v="2"/>
    <n v="3"/>
    <s v="Manufacturing Director"/>
    <n v="3"/>
    <s v="Married"/>
    <n v="8943"/>
    <n v="14034"/>
    <n v="1"/>
    <s v="No"/>
    <n v="24"/>
    <n v="4"/>
    <n v="1"/>
    <n v="1"/>
    <n v="10"/>
    <n v="2"/>
    <n v="3"/>
    <n v="10"/>
    <n v="9"/>
    <n v="8"/>
    <n v="9"/>
  </r>
  <r>
    <n v="39"/>
    <s v="No"/>
    <s v="Travel_Frequently"/>
    <n v="672"/>
    <s v="Research &amp; Development"/>
    <n v="7"/>
    <n v="2"/>
    <s v="Medical"/>
    <n v="3"/>
    <s v="Male"/>
    <n v="54"/>
    <n v="2"/>
    <n v="5"/>
    <s v="Manager"/>
    <n v="4"/>
    <s v="Married"/>
    <n v="19272"/>
    <n v="21141"/>
    <n v="1"/>
    <s v="No"/>
    <n v="15"/>
    <n v="3"/>
    <n v="1"/>
    <n v="1"/>
    <n v="21"/>
    <n v="2"/>
    <n v="3"/>
    <n v="21"/>
    <n v="9"/>
    <n v="13"/>
    <n v="3"/>
  </r>
  <r>
    <n v="39"/>
    <s v="Yes"/>
    <s v="Travel_Rarely"/>
    <n v="1162"/>
    <s v="Sales"/>
    <n v="3"/>
    <n v="2"/>
    <s v="Medical"/>
    <n v="4"/>
    <s v="Female"/>
    <n v="41"/>
    <n v="3"/>
    <n v="2"/>
    <s v="Sales Executive"/>
    <n v="3"/>
    <s v="Married"/>
    <n v="5238"/>
    <n v="17778"/>
    <n v="4"/>
    <s v="Yes"/>
    <n v="18"/>
    <n v="3"/>
    <n v="1"/>
    <n v="0"/>
    <n v="12"/>
    <n v="3"/>
    <n v="2"/>
    <n v="1"/>
    <n v="0"/>
    <n v="0"/>
    <n v="0"/>
  </r>
  <r>
    <n v="33"/>
    <s v="No"/>
    <s v="Travel_Frequently"/>
    <n v="508"/>
    <s v="Sales"/>
    <n v="10"/>
    <n v="3"/>
    <s v="Marketing"/>
    <n v="2"/>
    <s v="Male"/>
    <n v="46"/>
    <n v="2"/>
    <n v="2"/>
    <s v="Sales Executive"/>
    <n v="4"/>
    <s v="Single"/>
    <n v="4682"/>
    <n v="4317"/>
    <n v="3"/>
    <s v="No"/>
    <n v="14"/>
    <n v="3"/>
    <n v="3"/>
    <n v="0"/>
    <n v="9"/>
    <n v="6"/>
    <n v="2"/>
    <n v="7"/>
    <n v="7"/>
    <n v="0"/>
    <n v="1"/>
  </r>
  <r>
    <n v="47"/>
    <s v="No"/>
    <s v="Travel_Rarely"/>
    <n v="1482"/>
    <s v="Research &amp; Development"/>
    <n v="5"/>
    <n v="5"/>
    <s v="Life Sciences"/>
    <n v="4"/>
    <s v="Male"/>
    <n v="42"/>
    <n v="3"/>
    <n v="5"/>
    <s v="Research Director"/>
    <n v="3"/>
    <s v="Married"/>
    <n v="18300"/>
    <n v="16375"/>
    <n v="4"/>
    <s v="No"/>
    <n v="11"/>
    <n v="3"/>
    <n v="2"/>
    <n v="1"/>
    <n v="21"/>
    <n v="2"/>
    <n v="3"/>
    <n v="3"/>
    <n v="2"/>
    <n v="1"/>
    <n v="1"/>
  </r>
  <r>
    <n v="43"/>
    <s v="No"/>
    <s v="Travel_Frequently"/>
    <n v="559"/>
    <s v="Research &amp; Development"/>
    <n v="10"/>
    <n v="4"/>
    <s v="Life Sciences"/>
    <n v="3"/>
    <s v="Female"/>
    <n v="82"/>
    <n v="2"/>
    <n v="2"/>
    <s v="Laboratory Technician"/>
    <n v="3"/>
    <s v="Divorced"/>
    <n v="5257"/>
    <n v="6227"/>
    <n v="1"/>
    <s v="No"/>
    <n v="11"/>
    <n v="3"/>
    <n v="2"/>
    <n v="1"/>
    <n v="9"/>
    <n v="3"/>
    <n v="4"/>
    <n v="9"/>
    <n v="7"/>
    <n v="0"/>
    <n v="0"/>
  </r>
  <r>
    <n v="27"/>
    <s v="No"/>
    <s v="Non-Travel"/>
    <n v="210"/>
    <s v="Sales"/>
    <n v="1"/>
    <n v="1"/>
    <s v="Marketing"/>
    <n v="3"/>
    <s v="Male"/>
    <n v="73"/>
    <n v="3"/>
    <n v="2"/>
    <s v="Sales Executive"/>
    <n v="2"/>
    <s v="Married"/>
    <n v="6349"/>
    <n v="22107"/>
    <n v="0"/>
    <s v="Yes"/>
    <n v="13"/>
    <n v="3"/>
    <n v="4"/>
    <n v="1"/>
    <n v="6"/>
    <n v="0"/>
    <n v="3"/>
    <n v="5"/>
    <n v="4"/>
    <n v="1"/>
    <n v="4"/>
  </r>
  <r>
    <n v="54"/>
    <s v="No"/>
    <s v="Travel_Frequently"/>
    <n v="928"/>
    <s v="Research &amp; Development"/>
    <n v="20"/>
    <n v="4"/>
    <s v="Life Sciences"/>
    <n v="4"/>
    <s v="Female"/>
    <n v="31"/>
    <n v="3"/>
    <n v="2"/>
    <s v="Research Scientist"/>
    <n v="3"/>
    <s v="Single"/>
    <n v="4869"/>
    <n v="16885"/>
    <n v="3"/>
    <s v="No"/>
    <n v="12"/>
    <n v="3"/>
    <n v="4"/>
    <n v="0"/>
    <n v="20"/>
    <n v="4"/>
    <n v="2"/>
    <n v="4"/>
    <n v="3"/>
    <n v="0"/>
    <n v="3"/>
  </r>
  <r>
    <n v="43"/>
    <s v="No"/>
    <s v="Travel_Rarely"/>
    <n v="1001"/>
    <s v="Research &amp; Development"/>
    <n v="7"/>
    <n v="3"/>
    <s v="Life Sciences"/>
    <n v="3"/>
    <s v="Female"/>
    <n v="43"/>
    <n v="3"/>
    <n v="3"/>
    <s v="Healthcare Representative"/>
    <n v="1"/>
    <s v="Married"/>
    <n v="9985"/>
    <n v="9262"/>
    <n v="8"/>
    <s v="No"/>
    <n v="16"/>
    <n v="3"/>
    <n v="1"/>
    <n v="1"/>
    <n v="10"/>
    <n v="1"/>
    <n v="2"/>
    <n v="1"/>
    <n v="0"/>
    <n v="0"/>
    <n v="0"/>
  </r>
  <r>
    <n v="45"/>
    <s v="No"/>
    <s v="Travel_Rarely"/>
    <n v="549"/>
    <s v="Research &amp; Development"/>
    <n v="8"/>
    <n v="4"/>
    <s v="Other"/>
    <n v="4"/>
    <s v="Male"/>
    <n v="75"/>
    <n v="3"/>
    <n v="2"/>
    <s v="Research Scientist"/>
    <n v="4"/>
    <s v="Married"/>
    <n v="3697"/>
    <n v="9278"/>
    <n v="9"/>
    <s v="No"/>
    <n v="14"/>
    <n v="3"/>
    <n v="1"/>
    <n v="2"/>
    <n v="12"/>
    <n v="3"/>
    <n v="3"/>
    <n v="10"/>
    <n v="9"/>
    <n v="9"/>
    <n v="8"/>
  </r>
  <r>
    <n v="40"/>
    <s v="No"/>
    <s v="Travel_Rarely"/>
    <n v="1124"/>
    <s v="Sales"/>
    <n v="1"/>
    <n v="2"/>
    <s v="Medical"/>
    <n v="2"/>
    <s v="Male"/>
    <n v="57"/>
    <n v="1"/>
    <n v="2"/>
    <s v="Sales Executive"/>
    <n v="4"/>
    <s v="Married"/>
    <n v="7457"/>
    <n v="13273"/>
    <n v="2"/>
    <s v="Yes"/>
    <n v="22"/>
    <n v="4"/>
    <n v="3"/>
    <n v="3"/>
    <n v="6"/>
    <n v="2"/>
    <n v="2"/>
    <n v="4"/>
    <n v="3"/>
    <n v="0"/>
    <n v="2"/>
  </r>
  <r>
    <n v="29"/>
    <s v="Yes"/>
    <s v="Travel_Rarely"/>
    <n v="318"/>
    <s v="Research &amp; Development"/>
    <n v="8"/>
    <n v="4"/>
    <s v="Other"/>
    <n v="2"/>
    <s v="Male"/>
    <n v="77"/>
    <n v="1"/>
    <n v="1"/>
    <s v="Laboratory Technician"/>
    <n v="1"/>
    <s v="Married"/>
    <n v="2119"/>
    <n v="4759"/>
    <n v="1"/>
    <s v="Yes"/>
    <n v="11"/>
    <n v="3"/>
    <n v="4"/>
    <n v="0"/>
    <n v="7"/>
    <n v="4"/>
    <n v="2"/>
    <n v="7"/>
    <n v="7"/>
    <n v="0"/>
    <n v="7"/>
  </r>
  <r>
    <n v="29"/>
    <s v="No"/>
    <s v="Travel_Rarely"/>
    <n v="738"/>
    <s v="Research &amp; Development"/>
    <n v="9"/>
    <n v="5"/>
    <s v="Other"/>
    <n v="2"/>
    <s v="Male"/>
    <n v="30"/>
    <n v="2"/>
    <n v="1"/>
    <s v="Laboratory Technician"/>
    <n v="4"/>
    <s v="Single"/>
    <n v="3983"/>
    <n v="7621"/>
    <n v="0"/>
    <s v="No"/>
    <n v="17"/>
    <n v="3"/>
    <n v="3"/>
    <n v="0"/>
    <n v="4"/>
    <n v="2"/>
    <n v="3"/>
    <n v="3"/>
    <n v="2"/>
    <n v="2"/>
    <n v="2"/>
  </r>
  <r>
    <n v="30"/>
    <s v="No"/>
    <s v="Travel_Rarely"/>
    <n v="570"/>
    <s v="Sales"/>
    <n v="5"/>
    <n v="3"/>
    <s v="Marketing"/>
    <n v="4"/>
    <s v="Female"/>
    <n v="30"/>
    <n v="2"/>
    <n v="2"/>
    <s v="Sales Executive"/>
    <n v="3"/>
    <s v="Divorced"/>
    <n v="6118"/>
    <n v="5431"/>
    <n v="1"/>
    <s v="No"/>
    <n v="13"/>
    <n v="3"/>
    <n v="3"/>
    <n v="3"/>
    <n v="10"/>
    <n v="2"/>
    <n v="3"/>
    <n v="10"/>
    <n v="9"/>
    <n v="1"/>
    <n v="2"/>
  </r>
  <r>
    <n v="27"/>
    <s v="No"/>
    <s v="Travel_Rarely"/>
    <n v="1130"/>
    <s v="Sales"/>
    <n v="8"/>
    <n v="4"/>
    <s v="Marketing"/>
    <n v="2"/>
    <s v="Female"/>
    <n v="56"/>
    <n v="3"/>
    <n v="2"/>
    <s v="Sales Executive"/>
    <n v="2"/>
    <s v="Married"/>
    <n v="6214"/>
    <n v="3415"/>
    <n v="1"/>
    <s v="No"/>
    <n v="18"/>
    <n v="3"/>
    <n v="1"/>
    <n v="1"/>
    <n v="8"/>
    <n v="3"/>
    <n v="3"/>
    <n v="8"/>
    <n v="7"/>
    <n v="0"/>
    <n v="7"/>
  </r>
  <r>
    <n v="37"/>
    <s v="No"/>
    <s v="Travel_Rarely"/>
    <n v="1192"/>
    <s v="Research &amp; Development"/>
    <n v="5"/>
    <n v="2"/>
    <s v="Medical"/>
    <n v="4"/>
    <s v="Male"/>
    <n v="61"/>
    <n v="3"/>
    <n v="2"/>
    <s v="Manufacturing Director"/>
    <n v="4"/>
    <s v="Divorced"/>
    <n v="6347"/>
    <n v="23177"/>
    <n v="7"/>
    <s v="No"/>
    <n v="16"/>
    <n v="3"/>
    <n v="3"/>
    <n v="2"/>
    <n v="8"/>
    <n v="2"/>
    <n v="2"/>
    <n v="6"/>
    <n v="2"/>
    <n v="0"/>
    <n v="4"/>
  </r>
  <r>
    <n v="38"/>
    <s v="No"/>
    <s v="Travel_Rarely"/>
    <n v="343"/>
    <s v="Research &amp; Development"/>
    <n v="15"/>
    <n v="2"/>
    <s v="Life Sciences"/>
    <n v="3"/>
    <s v="Male"/>
    <n v="92"/>
    <n v="2"/>
    <n v="3"/>
    <s v="Research Director"/>
    <n v="4"/>
    <s v="Divorced"/>
    <n v="11510"/>
    <n v="15682"/>
    <n v="0"/>
    <s v="Yes"/>
    <n v="14"/>
    <n v="3"/>
    <n v="2"/>
    <n v="1"/>
    <n v="12"/>
    <n v="3"/>
    <n v="3"/>
    <n v="11"/>
    <n v="10"/>
    <n v="2"/>
    <n v="9"/>
  </r>
  <r>
    <n v="31"/>
    <s v="No"/>
    <s v="Travel_Rarely"/>
    <n v="1232"/>
    <s v="Research &amp; Development"/>
    <n v="7"/>
    <n v="4"/>
    <s v="Medical"/>
    <n v="3"/>
    <s v="Female"/>
    <n v="39"/>
    <n v="3"/>
    <n v="3"/>
    <s v="Manufacturing Director"/>
    <n v="4"/>
    <s v="Single"/>
    <n v="7143"/>
    <n v="25713"/>
    <n v="1"/>
    <s v="Yes"/>
    <n v="14"/>
    <n v="3"/>
    <n v="3"/>
    <n v="0"/>
    <n v="11"/>
    <n v="2"/>
    <n v="2"/>
    <n v="11"/>
    <n v="9"/>
    <n v="4"/>
    <n v="10"/>
  </r>
  <r>
    <n v="29"/>
    <s v="No"/>
    <s v="Travel_Rarely"/>
    <n v="144"/>
    <s v="Sales"/>
    <n v="10"/>
    <n v="1"/>
    <s v="Marketing"/>
    <n v="4"/>
    <s v="Female"/>
    <n v="39"/>
    <n v="2"/>
    <n v="2"/>
    <s v="Sales Executive"/>
    <n v="2"/>
    <s v="Divorced"/>
    <n v="8268"/>
    <n v="11866"/>
    <n v="1"/>
    <s v="Yes"/>
    <n v="14"/>
    <n v="3"/>
    <n v="1"/>
    <n v="2"/>
    <n v="7"/>
    <n v="2"/>
    <n v="3"/>
    <n v="7"/>
    <n v="7"/>
    <n v="1"/>
    <n v="7"/>
  </r>
  <r>
    <n v="35"/>
    <s v="No"/>
    <s v="Travel_Rarely"/>
    <n v="1296"/>
    <s v="Research &amp; Development"/>
    <n v="5"/>
    <n v="4"/>
    <s v="Technical Degree"/>
    <n v="3"/>
    <s v="Male"/>
    <n v="62"/>
    <n v="3"/>
    <n v="3"/>
    <s v="Manufacturing Director"/>
    <n v="2"/>
    <s v="Single"/>
    <n v="8095"/>
    <n v="18264"/>
    <n v="0"/>
    <s v="No"/>
    <n v="13"/>
    <n v="3"/>
    <n v="4"/>
    <n v="0"/>
    <n v="17"/>
    <n v="5"/>
    <n v="3"/>
    <n v="16"/>
    <n v="6"/>
    <n v="0"/>
    <n v="13"/>
  </r>
  <r>
    <n v="23"/>
    <s v="No"/>
    <s v="Travel_Rarely"/>
    <n v="1309"/>
    <s v="Research &amp; Development"/>
    <n v="26"/>
    <n v="1"/>
    <s v="Life Sciences"/>
    <n v="3"/>
    <s v="Male"/>
    <n v="83"/>
    <n v="3"/>
    <n v="1"/>
    <s v="Research Scientist"/>
    <n v="4"/>
    <s v="Divorced"/>
    <n v="2904"/>
    <n v="16092"/>
    <n v="1"/>
    <s v="No"/>
    <n v="12"/>
    <n v="3"/>
    <n v="3"/>
    <n v="2"/>
    <n v="4"/>
    <n v="2"/>
    <n v="2"/>
    <n v="4"/>
    <n v="2"/>
    <n v="0"/>
    <n v="2"/>
  </r>
  <r>
    <n v="41"/>
    <s v="No"/>
    <s v="Travel_Rarely"/>
    <n v="483"/>
    <s v="Research &amp; Development"/>
    <n v="6"/>
    <n v="3"/>
    <s v="Medical"/>
    <n v="4"/>
    <s v="Male"/>
    <n v="95"/>
    <n v="2"/>
    <n v="2"/>
    <s v="Manufacturing Director"/>
    <n v="2"/>
    <s v="Single"/>
    <n v="6032"/>
    <n v="10110"/>
    <n v="6"/>
    <s v="Yes"/>
    <n v="15"/>
    <n v="3"/>
    <n v="4"/>
    <n v="0"/>
    <n v="8"/>
    <n v="3"/>
    <n v="3"/>
    <n v="5"/>
    <n v="4"/>
    <n v="1"/>
    <n v="2"/>
  </r>
  <r>
    <n v="47"/>
    <s v="No"/>
    <s v="Travel_Frequently"/>
    <n v="1309"/>
    <s v="Sales"/>
    <n v="4"/>
    <n v="1"/>
    <s v="Medical"/>
    <n v="2"/>
    <s v="Male"/>
    <n v="99"/>
    <n v="3"/>
    <n v="2"/>
    <s v="Sales Representative"/>
    <n v="3"/>
    <s v="Single"/>
    <n v="2976"/>
    <n v="25751"/>
    <n v="3"/>
    <s v="No"/>
    <n v="19"/>
    <n v="3"/>
    <n v="1"/>
    <n v="0"/>
    <n v="5"/>
    <n v="3"/>
    <n v="3"/>
    <n v="0"/>
    <n v="0"/>
    <n v="0"/>
    <n v="0"/>
  </r>
  <r>
    <n v="42"/>
    <s v="No"/>
    <s v="Travel_Rarely"/>
    <n v="810"/>
    <s v="Research &amp; Development"/>
    <n v="23"/>
    <n v="5"/>
    <s v="Life Sciences"/>
    <n v="1"/>
    <s v="Female"/>
    <n v="44"/>
    <n v="3"/>
    <n v="4"/>
    <s v="Research Director"/>
    <n v="4"/>
    <s v="Single"/>
    <n v="15992"/>
    <n v="15901"/>
    <n v="2"/>
    <s v="No"/>
    <n v="14"/>
    <n v="3"/>
    <n v="2"/>
    <n v="0"/>
    <n v="16"/>
    <n v="2"/>
    <n v="3"/>
    <n v="1"/>
    <n v="0"/>
    <n v="0"/>
    <n v="0"/>
  </r>
  <r>
    <n v="29"/>
    <s v="No"/>
    <s v="Non-Travel"/>
    <n v="746"/>
    <s v="Sales"/>
    <n v="2"/>
    <n v="3"/>
    <s v="Life Sciences"/>
    <n v="4"/>
    <s v="Male"/>
    <n v="61"/>
    <n v="3"/>
    <n v="2"/>
    <s v="Sales Executive"/>
    <n v="3"/>
    <s v="Married"/>
    <n v="4649"/>
    <n v="16928"/>
    <n v="1"/>
    <s v="No"/>
    <n v="14"/>
    <n v="3"/>
    <n v="1"/>
    <n v="1"/>
    <n v="4"/>
    <n v="3"/>
    <n v="2"/>
    <n v="4"/>
    <n v="3"/>
    <n v="0"/>
    <n v="2"/>
  </r>
  <r>
    <n v="42"/>
    <s v="No"/>
    <s v="Travel_Rarely"/>
    <n v="544"/>
    <s v="Human Resources"/>
    <n v="2"/>
    <n v="1"/>
    <s v="Technical Degree"/>
    <n v="3"/>
    <s v="Male"/>
    <n v="52"/>
    <n v="3"/>
    <n v="1"/>
    <s v="Human Resources"/>
    <n v="3"/>
    <s v="Divorced"/>
    <n v="2696"/>
    <n v="24017"/>
    <n v="0"/>
    <s v="Yes"/>
    <n v="11"/>
    <n v="3"/>
    <n v="3"/>
    <n v="1"/>
    <n v="4"/>
    <n v="5"/>
    <n v="3"/>
    <n v="3"/>
    <n v="2"/>
    <n v="1"/>
    <n v="0"/>
  </r>
  <r>
    <n v="32"/>
    <s v="No"/>
    <s v="Travel_Rarely"/>
    <n v="1062"/>
    <s v="Research &amp; Development"/>
    <n v="2"/>
    <n v="3"/>
    <s v="Medical"/>
    <n v="3"/>
    <s v="Female"/>
    <n v="75"/>
    <n v="3"/>
    <n v="1"/>
    <s v="Laboratory Technician"/>
    <n v="2"/>
    <s v="Married"/>
    <n v="2370"/>
    <n v="3956"/>
    <n v="1"/>
    <s v="No"/>
    <n v="13"/>
    <n v="3"/>
    <n v="3"/>
    <n v="1"/>
    <n v="8"/>
    <n v="4"/>
    <n v="3"/>
    <n v="8"/>
    <n v="0"/>
    <n v="0"/>
    <n v="7"/>
  </r>
  <r>
    <n v="48"/>
    <s v="No"/>
    <s v="Travel_Rarely"/>
    <n v="530"/>
    <s v="Sales"/>
    <n v="29"/>
    <n v="1"/>
    <s v="Medical"/>
    <n v="1"/>
    <s v="Female"/>
    <n v="91"/>
    <n v="3"/>
    <n v="3"/>
    <s v="Manager"/>
    <n v="3"/>
    <s v="Married"/>
    <n v="12504"/>
    <n v="23978"/>
    <n v="3"/>
    <s v="No"/>
    <n v="21"/>
    <n v="4"/>
    <n v="2"/>
    <n v="1"/>
    <n v="15"/>
    <n v="3"/>
    <n v="1"/>
    <n v="0"/>
    <n v="0"/>
    <n v="0"/>
    <n v="0"/>
  </r>
  <r>
    <n v="37"/>
    <s v="No"/>
    <s v="Travel_Rarely"/>
    <n v="1319"/>
    <s v="Research &amp; Development"/>
    <n v="6"/>
    <n v="3"/>
    <s v="Medical"/>
    <n v="3"/>
    <s v="Male"/>
    <n v="51"/>
    <n v="4"/>
    <n v="2"/>
    <s v="Research Scientist"/>
    <n v="1"/>
    <s v="Divorced"/>
    <n v="5974"/>
    <n v="17001"/>
    <n v="4"/>
    <s v="Yes"/>
    <n v="13"/>
    <n v="3"/>
    <n v="1"/>
    <n v="2"/>
    <n v="13"/>
    <n v="2"/>
    <n v="3"/>
    <n v="7"/>
    <n v="7"/>
    <n v="6"/>
    <n v="7"/>
  </r>
  <r>
    <n v="30"/>
    <s v="No"/>
    <s v="Non-Travel"/>
    <n v="641"/>
    <s v="Sales"/>
    <n v="25"/>
    <n v="2"/>
    <s v="Technical Degree"/>
    <n v="4"/>
    <s v="Female"/>
    <n v="85"/>
    <n v="3"/>
    <n v="2"/>
    <s v="Sales Executive"/>
    <n v="3"/>
    <s v="Married"/>
    <n v="4736"/>
    <n v="6069"/>
    <n v="7"/>
    <s v="Yes"/>
    <n v="12"/>
    <n v="3"/>
    <n v="2"/>
    <n v="1"/>
    <n v="4"/>
    <n v="2"/>
    <n v="4"/>
    <n v="2"/>
    <n v="2"/>
    <n v="2"/>
    <n v="2"/>
  </r>
  <r>
    <n v="26"/>
    <s v="No"/>
    <s v="Travel_Rarely"/>
    <n v="933"/>
    <s v="Sales"/>
    <n v="1"/>
    <n v="3"/>
    <s v="Life Sciences"/>
    <n v="3"/>
    <s v="Male"/>
    <n v="57"/>
    <n v="3"/>
    <n v="2"/>
    <s v="Sales Executive"/>
    <n v="3"/>
    <s v="Married"/>
    <n v="5296"/>
    <n v="20156"/>
    <n v="1"/>
    <s v="No"/>
    <n v="17"/>
    <n v="3"/>
    <n v="2"/>
    <n v="1"/>
    <n v="8"/>
    <n v="3"/>
    <n v="3"/>
    <n v="8"/>
    <n v="7"/>
    <n v="7"/>
    <n v="7"/>
  </r>
  <r>
    <n v="42"/>
    <s v="No"/>
    <s v="Travel_Rarely"/>
    <n v="1332"/>
    <s v="Research &amp; Development"/>
    <n v="2"/>
    <n v="4"/>
    <s v="Other"/>
    <n v="1"/>
    <s v="Male"/>
    <n v="98"/>
    <n v="2"/>
    <n v="2"/>
    <s v="Healthcare Representative"/>
    <n v="4"/>
    <s v="Single"/>
    <n v="6781"/>
    <n v="17078"/>
    <n v="3"/>
    <s v="No"/>
    <n v="23"/>
    <n v="4"/>
    <n v="2"/>
    <n v="0"/>
    <n v="14"/>
    <n v="6"/>
    <n v="3"/>
    <n v="1"/>
    <n v="0"/>
    <n v="0"/>
    <n v="0"/>
  </r>
  <r>
    <n v="21"/>
    <s v="Yes"/>
    <s v="Travel_Frequently"/>
    <n v="756"/>
    <s v="Sales"/>
    <n v="1"/>
    <n v="1"/>
    <s v="Technical Degree"/>
    <n v="1"/>
    <s v="Female"/>
    <n v="99"/>
    <n v="2"/>
    <n v="1"/>
    <s v="Sales Representative"/>
    <n v="2"/>
    <s v="Single"/>
    <n v="2174"/>
    <n v="9150"/>
    <n v="1"/>
    <s v="Yes"/>
    <n v="11"/>
    <n v="3"/>
    <n v="3"/>
    <n v="0"/>
    <n v="3"/>
    <n v="3"/>
    <n v="3"/>
    <n v="3"/>
    <n v="2"/>
    <n v="1"/>
    <n v="2"/>
  </r>
  <r>
    <n v="36"/>
    <s v="No"/>
    <s v="Non-Travel"/>
    <n v="845"/>
    <s v="Sales"/>
    <n v="1"/>
    <n v="5"/>
    <s v="Medical"/>
    <n v="4"/>
    <s v="Female"/>
    <n v="45"/>
    <n v="3"/>
    <n v="2"/>
    <s v="Sales Executive"/>
    <n v="4"/>
    <s v="Single"/>
    <n v="6653"/>
    <n v="15276"/>
    <n v="4"/>
    <s v="No"/>
    <n v="15"/>
    <n v="3"/>
    <n v="2"/>
    <n v="0"/>
    <n v="7"/>
    <n v="6"/>
    <n v="3"/>
    <n v="1"/>
    <n v="0"/>
    <n v="0"/>
    <n v="0"/>
  </r>
  <r>
    <n v="36"/>
    <s v="No"/>
    <s v="Travel_Frequently"/>
    <n v="541"/>
    <s v="Sales"/>
    <n v="3"/>
    <n v="4"/>
    <s v="Medical"/>
    <n v="1"/>
    <s v="Male"/>
    <n v="48"/>
    <n v="2"/>
    <n v="3"/>
    <s v="Sales Executive"/>
    <n v="4"/>
    <s v="Married"/>
    <n v="9699"/>
    <n v="7246"/>
    <n v="4"/>
    <s v="No"/>
    <n v="11"/>
    <n v="3"/>
    <n v="1"/>
    <n v="1"/>
    <n v="16"/>
    <n v="2"/>
    <n v="3"/>
    <n v="13"/>
    <n v="9"/>
    <n v="1"/>
    <n v="12"/>
  </r>
  <r>
    <n v="57"/>
    <s v="No"/>
    <s v="Travel_Rarely"/>
    <n v="593"/>
    <s v="Research &amp; Development"/>
    <n v="1"/>
    <n v="4"/>
    <s v="Medical"/>
    <n v="4"/>
    <s v="Male"/>
    <n v="88"/>
    <n v="3"/>
    <n v="2"/>
    <s v="Healthcare Representative"/>
    <n v="3"/>
    <s v="Married"/>
    <n v="6755"/>
    <n v="2967"/>
    <n v="2"/>
    <s v="No"/>
    <n v="11"/>
    <n v="3"/>
    <n v="3"/>
    <n v="0"/>
    <n v="15"/>
    <n v="2"/>
    <n v="3"/>
    <n v="3"/>
    <n v="2"/>
    <n v="1"/>
    <n v="2"/>
  </r>
  <r>
    <n v="40"/>
    <s v="No"/>
    <s v="Travel_Rarely"/>
    <n v="1171"/>
    <s v="Research &amp; Development"/>
    <n v="10"/>
    <n v="4"/>
    <s v="Life Sciences"/>
    <n v="4"/>
    <s v="Female"/>
    <n v="46"/>
    <n v="4"/>
    <n v="1"/>
    <s v="Laboratory Technician"/>
    <n v="3"/>
    <s v="Married"/>
    <n v="2213"/>
    <n v="22495"/>
    <n v="3"/>
    <s v="Yes"/>
    <n v="13"/>
    <n v="3"/>
    <n v="3"/>
    <n v="1"/>
    <n v="10"/>
    <n v="3"/>
    <n v="3"/>
    <n v="7"/>
    <n v="7"/>
    <n v="1"/>
    <n v="7"/>
  </r>
  <r>
    <n v="21"/>
    <s v="No"/>
    <s v="Non-Travel"/>
    <n v="895"/>
    <s v="Sales"/>
    <n v="9"/>
    <n v="2"/>
    <s v="Medical"/>
    <n v="1"/>
    <s v="Male"/>
    <n v="39"/>
    <n v="3"/>
    <n v="1"/>
    <s v="Sales Representative"/>
    <n v="4"/>
    <s v="Single"/>
    <n v="2610"/>
    <n v="2851"/>
    <n v="1"/>
    <s v="No"/>
    <n v="24"/>
    <n v="4"/>
    <n v="3"/>
    <n v="0"/>
    <n v="3"/>
    <n v="3"/>
    <n v="2"/>
    <n v="3"/>
    <n v="2"/>
    <n v="2"/>
    <n v="2"/>
  </r>
  <r>
    <n v="33"/>
    <s v="Yes"/>
    <s v="Travel_Rarely"/>
    <n v="350"/>
    <s v="Sales"/>
    <n v="5"/>
    <n v="3"/>
    <s v="Marketing"/>
    <n v="4"/>
    <s v="Female"/>
    <n v="34"/>
    <n v="3"/>
    <n v="1"/>
    <s v="Sales Representative"/>
    <n v="3"/>
    <s v="Single"/>
    <n v="2851"/>
    <n v="9150"/>
    <n v="1"/>
    <s v="Yes"/>
    <n v="13"/>
    <n v="3"/>
    <n v="2"/>
    <n v="0"/>
    <n v="1"/>
    <n v="2"/>
    <n v="3"/>
    <n v="1"/>
    <n v="0"/>
    <n v="0"/>
    <n v="0"/>
  </r>
  <r>
    <n v="37"/>
    <s v="No"/>
    <s v="Travel_Rarely"/>
    <n v="921"/>
    <s v="Research &amp; Development"/>
    <n v="10"/>
    <n v="3"/>
    <s v="Medical"/>
    <n v="3"/>
    <s v="Female"/>
    <n v="98"/>
    <n v="3"/>
    <n v="1"/>
    <s v="Laboratory Technician"/>
    <n v="1"/>
    <s v="Married"/>
    <n v="3452"/>
    <n v="17663"/>
    <n v="6"/>
    <s v="No"/>
    <n v="20"/>
    <n v="4"/>
    <n v="2"/>
    <n v="1"/>
    <n v="17"/>
    <n v="3"/>
    <n v="3"/>
    <n v="5"/>
    <n v="4"/>
    <n v="0"/>
    <n v="3"/>
  </r>
  <r>
    <n v="46"/>
    <s v="No"/>
    <s v="Non-Travel"/>
    <n v="1144"/>
    <s v="Research &amp; Development"/>
    <n v="7"/>
    <n v="4"/>
    <s v="Medical"/>
    <n v="3"/>
    <s v="Female"/>
    <n v="30"/>
    <n v="3"/>
    <n v="2"/>
    <s v="Manufacturing Director"/>
    <n v="3"/>
    <s v="Married"/>
    <n v="5258"/>
    <n v="16044"/>
    <n v="2"/>
    <s v="No"/>
    <n v="14"/>
    <n v="3"/>
    <n v="3"/>
    <n v="0"/>
    <n v="7"/>
    <n v="2"/>
    <n v="4"/>
    <n v="1"/>
    <n v="0"/>
    <n v="0"/>
    <n v="0"/>
  </r>
  <r>
    <n v="41"/>
    <s v="Yes"/>
    <s v="Travel_Frequently"/>
    <n v="143"/>
    <s v="Sales"/>
    <n v="4"/>
    <n v="3"/>
    <s v="Marketing"/>
    <n v="1"/>
    <s v="Male"/>
    <n v="56"/>
    <n v="3"/>
    <n v="2"/>
    <s v="Sales Executive"/>
    <n v="2"/>
    <s v="Single"/>
    <n v="9355"/>
    <n v="9558"/>
    <n v="1"/>
    <s v="No"/>
    <n v="18"/>
    <n v="3"/>
    <n v="3"/>
    <n v="0"/>
    <n v="8"/>
    <n v="5"/>
    <n v="3"/>
    <n v="8"/>
    <n v="7"/>
    <n v="7"/>
    <n v="7"/>
  </r>
  <r>
    <n v="50"/>
    <s v="No"/>
    <s v="Travel_Rarely"/>
    <n v="1046"/>
    <s v="Research &amp; Development"/>
    <n v="10"/>
    <n v="3"/>
    <s v="Technical Degree"/>
    <n v="4"/>
    <s v="Male"/>
    <n v="100"/>
    <n v="2"/>
    <n v="3"/>
    <s v="Healthcare Representative"/>
    <n v="4"/>
    <s v="Single"/>
    <n v="10496"/>
    <n v="2755"/>
    <n v="6"/>
    <s v="No"/>
    <n v="15"/>
    <n v="3"/>
    <n v="4"/>
    <n v="0"/>
    <n v="20"/>
    <n v="2"/>
    <n v="3"/>
    <n v="4"/>
    <n v="3"/>
    <n v="1"/>
    <n v="3"/>
  </r>
  <r>
    <n v="40"/>
    <s v="Yes"/>
    <s v="Travel_Rarely"/>
    <n v="575"/>
    <s v="Sales"/>
    <n v="22"/>
    <n v="2"/>
    <s v="Marketing"/>
    <n v="3"/>
    <s v="Male"/>
    <n v="68"/>
    <n v="2"/>
    <n v="2"/>
    <s v="Sales Executive"/>
    <n v="3"/>
    <s v="Married"/>
    <n v="6380"/>
    <n v="6110"/>
    <n v="2"/>
    <s v="Yes"/>
    <n v="12"/>
    <n v="3"/>
    <n v="1"/>
    <n v="2"/>
    <n v="8"/>
    <n v="6"/>
    <n v="3"/>
    <n v="6"/>
    <n v="4"/>
    <n v="1"/>
    <n v="0"/>
  </r>
  <r>
    <n v="31"/>
    <s v="No"/>
    <s v="Travel_Rarely"/>
    <n v="408"/>
    <s v="Research &amp; Development"/>
    <n v="9"/>
    <n v="4"/>
    <s v="Life Sciences"/>
    <n v="3"/>
    <s v="Male"/>
    <n v="42"/>
    <n v="2"/>
    <n v="1"/>
    <s v="Research Scientist"/>
    <n v="2"/>
    <s v="Single"/>
    <n v="2657"/>
    <n v="7551"/>
    <n v="0"/>
    <s v="Yes"/>
    <n v="16"/>
    <n v="3"/>
    <n v="4"/>
    <n v="0"/>
    <n v="3"/>
    <n v="5"/>
    <n v="3"/>
    <n v="2"/>
    <n v="2"/>
    <n v="2"/>
    <n v="2"/>
  </r>
  <r>
    <n v="21"/>
    <s v="Yes"/>
    <s v="Travel_Rarely"/>
    <n v="156"/>
    <s v="Sales"/>
    <n v="12"/>
    <n v="3"/>
    <s v="Life Sciences"/>
    <n v="3"/>
    <s v="Female"/>
    <n v="90"/>
    <n v="4"/>
    <n v="1"/>
    <s v="Sales Representative"/>
    <n v="2"/>
    <s v="Single"/>
    <n v="2716"/>
    <n v="25422"/>
    <n v="1"/>
    <s v="No"/>
    <n v="15"/>
    <n v="3"/>
    <n v="4"/>
    <n v="0"/>
    <n v="1"/>
    <n v="0"/>
    <n v="3"/>
    <n v="1"/>
    <n v="0"/>
    <n v="0"/>
    <n v="0"/>
  </r>
  <r>
    <n v="29"/>
    <s v="No"/>
    <s v="Travel_Rarely"/>
    <n v="1283"/>
    <s v="Research &amp; Development"/>
    <n v="23"/>
    <n v="3"/>
    <s v="Life Sciences"/>
    <n v="4"/>
    <s v="Male"/>
    <n v="54"/>
    <n v="3"/>
    <n v="1"/>
    <s v="Research Scientist"/>
    <n v="4"/>
    <s v="Single"/>
    <n v="2201"/>
    <n v="18168"/>
    <n v="9"/>
    <s v="No"/>
    <n v="16"/>
    <n v="3"/>
    <n v="4"/>
    <n v="0"/>
    <n v="6"/>
    <n v="4"/>
    <n v="3"/>
    <n v="3"/>
    <n v="2"/>
    <n v="1"/>
    <n v="2"/>
  </r>
  <r>
    <n v="35"/>
    <s v="No"/>
    <s v="Travel_Rarely"/>
    <n v="755"/>
    <s v="Research &amp; Development"/>
    <n v="9"/>
    <n v="4"/>
    <s v="Life Sciences"/>
    <n v="3"/>
    <s v="Male"/>
    <n v="97"/>
    <n v="2"/>
    <n v="2"/>
    <s v="Healthcare Representative"/>
    <n v="2"/>
    <s v="Single"/>
    <n v="6540"/>
    <n v="19394"/>
    <n v="9"/>
    <s v="No"/>
    <n v="19"/>
    <n v="3"/>
    <n v="3"/>
    <n v="0"/>
    <n v="10"/>
    <n v="5"/>
    <n v="3"/>
    <n v="1"/>
    <n v="1"/>
    <n v="0"/>
    <n v="0"/>
  </r>
  <r>
    <n v="27"/>
    <s v="No"/>
    <s v="Travel_Rarely"/>
    <n v="1469"/>
    <s v="Research &amp; Development"/>
    <n v="1"/>
    <n v="2"/>
    <s v="Medical"/>
    <n v="4"/>
    <s v="Male"/>
    <n v="82"/>
    <n v="3"/>
    <n v="1"/>
    <s v="Laboratory Technician"/>
    <n v="2"/>
    <s v="Divorced"/>
    <n v="3816"/>
    <n v="17881"/>
    <n v="1"/>
    <s v="No"/>
    <n v="11"/>
    <n v="3"/>
    <n v="2"/>
    <n v="1"/>
    <n v="5"/>
    <n v="2"/>
    <n v="3"/>
    <n v="5"/>
    <n v="2"/>
    <n v="0"/>
    <n v="4"/>
  </r>
  <r>
    <n v="28"/>
    <s v="No"/>
    <s v="Travel_Rarely"/>
    <n v="304"/>
    <s v="Sales"/>
    <n v="9"/>
    <n v="4"/>
    <s v="Life Sciences"/>
    <n v="2"/>
    <s v="Male"/>
    <n v="92"/>
    <n v="3"/>
    <n v="2"/>
    <s v="Sales Executive"/>
    <n v="4"/>
    <s v="Single"/>
    <n v="5253"/>
    <n v="20750"/>
    <n v="1"/>
    <s v="No"/>
    <n v="16"/>
    <n v="3"/>
    <n v="4"/>
    <n v="0"/>
    <n v="7"/>
    <n v="1"/>
    <n v="3"/>
    <n v="7"/>
    <n v="5"/>
    <n v="0"/>
    <n v="7"/>
  </r>
  <r>
    <n v="49"/>
    <s v="No"/>
    <s v="Travel_Rarely"/>
    <n v="1261"/>
    <s v="Research &amp; Development"/>
    <n v="7"/>
    <n v="3"/>
    <s v="Other"/>
    <n v="2"/>
    <s v="Male"/>
    <n v="31"/>
    <n v="2"/>
    <n v="3"/>
    <s v="Healthcare Representative"/>
    <n v="3"/>
    <s v="Single"/>
    <n v="10965"/>
    <n v="12066"/>
    <n v="8"/>
    <s v="No"/>
    <n v="24"/>
    <n v="4"/>
    <n v="3"/>
    <n v="0"/>
    <n v="26"/>
    <n v="2"/>
    <n v="3"/>
    <n v="5"/>
    <n v="2"/>
    <n v="0"/>
    <n v="0"/>
  </r>
  <r>
    <n v="51"/>
    <s v="No"/>
    <s v="Travel_Rarely"/>
    <n v="1178"/>
    <s v="Sales"/>
    <n v="14"/>
    <n v="2"/>
    <s v="Life Sciences"/>
    <n v="3"/>
    <s v="Female"/>
    <n v="87"/>
    <n v="3"/>
    <n v="2"/>
    <s v="Sales Executive"/>
    <n v="4"/>
    <s v="Married"/>
    <n v="4936"/>
    <n v="14862"/>
    <n v="4"/>
    <s v="No"/>
    <n v="11"/>
    <n v="3"/>
    <n v="3"/>
    <n v="1"/>
    <n v="18"/>
    <n v="2"/>
    <n v="2"/>
    <n v="7"/>
    <n v="7"/>
    <n v="0"/>
    <n v="7"/>
  </r>
  <r>
    <n v="36"/>
    <s v="No"/>
    <s v="Travel_Rarely"/>
    <n v="329"/>
    <s v="Research &amp; Development"/>
    <n v="2"/>
    <n v="3"/>
    <s v="Life Sciences"/>
    <n v="4"/>
    <s v="Female"/>
    <n v="96"/>
    <n v="3"/>
    <n v="1"/>
    <s v="Research Scientist"/>
    <n v="3"/>
    <s v="Married"/>
    <n v="2543"/>
    <n v="11868"/>
    <n v="4"/>
    <s v="No"/>
    <n v="13"/>
    <n v="3"/>
    <n v="2"/>
    <n v="1"/>
    <n v="6"/>
    <n v="3"/>
    <n v="3"/>
    <n v="2"/>
    <n v="2"/>
    <n v="2"/>
    <n v="2"/>
  </r>
  <r>
    <n v="34"/>
    <s v="Yes"/>
    <s v="Non-Travel"/>
    <n v="1362"/>
    <s v="Sales"/>
    <n v="19"/>
    <n v="3"/>
    <s v="Marketing"/>
    <n v="1"/>
    <s v="Male"/>
    <n v="67"/>
    <n v="4"/>
    <n v="2"/>
    <s v="Sales Executive"/>
    <n v="4"/>
    <s v="Single"/>
    <n v="5304"/>
    <n v="4652"/>
    <n v="8"/>
    <s v="Yes"/>
    <n v="13"/>
    <n v="3"/>
    <n v="2"/>
    <n v="0"/>
    <n v="9"/>
    <n v="3"/>
    <n v="2"/>
    <n v="5"/>
    <n v="2"/>
    <n v="0"/>
    <n v="4"/>
  </r>
  <r>
    <n v="55"/>
    <s v="No"/>
    <s v="Travel_Rarely"/>
    <n v="1311"/>
    <s v="Research &amp; Development"/>
    <n v="2"/>
    <n v="3"/>
    <s v="Life Sciences"/>
    <n v="3"/>
    <s v="Female"/>
    <n v="97"/>
    <n v="3"/>
    <n v="4"/>
    <s v="Manager"/>
    <n v="4"/>
    <s v="Single"/>
    <n v="16659"/>
    <n v="23258"/>
    <n v="2"/>
    <s v="Yes"/>
    <n v="13"/>
    <n v="3"/>
    <n v="3"/>
    <n v="0"/>
    <n v="30"/>
    <n v="2"/>
    <n v="3"/>
    <n v="5"/>
    <n v="4"/>
    <n v="1"/>
    <n v="2"/>
  </r>
  <r>
    <n v="24"/>
    <s v="No"/>
    <s v="Travel_Rarely"/>
    <n v="1371"/>
    <s v="Sales"/>
    <n v="10"/>
    <n v="4"/>
    <s v="Marketing"/>
    <n v="4"/>
    <s v="Female"/>
    <n v="77"/>
    <n v="3"/>
    <n v="2"/>
    <s v="Sales Executive"/>
    <n v="3"/>
    <s v="Divorced"/>
    <n v="4260"/>
    <n v="5915"/>
    <n v="1"/>
    <s v="Yes"/>
    <n v="12"/>
    <n v="3"/>
    <n v="4"/>
    <n v="1"/>
    <n v="5"/>
    <n v="2"/>
    <n v="4"/>
    <n v="5"/>
    <n v="2"/>
    <n v="0"/>
    <n v="3"/>
  </r>
  <r>
    <n v="30"/>
    <s v="No"/>
    <s v="Travel_Rarely"/>
    <n v="202"/>
    <s v="Sales"/>
    <n v="2"/>
    <n v="1"/>
    <s v="Technical Degree"/>
    <n v="3"/>
    <s v="Male"/>
    <n v="72"/>
    <n v="3"/>
    <n v="1"/>
    <s v="Sales Representative"/>
    <n v="2"/>
    <s v="Married"/>
    <n v="2476"/>
    <n v="17434"/>
    <n v="1"/>
    <s v="No"/>
    <n v="18"/>
    <n v="3"/>
    <n v="1"/>
    <n v="1"/>
    <n v="1"/>
    <n v="3"/>
    <n v="3"/>
    <n v="1"/>
    <n v="0"/>
    <n v="0"/>
    <n v="0"/>
  </r>
  <r>
    <n v="26"/>
    <s v="Yes"/>
    <s v="Travel_Frequently"/>
    <n v="575"/>
    <s v="Research &amp; Development"/>
    <n v="3"/>
    <n v="1"/>
    <s v="Technical Degree"/>
    <n v="3"/>
    <s v="Male"/>
    <n v="73"/>
    <n v="3"/>
    <n v="1"/>
    <s v="Research Scientist"/>
    <n v="1"/>
    <s v="Single"/>
    <n v="3102"/>
    <n v="6582"/>
    <n v="0"/>
    <s v="No"/>
    <n v="22"/>
    <n v="4"/>
    <n v="3"/>
    <n v="0"/>
    <n v="7"/>
    <n v="2"/>
    <n v="3"/>
    <n v="6"/>
    <n v="4"/>
    <n v="0"/>
    <n v="4"/>
  </r>
  <r>
    <n v="22"/>
    <s v="No"/>
    <s v="Travel_Rarely"/>
    <n v="253"/>
    <s v="Research &amp; Development"/>
    <n v="11"/>
    <n v="3"/>
    <s v="Medical"/>
    <n v="1"/>
    <s v="Female"/>
    <n v="43"/>
    <n v="3"/>
    <n v="1"/>
    <s v="Research Scientist"/>
    <n v="2"/>
    <s v="Married"/>
    <n v="2244"/>
    <n v="24440"/>
    <n v="1"/>
    <s v="No"/>
    <n v="13"/>
    <n v="3"/>
    <n v="4"/>
    <n v="1"/>
    <n v="2"/>
    <n v="1"/>
    <n v="3"/>
    <n v="2"/>
    <n v="1"/>
    <n v="1"/>
    <n v="2"/>
  </r>
  <r>
    <n v="36"/>
    <s v="No"/>
    <s v="Travel_Rarely"/>
    <n v="164"/>
    <s v="Sales"/>
    <n v="2"/>
    <n v="2"/>
    <s v="Medical"/>
    <n v="2"/>
    <s v="Male"/>
    <n v="61"/>
    <n v="2"/>
    <n v="3"/>
    <s v="Sales Executive"/>
    <n v="3"/>
    <s v="Married"/>
    <n v="7596"/>
    <n v="3809"/>
    <n v="1"/>
    <s v="No"/>
    <n v="13"/>
    <n v="3"/>
    <n v="2"/>
    <n v="2"/>
    <n v="10"/>
    <n v="2"/>
    <n v="3"/>
    <n v="10"/>
    <n v="9"/>
    <n v="9"/>
    <n v="0"/>
  </r>
  <r>
    <n v="30"/>
    <s v="Yes"/>
    <s v="Travel_Frequently"/>
    <n v="464"/>
    <s v="Research &amp; Development"/>
    <n v="4"/>
    <n v="3"/>
    <s v="Technical Degree"/>
    <n v="3"/>
    <s v="Male"/>
    <n v="40"/>
    <n v="3"/>
    <n v="1"/>
    <s v="Research Scientist"/>
    <n v="4"/>
    <s v="Single"/>
    <n v="2285"/>
    <n v="3427"/>
    <n v="9"/>
    <s v="Yes"/>
    <n v="23"/>
    <n v="4"/>
    <n v="3"/>
    <n v="0"/>
    <n v="3"/>
    <n v="4"/>
    <n v="3"/>
    <n v="1"/>
    <n v="0"/>
    <n v="0"/>
    <n v="0"/>
  </r>
  <r>
    <n v="37"/>
    <s v="No"/>
    <s v="Travel_Rarely"/>
    <n v="1107"/>
    <s v="Research &amp; Development"/>
    <n v="14"/>
    <n v="3"/>
    <s v="Life Sciences"/>
    <n v="4"/>
    <s v="Female"/>
    <n v="95"/>
    <n v="3"/>
    <n v="1"/>
    <s v="Laboratory Technician"/>
    <n v="1"/>
    <s v="Divorced"/>
    <n v="3034"/>
    <n v="26914"/>
    <n v="1"/>
    <s v="No"/>
    <n v="12"/>
    <n v="3"/>
    <n v="3"/>
    <n v="1"/>
    <n v="18"/>
    <n v="2"/>
    <n v="2"/>
    <n v="18"/>
    <n v="7"/>
    <n v="12"/>
    <n v="17"/>
  </r>
  <r>
    <n v="40"/>
    <s v="No"/>
    <s v="Travel_Rarely"/>
    <n v="759"/>
    <s v="Sales"/>
    <n v="2"/>
    <n v="2"/>
    <s v="Marketing"/>
    <n v="4"/>
    <s v="Female"/>
    <n v="46"/>
    <n v="3"/>
    <n v="2"/>
    <s v="Sales Executive"/>
    <n v="2"/>
    <s v="Divorced"/>
    <n v="5715"/>
    <n v="22553"/>
    <n v="7"/>
    <s v="No"/>
    <n v="12"/>
    <n v="3"/>
    <n v="3"/>
    <n v="2"/>
    <n v="8"/>
    <n v="5"/>
    <n v="3"/>
    <n v="5"/>
    <n v="4"/>
    <n v="1"/>
    <n v="3"/>
  </r>
  <r>
    <n v="42"/>
    <s v="No"/>
    <s v="Travel_Rarely"/>
    <n v="201"/>
    <s v="Research &amp; Development"/>
    <n v="1"/>
    <n v="4"/>
    <s v="Life Sciences"/>
    <n v="2"/>
    <s v="Female"/>
    <n v="95"/>
    <n v="3"/>
    <n v="1"/>
    <s v="Laboratory Technician"/>
    <n v="1"/>
    <s v="Divorced"/>
    <n v="2576"/>
    <n v="20490"/>
    <n v="3"/>
    <s v="No"/>
    <n v="16"/>
    <n v="3"/>
    <n v="2"/>
    <n v="1"/>
    <n v="8"/>
    <n v="5"/>
    <n v="3"/>
    <n v="5"/>
    <n v="2"/>
    <n v="1"/>
    <n v="2"/>
  </r>
  <r>
    <n v="37"/>
    <s v="No"/>
    <s v="Travel_Rarely"/>
    <n v="1305"/>
    <s v="Research &amp; Development"/>
    <n v="10"/>
    <n v="4"/>
    <s v="Life Sciences"/>
    <n v="3"/>
    <s v="Male"/>
    <n v="49"/>
    <n v="3"/>
    <n v="2"/>
    <s v="Manufacturing Director"/>
    <n v="2"/>
    <s v="Single"/>
    <n v="4197"/>
    <n v="21123"/>
    <n v="2"/>
    <s v="Yes"/>
    <n v="12"/>
    <n v="3"/>
    <n v="4"/>
    <n v="0"/>
    <n v="18"/>
    <n v="2"/>
    <n v="2"/>
    <n v="1"/>
    <n v="0"/>
    <n v="0"/>
    <n v="1"/>
  </r>
  <r>
    <n v="43"/>
    <s v="No"/>
    <s v="Travel_Rarely"/>
    <n v="982"/>
    <s v="Research &amp; Development"/>
    <n v="12"/>
    <n v="3"/>
    <s v="Life Sciences"/>
    <n v="1"/>
    <s v="Male"/>
    <n v="59"/>
    <n v="2"/>
    <n v="4"/>
    <s v="Research Director"/>
    <n v="2"/>
    <s v="Divorced"/>
    <n v="14336"/>
    <n v="4345"/>
    <n v="1"/>
    <s v="No"/>
    <n v="11"/>
    <n v="3"/>
    <n v="3"/>
    <n v="1"/>
    <n v="25"/>
    <n v="3"/>
    <n v="3"/>
    <n v="25"/>
    <n v="10"/>
    <n v="3"/>
    <n v="9"/>
  </r>
  <r>
    <n v="40"/>
    <s v="No"/>
    <s v="Travel_Rarely"/>
    <n v="555"/>
    <s v="Research &amp; Development"/>
    <n v="2"/>
    <n v="3"/>
    <s v="Medical"/>
    <n v="2"/>
    <s v="Female"/>
    <n v="78"/>
    <n v="2"/>
    <n v="2"/>
    <s v="Laboratory Technician"/>
    <n v="3"/>
    <s v="Married"/>
    <n v="3448"/>
    <n v="13436"/>
    <n v="6"/>
    <s v="No"/>
    <n v="22"/>
    <n v="4"/>
    <n v="2"/>
    <n v="1"/>
    <n v="20"/>
    <n v="3"/>
    <n v="3"/>
    <n v="1"/>
    <n v="0"/>
    <n v="0"/>
    <n v="0"/>
  </r>
  <r>
    <n v="54"/>
    <s v="No"/>
    <s v="Travel_Rarely"/>
    <n v="821"/>
    <s v="Research &amp; Development"/>
    <n v="5"/>
    <n v="2"/>
    <s v="Medical"/>
    <n v="1"/>
    <s v="Male"/>
    <n v="86"/>
    <n v="3"/>
    <n v="5"/>
    <s v="Research Director"/>
    <n v="1"/>
    <s v="Married"/>
    <n v="19406"/>
    <n v="8509"/>
    <n v="4"/>
    <s v="No"/>
    <n v="11"/>
    <n v="3"/>
    <n v="3"/>
    <n v="1"/>
    <n v="24"/>
    <n v="4"/>
    <n v="2"/>
    <n v="4"/>
    <n v="2"/>
    <n v="1"/>
    <n v="2"/>
  </r>
  <r>
    <n v="34"/>
    <s v="No"/>
    <s v="Non-Travel"/>
    <n v="1381"/>
    <s v="Sales"/>
    <n v="4"/>
    <n v="4"/>
    <s v="Marketing"/>
    <n v="3"/>
    <s v="Female"/>
    <n v="72"/>
    <n v="3"/>
    <n v="2"/>
    <s v="Sales Executive"/>
    <n v="3"/>
    <s v="Married"/>
    <n v="6538"/>
    <n v="12740"/>
    <n v="9"/>
    <s v="No"/>
    <n v="15"/>
    <n v="3"/>
    <n v="1"/>
    <n v="1"/>
    <n v="6"/>
    <n v="3"/>
    <n v="3"/>
    <n v="3"/>
    <n v="2"/>
    <n v="1"/>
    <n v="2"/>
  </r>
  <r>
    <n v="31"/>
    <s v="No"/>
    <s v="Travel_Rarely"/>
    <n v="480"/>
    <s v="Research &amp; Development"/>
    <n v="7"/>
    <n v="2"/>
    <s v="Medical"/>
    <n v="2"/>
    <s v="Female"/>
    <n v="31"/>
    <n v="3"/>
    <n v="2"/>
    <s v="Manufacturing Director"/>
    <n v="1"/>
    <s v="Married"/>
    <n v="4306"/>
    <n v="4156"/>
    <n v="1"/>
    <s v="No"/>
    <n v="12"/>
    <n v="3"/>
    <n v="2"/>
    <n v="1"/>
    <n v="13"/>
    <n v="5"/>
    <n v="1"/>
    <n v="13"/>
    <n v="10"/>
    <n v="3"/>
    <n v="12"/>
  </r>
  <r>
    <n v="43"/>
    <s v="No"/>
    <s v="Travel_Frequently"/>
    <n v="313"/>
    <s v="Research &amp; Development"/>
    <n v="21"/>
    <n v="3"/>
    <s v="Medical"/>
    <n v="4"/>
    <s v="Male"/>
    <n v="61"/>
    <n v="3"/>
    <n v="1"/>
    <s v="Laboratory Technician"/>
    <n v="4"/>
    <s v="Married"/>
    <n v="2258"/>
    <n v="15238"/>
    <n v="7"/>
    <s v="No"/>
    <n v="20"/>
    <n v="4"/>
    <n v="1"/>
    <n v="1"/>
    <n v="8"/>
    <n v="1"/>
    <n v="3"/>
    <n v="3"/>
    <n v="2"/>
    <n v="1"/>
    <n v="2"/>
  </r>
  <r>
    <n v="43"/>
    <s v="No"/>
    <s v="Travel_Rarely"/>
    <n v="1473"/>
    <s v="Research &amp; Development"/>
    <n v="8"/>
    <n v="4"/>
    <s v="Other"/>
    <n v="3"/>
    <s v="Female"/>
    <n v="74"/>
    <n v="3"/>
    <n v="2"/>
    <s v="Healthcare Representative"/>
    <n v="3"/>
    <s v="Divorced"/>
    <n v="4522"/>
    <n v="2227"/>
    <n v="4"/>
    <s v="Yes"/>
    <n v="14"/>
    <n v="3"/>
    <n v="4"/>
    <n v="0"/>
    <n v="8"/>
    <n v="3"/>
    <n v="3"/>
    <n v="5"/>
    <n v="2"/>
    <n v="0"/>
    <n v="2"/>
  </r>
  <r>
    <n v="25"/>
    <s v="No"/>
    <s v="Travel_Rarely"/>
    <n v="891"/>
    <s v="Sales"/>
    <n v="4"/>
    <n v="2"/>
    <s v="Life Sciences"/>
    <n v="2"/>
    <s v="Female"/>
    <n v="99"/>
    <n v="2"/>
    <n v="2"/>
    <s v="Sales Executive"/>
    <n v="4"/>
    <s v="Single"/>
    <n v="4487"/>
    <n v="12090"/>
    <n v="1"/>
    <s v="Yes"/>
    <n v="11"/>
    <n v="3"/>
    <n v="2"/>
    <n v="0"/>
    <n v="5"/>
    <n v="3"/>
    <n v="3"/>
    <n v="5"/>
    <n v="4"/>
    <n v="1"/>
    <n v="3"/>
  </r>
  <r>
    <n v="37"/>
    <s v="No"/>
    <s v="Non-Travel"/>
    <n v="1063"/>
    <s v="Research &amp; Development"/>
    <n v="25"/>
    <n v="5"/>
    <s v="Medical"/>
    <n v="2"/>
    <s v="Female"/>
    <n v="72"/>
    <n v="3"/>
    <n v="2"/>
    <s v="Research Scientist"/>
    <n v="3"/>
    <s v="Married"/>
    <n v="4449"/>
    <n v="23866"/>
    <n v="3"/>
    <s v="Yes"/>
    <n v="15"/>
    <n v="3"/>
    <n v="1"/>
    <n v="2"/>
    <n v="15"/>
    <n v="2"/>
    <n v="3"/>
    <n v="13"/>
    <n v="11"/>
    <n v="10"/>
    <n v="7"/>
  </r>
  <r>
    <n v="31"/>
    <s v="No"/>
    <s v="Travel_Rarely"/>
    <n v="329"/>
    <s v="Research &amp; Development"/>
    <n v="1"/>
    <n v="2"/>
    <s v="Life Sciences"/>
    <n v="4"/>
    <s v="Male"/>
    <n v="98"/>
    <n v="2"/>
    <n v="1"/>
    <s v="Laboratory Technician"/>
    <n v="1"/>
    <s v="Married"/>
    <n v="2218"/>
    <n v="16193"/>
    <n v="1"/>
    <s v="No"/>
    <n v="12"/>
    <n v="3"/>
    <n v="3"/>
    <n v="1"/>
    <n v="4"/>
    <n v="3"/>
    <n v="3"/>
    <n v="4"/>
    <n v="2"/>
    <n v="3"/>
    <n v="2"/>
  </r>
  <r>
    <n v="39"/>
    <s v="No"/>
    <s v="Travel_Frequently"/>
    <n v="1218"/>
    <s v="Research &amp; Development"/>
    <n v="1"/>
    <n v="1"/>
    <s v="Life Sciences"/>
    <n v="2"/>
    <s v="Male"/>
    <n v="52"/>
    <n v="3"/>
    <n v="5"/>
    <s v="Manager"/>
    <n v="3"/>
    <s v="Divorced"/>
    <n v="19197"/>
    <n v="8213"/>
    <n v="1"/>
    <s v="Yes"/>
    <n v="14"/>
    <n v="3"/>
    <n v="3"/>
    <n v="1"/>
    <n v="21"/>
    <n v="3"/>
    <n v="3"/>
    <n v="21"/>
    <n v="8"/>
    <n v="1"/>
    <n v="6"/>
  </r>
  <r>
    <n v="56"/>
    <s v="No"/>
    <s v="Travel_Frequently"/>
    <n v="906"/>
    <s v="Sales"/>
    <n v="6"/>
    <n v="3"/>
    <s v="Life Sciences"/>
    <n v="3"/>
    <s v="Female"/>
    <n v="86"/>
    <n v="4"/>
    <n v="4"/>
    <s v="Sales Executive"/>
    <n v="1"/>
    <s v="Married"/>
    <n v="13212"/>
    <n v="18256"/>
    <n v="9"/>
    <s v="No"/>
    <n v="11"/>
    <n v="3"/>
    <n v="4"/>
    <n v="3"/>
    <n v="36"/>
    <n v="0"/>
    <n v="2"/>
    <n v="7"/>
    <n v="7"/>
    <n v="7"/>
    <n v="7"/>
  </r>
  <r>
    <n v="30"/>
    <s v="No"/>
    <s v="Travel_Rarely"/>
    <n v="1082"/>
    <s v="Sales"/>
    <n v="12"/>
    <n v="3"/>
    <s v="Technical Degree"/>
    <n v="2"/>
    <s v="Female"/>
    <n v="83"/>
    <n v="3"/>
    <n v="2"/>
    <s v="Sales Executive"/>
    <n v="3"/>
    <s v="Single"/>
    <n v="6577"/>
    <n v="19558"/>
    <n v="0"/>
    <s v="No"/>
    <n v="11"/>
    <n v="3"/>
    <n v="2"/>
    <n v="0"/>
    <n v="6"/>
    <n v="6"/>
    <n v="3"/>
    <n v="5"/>
    <n v="4"/>
    <n v="4"/>
    <n v="4"/>
  </r>
  <r>
    <n v="41"/>
    <s v="No"/>
    <s v="Travel_Rarely"/>
    <n v="645"/>
    <s v="Sales"/>
    <n v="1"/>
    <n v="3"/>
    <s v="Marketing"/>
    <n v="2"/>
    <s v="Male"/>
    <n v="49"/>
    <n v="4"/>
    <n v="3"/>
    <s v="Sales Executive"/>
    <n v="1"/>
    <s v="Married"/>
    <n v="8392"/>
    <n v="19566"/>
    <n v="1"/>
    <s v="No"/>
    <n v="16"/>
    <n v="3"/>
    <n v="3"/>
    <n v="1"/>
    <n v="10"/>
    <n v="2"/>
    <n v="3"/>
    <n v="10"/>
    <n v="7"/>
    <n v="0"/>
    <n v="7"/>
  </r>
  <r>
    <n v="28"/>
    <s v="No"/>
    <s v="Travel_Rarely"/>
    <n v="1300"/>
    <s v="Research &amp; Development"/>
    <n v="17"/>
    <n v="2"/>
    <s v="Medical"/>
    <n v="3"/>
    <s v="Male"/>
    <n v="79"/>
    <n v="3"/>
    <n v="2"/>
    <s v="Laboratory Technician"/>
    <n v="1"/>
    <s v="Divorced"/>
    <n v="4558"/>
    <n v="13535"/>
    <n v="1"/>
    <s v="No"/>
    <n v="12"/>
    <n v="3"/>
    <n v="4"/>
    <n v="1"/>
    <n v="10"/>
    <n v="2"/>
    <n v="3"/>
    <n v="10"/>
    <n v="0"/>
    <n v="1"/>
    <n v="8"/>
  </r>
  <r>
    <n v="25"/>
    <s v="Yes"/>
    <s v="Travel_Rarely"/>
    <n v="688"/>
    <s v="Research &amp; Development"/>
    <n v="3"/>
    <n v="3"/>
    <s v="Medical"/>
    <n v="1"/>
    <s v="Male"/>
    <n v="91"/>
    <n v="3"/>
    <n v="1"/>
    <s v="Laboratory Technician"/>
    <n v="1"/>
    <s v="Married"/>
    <n v="4031"/>
    <n v="9396"/>
    <n v="5"/>
    <s v="No"/>
    <n v="13"/>
    <n v="3"/>
    <n v="3"/>
    <n v="1"/>
    <n v="6"/>
    <n v="5"/>
    <n v="3"/>
    <n v="2"/>
    <n v="2"/>
    <n v="0"/>
    <n v="2"/>
  </r>
  <r>
    <n v="52"/>
    <s v="No"/>
    <s v="Travel_Rarely"/>
    <n v="319"/>
    <s v="Research &amp; Development"/>
    <n v="3"/>
    <n v="3"/>
    <s v="Medical"/>
    <n v="4"/>
    <s v="Male"/>
    <n v="39"/>
    <n v="2"/>
    <n v="3"/>
    <s v="Manufacturing Director"/>
    <n v="3"/>
    <s v="Married"/>
    <n v="7969"/>
    <n v="19609"/>
    <n v="2"/>
    <s v="Yes"/>
    <n v="14"/>
    <n v="3"/>
    <n v="3"/>
    <n v="0"/>
    <n v="28"/>
    <n v="4"/>
    <n v="3"/>
    <n v="5"/>
    <n v="4"/>
    <n v="0"/>
    <n v="4"/>
  </r>
  <r>
    <n v="45"/>
    <s v="No"/>
    <s v="Travel_Rarely"/>
    <n v="192"/>
    <s v="Research &amp; Development"/>
    <n v="10"/>
    <n v="2"/>
    <s v="Life Sciences"/>
    <n v="1"/>
    <s v="Male"/>
    <n v="69"/>
    <n v="3"/>
    <n v="1"/>
    <s v="Research Scientist"/>
    <n v="4"/>
    <s v="Married"/>
    <n v="2654"/>
    <n v="9655"/>
    <n v="3"/>
    <s v="No"/>
    <n v="21"/>
    <n v="4"/>
    <n v="4"/>
    <n v="2"/>
    <n v="8"/>
    <n v="3"/>
    <n v="2"/>
    <n v="2"/>
    <n v="2"/>
    <n v="0"/>
    <n v="2"/>
  </r>
  <r>
    <n v="52"/>
    <s v="No"/>
    <s v="Travel_Rarely"/>
    <n v="1490"/>
    <s v="Research &amp; Development"/>
    <n v="4"/>
    <n v="2"/>
    <s v="Life Sciences"/>
    <n v="4"/>
    <s v="Female"/>
    <n v="30"/>
    <n v="3"/>
    <n v="4"/>
    <s v="Manager"/>
    <n v="4"/>
    <s v="Married"/>
    <n v="16555"/>
    <n v="10310"/>
    <n v="2"/>
    <s v="No"/>
    <n v="13"/>
    <n v="3"/>
    <n v="4"/>
    <n v="0"/>
    <n v="31"/>
    <n v="2"/>
    <n v="1"/>
    <n v="5"/>
    <n v="2"/>
    <n v="1"/>
    <n v="4"/>
  </r>
  <r>
    <n v="42"/>
    <s v="No"/>
    <s v="Travel_Frequently"/>
    <n v="532"/>
    <s v="Research &amp; Development"/>
    <n v="29"/>
    <n v="2"/>
    <s v="Life Sciences"/>
    <n v="1"/>
    <s v="Female"/>
    <n v="92"/>
    <n v="3"/>
    <n v="2"/>
    <s v="Research Scientist"/>
    <n v="3"/>
    <s v="Divorced"/>
    <n v="4556"/>
    <n v="12932"/>
    <n v="2"/>
    <s v="No"/>
    <n v="11"/>
    <n v="3"/>
    <n v="2"/>
    <n v="1"/>
    <n v="19"/>
    <n v="3"/>
    <n v="3"/>
    <n v="5"/>
    <n v="4"/>
    <n v="0"/>
    <n v="2"/>
  </r>
  <r>
    <n v="30"/>
    <s v="No"/>
    <s v="Travel_Rarely"/>
    <n v="317"/>
    <s v="Research &amp; Development"/>
    <n v="2"/>
    <n v="3"/>
    <s v="Life Sciences"/>
    <n v="3"/>
    <s v="Female"/>
    <n v="43"/>
    <n v="1"/>
    <n v="2"/>
    <s v="Manufacturing Director"/>
    <n v="4"/>
    <s v="Single"/>
    <n v="6091"/>
    <n v="24793"/>
    <n v="2"/>
    <s v="No"/>
    <n v="20"/>
    <n v="4"/>
    <n v="3"/>
    <n v="0"/>
    <n v="11"/>
    <n v="2"/>
    <n v="3"/>
    <n v="5"/>
    <n v="4"/>
    <n v="0"/>
    <n v="2"/>
  </r>
  <r>
    <n v="60"/>
    <s v="No"/>
    <s v="Travel_Rarely"/>
    <n v="422"/>
    <s v="Research &amp; Development"/>
    <n v="7"/>
    <n v="3"/>
    <s v="Life Sciences"/>
    <n v="1"/>
    <s v="Female"/>
    <n v="41"/>
    <n v="3"/>
    <n v="5"/>
    <s v="Manager"/>
    <n v="1"/>
    <s v="Married"/>
    <n v="19566"/>
    <n v="3854"/>
    <n v="5"/>
    <s v="No"/>
    <n v="11"/>
    <n v="3"/>
    <n v="4"/>
    <n v="0"/>
    <n v="33"/>
    <n v="5"/>
    <n v="1"/>
    <n v="29"/>
    <n v="8"/>
    <n v="11"/>
    <n v="10"/>
  </r>
  <r>
    <n v="46"/>
    <s v="No"/>
    <s v="Travel_Rarely"/>
    <n v="1485"/>
    <s v="Research &amp; Development"/>
    <n v="18"/>
    <n v="3"/>
    <s v="Medical"/>
    <n v="3"/>
    <s v="Female"/>
    <n v="87"/>
    <n v="3"/>
    <n v="2"/>
    <s v="Manufacturing Director"/>
    <n v="3"/>
    <s v="Divorced"/>
    <n v="4810"/>
    <n v="26314"/>
    <n v="2"/>
    <s v="No"/>
    <n v="14"/>
    <n v="3"/>
    <n v="3"/>
    <n v="1"/>
    <n v="19"/>
    <n v="5"/>
    <n v="2"/>
    <n v="10"/>
    <n v="7"/>
    <n v="0"/>
    <n v="8"/>
  </r>
  <r>
    <n v="42"/>
    <s v="No"/>
    <s v="Travel_Frequently"/>
    <n v="1368"/>
    <s v="Research &amp; Development"/>
    <n v="28"/>
    <n v="4"/>
    <s v="Technical Degree"/>
    <n v="4"/>
    <s v="Female"/>
    <n v="88"/>
    <n v="2"/>
    <n v="2"/>
    <s v="Healthcare Representative"/>
    <n v="4"/>
    <s v="Married"/>
    <n v="4523"/>
    <n v="4386"/>
    <n v="0"/>
    <s v="No"/>
    <n v="11"/>
    <n v="3"/>
    <n v="4"/>
    <n v="3"/>
    <n v="7"/>
    <n v="4"/>
    <n v="4"/>
    <n v="6"/>
    <n v="5"/>
    <n v="0"/>
    <n v="4"/>
  </r>
  <r>
    <n v="24"/>
    <s v="Yes"/>
    <s v="Travel_Rarely"/>
    <n v="1448"/>
    <s v="Sales"/>
    <n v="1"/>
    <n v="1"/>
    <s v="Technical Degree"/>
    <n v="1"/>
    <s v="Female"/>
    <n v="62"/>
    <n v="3"/>
    <n v="1"/>
    <s v="Sales Representative"/>
    <n v="2"/>
    <s v="Single"/>
    <n v="3202"/>
    <n v="21972"/>
    <n v="1"/>
    <s v="Yes"/>
    <n v="16"/>
    <n v="3"/>
    <n v="2"/>
    <n v="0"/>
    <n v="6"/>
    <n v="4"/>
    <n v="3"/>
    <n v="5"/>
    <n v="3"/>
    <n v="1"/>
    <n v="4"/>
  </r>
  <r>
    <n v="34"/>
    <s v="Yes"/>
    <s v="Travel_Frequently"/>
    <n v="296"/>
    <s v="Sales"/>
    <n v="6"/>
    <n v="2"/>
    <s v="Marketing"/>
    <n v="4"/>
    <s v="Female"/>
    <n v="33"/>
    <n v="1"/>
    <n v="1"/>
    <s v="Sales Representative"/>
    <n v="3"/>
    <s v="Divorced"/>
    <n v="2351"/>
    <n v="12253"/>
    <n v="0"/>
    <s v="No"/>
    <n v="16"/>
    <n v="3"/>
    <n v="4"/>
    <n v="1"/>
    <n v="3"/>
    <n v="3"/>
    <n v="2"/>
    <n v="2"/>
    <n v="2"/>
    <n v="1"/>
    <n v="0"/>
  </r>
  <r>
    <n v="38"/>
    <s v="No"/>
    <s v="Travel_Frequently"/>
    <n v="1490"/>
    <s v="Research &amp; Development"/>
    <n v="2"/>
    <n v="2"/>
    <s v="Life Sciences"/>
    <n v="4"/>
    <s v="Male"/>
    <n v="42"/>
    <n v="3"/>
    <n v="1"/>
    <s v="Laboratory Technician"/>
    <n v="4"/>
    <s v="Married"/>
    <n v="1702"/>
    <n v="12106"/>
    <n v="1"/>
    <s v="Yes"/>
    <n v="23"/>
    <n v="4"/>
    <n v="3"/>
    <n v="1"/>
    <n v="1"/>
    <n v="3"/>
    <n v="3"/>
    <n v="1"/>
    <n v="0"/>
    <n v="0"/>
    <n v="0"/>
  </r>
  <r>
    <n v="40"/>
    <s v="No"/>
    <s v="Travel_Rarely"/>
    <n v="1398"/>
    <s v="Sales"/>
    <n v="2"/>
    <n v="4"/>
    <s v="Life Sciences"/>
    <n v="3"/>
    <s v="Female"/>
    <n v="79"/>
    <n v="3"/>
    <n v="5"/>
    <s v="Manager"/>
    <n v="3"/>
    <s v="Married"/>
    <n v="18041"/>
    <n v="13022"/>
    <n v="0"/>
    <s v="No"/>
    <n v="14"/>
    <n v="3"/>
    <n v="4"/>
    <n v="0"/>
    <n v="21"/>
    <n v="2"/>
    <n v="3"/>
    <n v="20"/>
    <n v="15"/>
    <n v="1"/>
    <n v="12"/>
  </r>
  <r>
    <n v="26"/>
    <s v="No"/>
    <s v="Travel_Rarely"/>
    <n v="1349"/>
    <s v="Research &amp; Development"/>
    <n v="23"/>
    <n v="3"/>
    <s v="Life Sciences"/>
    <n v="1"/>
    <s v="Female"/>
    <n v="90"/>
    <n v="3"/>
    <n v="1"/>
    <s v="Research Scientist"/>
    <n v="4"/>
    <s v="Divorced"/>
    <n v="2886"/>
    <n v="3032"/>
    <n v="1"/>
    <s v="No"/>
    <n v="22"/>
    <n v="4"/>
    <n v="2"/>
    <n v="2"/>
    <n v="3"/>
    <n v="3"/>
    <n v="1"/>
    <n v="3"/>
    <n v="2"/>
    <n v="0"/>
    <n v="2"/>
  </r>
  <r>
    <n v="30"/>
    <s v="No"/>
    <s v="Non-Travel"/>
    <n v="1400"/>
    <s v="Research &amp; Development"/>
    <n v="3"/>
    <n v="3"/>
    <s v="Life Sciences"/>
    <n v="3"/>
    <s v="Male"/>
    <n v="53"/>
    <n v="3"/>
    <n v="1"/>
    <s v="Laboratory Technician"/>
    <n v="4"/>
    <s v="Married"/>
    <n v="2097"/>
    <n v="16734"/>
    <n v="4"/>
    <s v="No"/>
    <n v="15"/>
    <n v="3"/>
    <n v="3"/>
    <n v="1"/>
    <n v="9"/>
    <n v="3"/>
    <n v="1"/>
    <n v="5"/>
    <n v="3"/>
    <n v="1"/>
    <n v="4"/>
  </r>
  <r>
    <n v="29"/>
    <s v="No"/>
    <s v="Travel_Rarely"/>
    <n v="986"/>
    <s v="Research &amp; Development"/>
    <n v="3"/>
    <n v="4"/>
    <s v="Medical"/>
    <n v="2"/>
    <s v="Male"/>
    <n v="93"/>
    <n v="2"/>
    <n v="3"/>
    <s v="Research Director"/>
    <n v="3"/>
    <s v="Married"/>
    <n v="11935"/>
    <n v="21526"/>
    <n v="1"/>
    <s v="No"/>
    <n v="18"/>
    <n v="3"/>
    <n v="3"/>
    <n v="0"/>
    <n v="10"/>
    <n v="2"/>
    <n v="3"/>
    <n v="10"/>
    <n v="2"/>
    <n v="0"/>
    <n v="7"/>
  </r>
  <r>
    <n v="29"/>
    <s v="Yes"/>
    <s v="Travel_Rarely"/>
    <n v="408"/>
    <s v="Research &amp; Development"/>
    <n v="25"/>
    <n v="5"/>
    <s v="Technical Degree"/>
    <n v="3"/>
    <s v="Female"/>
    <n v="71"/>
    <n v="2"/>
    <n v="1"/>
    <s v="Research Scientist"/>
    <n v="2"/>
    <s v="Married"/>
    <n v="2546"/>
    <n v="18300"/>
    <n v="5"/>
    <s v="No"/>
    <n v="16"/>
    <n v="3"/>
    <n v="2"/>
    <n v="0"/>
    <n v="6"/>
    <n v="2"/>
    <n v="4"/>
    <n v="2"/>
    <n v="2"/>
    <n v="1"/>
    <n v="1"/>
  </r>
  <r>
    <n v="19"/>
    <s v="Yes"/>
    <s v="Travel_Rarely"/>
    <n v="489"/>
    <s v="Human Resources"/>
    <n v="2"/>
    <n v="2"/>
    <s v="Technical Degree"/>
    <n v="1"/>
    <s v="Male"/>
    <n v="52"/>
    <n v="2"/>
    <n v="1"/>
    <s v="Human Resources"/>
    <n v="4"/>
    <s v="Single"/>
    <n v="2564"/>
    <n v="18437"/>
    <n v="1"/>
    <s v="No"/>
    <n v="12"/>
    <n v="3"/>
    <n v="3"/>
    <n v="0"/>
    <n v="1"/>
    <n v="3"/>
    <n v="4"/>
    <n v="1"/>
    <n v="0"/>
    <n v="0"/>
    <n v="0"/>
  </r>
  <r>
    <n v="30"/>
    <s v="No"/>
    <s v="Non-Travel"/>
    <n v="1398"/>
    <s v="Sales"/>
    <n v="22"/>
    <n v="4"/>
    <s v="Other"/>
    <n v="3"/>
    <s v="Female"/>
    <n v="69"/>
    <n v="3"/>
    <n v="3"/>
    <s v="Sales Executive"/>
    <n v="1"/>
    <s v="Married"/>
    <n v="8412"/>
    <n v="2890"/>
    <n v="0"/>
    <s v="No"/>
    <n v="11"/>
    <n v="3"/>
    <n v="3"/>
    <n v="0"/>
    <n v="10"/>
    <n v="3"/>
    <n v="3"/>
    <n v="9"/>
    <n v="8"/>
    <n v="7"/>
    <n v="8"/>
  </r>
  <r>
    <n v="57"/>
    <s v="No"/>
    <s v="Travel_Rarely"/>
    <n v="210"/>
    <s v="Sales"/>
    <n v="29"/>
    <n v="3"/>
    <s v="Marketing"/>
    <n v="1"/>
    <s v="Male"/>
    <n v="56"/>
    <n v="2"/>
    <n v="4"/>
    <s v="Manager"/>
    <n v="4"/>
    <s v="Divorced"/>
    <n v="14118"/>
    <n v="22102"/>
    <n v="3"/>
    <s v="No"/>
    <n v="12"/>
    <n v="3"/>
    <n v="3"/>
    <n v="1"/>
    <n v="32"/>
    <n v="3"/>
    <n v="2"/>
    <n v="1"/>
    <n v="0"/>
    <n v="0"/>
    <n v="0"/>
  </r>
  <r>
    <n v="50"/>
    <s v="No"/>
    <s v="Travel_Rarely"/>
    <n v="1099"/>
    <s v="Research &amp; Development"/>
    <n v="29"/>
    <n v="4"/>
    <s v="Life Sciences"/>
    <n v="2"/>
    <s v="Male"/>
    <n v="88"/>
    <n v="2"/>
    <n v="4"/>
    <s v="Manager"/>
    <n v="3"/>
    <s v="Married"/>
    <n v="17046"/>
    <n v="9314"/>
    <n v="0"/>
    <s v="No"/>
    <n v="15"/>
    <n v="3"/>
    <n v="2"/>
    <n v="1"/>
    <n v="28"/>
    <n v="2"/>
    <n v="3"/>
    <n v="27"/>
    <n v="10"/>
    <n v="15"/>
    <n v="7"/>
  </r>
  <r>
    <n v="30"/>
    <s v="No"/>
    <s v="Non-Travel"/>
    <n v="1116"/>
    <s v="Research &amp; Development"/>
    <n v="2"/>
    <n v="3"/>
    <s v="Medical"/>
    <n v="3"/>
    <s v="Female"/>
    <n v="49"/>
    <n v="3"/>
    <n v="1"/>
    <s v="Laboratory Technician"/>
    <n v="4"/>
    <s v="Single"/>
    <n v="2564"/>
    <n v="7181"/>
    <n v="0"/>
    <s v="No"/>
    <n v="14"/>
    <n v="3"/>
    <n v="3"/>
    <n v="0"/>
    <n v="12"/>
    <n v="2"/>
    <n v="2"/>
    <n v="11"/>
    <n v="7"/>
    <n v="6"/>
    <n v="7"/>
  </r>
  <r>
    <n v="60"/>
    <s v="No"/>
    <s v="Travel_Frequently"/>
    <n v="1499"/>
    <s v="Sales"/>
    <n v="28"/>
    <n v="3"/>
    <s v="Marketing"/>
    <n v="3"/>
    <s v="Female"/>
    <n v="80"/>
    <n v="2"/>
    <n v="3"/>
    <s v="Sales Executive"/>
    <n v="1"/>
    <s v="Married"/>
    <n v="10266"/>
    <n v="2845"/>
    <n v="4"/>
    <s v="No"/>
    <n v="19"/>
    <n v="3"/>
    <n v="4"/>
    <n v="0"/>
    <n v="22"/>
    <n v="5"/>
    <n v="4"/>
    <n v="18"/>
    <n v="13"/>
    <n v="13"/>
    <n v="11"/>
  </r>
  <r>
    <n v="47"/>
    <s v="No"/>
    <s v="Travel_Rarely"/>
    <n v="983"/>
    <s v="Research &amp; Development"/>
    <n v="2"/>
    <n v="2"/>
    <s v="Medical"/>
    <n v="1"/>
    <s v="Female"/>
    <n v="65"/>
    <n v="3"/>
    <n v="2"/>
    <s v="Manufacturing Director"/>
    <n v="4"/>
    <s v="Divorced"/>
    <n v="5070"/>
    <n v="7389"/>
    <n v="5"/>
    <s v="No"/>
    <n v="13"/>
    <n v="3"/>
    <n v="3"/>
    <n v="3"/>
    <n v="20"/>
    <n v="2"/>
    <n v="3"/>
    <n v="5"/>
    <n v="0"/>
    <n v="0"/>
    <n v="4"/>
  </r>
  <r>
    <n v="46"/>
    <s v="No"/>
    <s v="Travel_Rarely"/>
    <n v="1009"/>
    <s v="Research &amp; Development"/>
    <n v="2"/>
    <n v="3"/>
    <s v="Life Sciences"/>
    <n v="1"/>
    <s v="Male"/>
    <n v="51"/>
    <n v="3"/>
    <n v="4"/>
    <s v="Research Director"/>
    <n v="3"/>
    <s v="Married"/>
    <n v="17861"/>
    <n v="2288"/>
    <n v="6"/>
    <s v="No"/>
    <n v="13"/>
    <n v="3"/>
    <n v="3"/>
    <n v="0"/>
    <n v="26"/>
    <n v="2"/>
    <n v="1"/>
    <n v="3"/>
    <n v="2"/>
    <n v="0"/>
    <n v="1"/>
  </r>
  <r>
    <n v="35"/>
    <s v="No"/>
    <s v="Travel_Rarely"/>
    <n v="144"/>
    <s v="Research &amp; Development"/>
    <n v="22"/>
    <n v="3"/>
    <s v="Life Sciences"/>
    <n v="4"/>
    <s v="Male"/>
    <n v="46"/>
    <n v="1"/>
    <n v="1"/>
    <s v="Laboratory Technician"/>
    <n v="3"/>
    <s v="Single"/>
    <n v="4230"/>
    <n v="19225"/>
    <n v="0"/>
    <s v="No"/>
    <n v="15"/>
    <n v="3"/>
    <n v="3"/>
    <n v="0"/>
    <n v="6"/>
    <n v="2"/>
    <n v="3"/>
    <n v="5"/>
    <n v="4"/>
    <n v="4"/>
    <n v="3"/>
  </r>
  <r>
    <n v="54"/>
    <s v="No"/>
    <s v="Travel_Rarely"/>
    <n v="548"/>
    <s v="Research &amp; Development"/>
    <n v="8"/>
    <n v="4"/>
    <s v="Life Sciences"/>
    <n v="3"/>
    <s v="Female"/>
    <n v="42"/>
    <n v="3"/>
    <n v="2"/>
    <s v="Laboratory Technician"/>
    <n v="3"/>
    <s v="Single"/>
    <n v="3780"/>
    <n v="23428"/>
    <n v="7"/>
    <s v="No"/>
    <n v="11"/>
    <n v="3"/>
    <n v="3"/>
    <n v="0"/>
    <n v="19"/>
    <n v="3"/>
    <n v="3"/>
    <n v="1"/>
    <n v="0"/>
    <n v="0"/>
    <n v="0"/>
  </r>
  <r>
    <n v="34"/>
    <s v="No"/>
    <s v="Travel_Rarely"/>
    <n v="1303"/>
    <s v="Research &amp; Development"/>
    <n v="2"/>
    <n v="4"/>
    <s v="Life Sciences"/>
    <n v="4"/>
    <s v="Male"/>
    <n v="62"/>
    <n v="2"/>
    <n v="1"/>
    <s v="Research Scientist"/>
    <n v="3"/>
    <s v="Divorced"/>
    <n v="2768"/>
    <n v="8416"/>
    <n v="3"/>
    <s v="No"/>
    <n v="12"/>
    <n v="3"/>
    <n v="3"/>
    <n v="1"/>
    <n v="14"/>
    <n v="3"/>
    <n v="3"/>
    <n v="7"/>
    <n v="3"/>
    <n v="5"/>
    <n v="7"/>
  </r>
  <r>
    <n v="46"/>
    <s v="No"/>
    <s v="Travel_Rarely"/>
    <n v="1125"/>
    <s v="Sales"/>
    <n v="10"/>
    <n v="3"/>
    <s v="Marketing"/>
    <n v="3"/>
    <s v="Female"/>
    <n v="94"/>
    <n v="2"/>
    <n v="3"/>
    <s v="Sales Executive"/>
    <n v="4"/>
    <s v="Married"/>
    <n v="9071"/>
    <n v="11563"/>
    <n v="2"/>
    <s v="Yes"/>
    <n v="19"/>
    <n v="3"/>
    <n v="3"/>
    <n v="1"/>
    <n v="15"/>
    <n v="3"/>
    <n v="3"/>
    <n v="3"/>
    <n v="2"/>
    <n v="1"/>
    <n v="2"/>
  </r>
  <r>
    <n v="31"/>
    <s v="No"/>
    <s v="Travel_Rarely"/>
    <n v="1274"/>
    <s v="Research &amp; Development"/>
    <n v="9"/>
    <n v="1"/>
    <s v="Life Sciences"/>
    <n v="3"/>
    <s v="Male"/>
    <n v="33"/>
    <n v="3"/>
    <n v="3"/>
    <s v="Manufacturing Director"/>
    <n v="2"/>
    <s v="Divorced"/>
    <n v="10648"/>
    <n v="14394"/>
    <n v="1"/>
    <s v="No"/>
    <n v="25"/>
    <n v="4"/>
    <n v="4"/>
    <n v="1"/>
    <n v="13"/>
    <n v="6"/>
    <n v="4"/>
    <n v="13"/>
    <n v="8"/>
    <n v="0"/>
    <n v="8"/>
  </r>
  <r>
    <n v="33"/>
    <s v="Yes"/>
    <s v="Travel_Rarely"/>
    <n v="1277"/>
    <s v="Research &amp; Development"/>
    <n v="15"/>
    <n v="1"/>
    <s v="Medical"/>
    <n v="2"/>
    <s v="Male"/>
    <n v="56"/>
    <n v="3"/>
    <n v="3"/>
    <s v="Manager"/>
    <n v="3"/>
    <s v="Married"/>
    <n v="13610"/>
    <n v="24619"/>
    <n v="7"/>
    <s v="Yes"/>
    <n v="12"/>
    <n v="3"/>
    <n v="4"/>
    <n v="0"/>
    <n v="15"/>
    <n v="2"/>
    <n v="4"/>
    <n v="7"/>
    <n v="6"/>
    <n v="7"/>
    <n v="7"/>
  </r>
  <r>
    <n v="33"/>
    <s v="Yes"/>
    <s v="Travel_Rarely"/>
    <n v="587"/>
    <s v="Research &amp; Development"/>
    <n v="10"/>
    <n v="1"/>
    <s v="Medical"/>
    <n v="1"/>
    <s v="Male"/>
    <n v="38"/>
    <n v="1"/>
    <n v="1"/>
    <s v="Laboratory Technician"/>
    <n v="4"/>
    <s v="Divorced"/>
    <n v="3408"/>
    <n v="6705"/>
    <n v="7"/>
    <s v="No"/>
    <n v="13"/>
    <n v="3"/>
    <n v="1"/>
    <n v="3"/>
    <n v="8"/>
    <n v="2"/>
    <n v="3"/>
    <n v="4"/>
    <n v="3"/>
    <n v="1"/>
    <n v="3"/>
  </r>
  <r>
    <n v="30"/>
    <s v="No"/>
    <s v="Travel_Rarely"/>
    <n v="413"/>
    <s v="Sales"/>
    <n v="7"/>
    <n v="1"/>
    <s v="Marketing"/>
    <n v="4"/>
    <s v="Male"/>
    <n v="57"/>
    <n v="3"/>
    <n v="1"/>
    <s v="Sales Representative"/>
    <n v="2"/>
    <s v="Single"/>
    <n v="2983"/>
    <n v="18398"/>
    <n v="0"/>
    <s v="No"/>
    <n v="14"/>
    <n v="3"/>
    <n v="1"/>
    <n v="0"/>
    <n v="4"/>
    <n v="3"/>
    <n v="3"/>
    <n v="3"/>
    <n v="2"/>
    <n v="1"/>
    <n v="2"/>
  </r>
  <r>
    <n v="35"/>
    <s v="No"/>
    <s v="Travel_Rarely"/>
    <n v="1276"/>
    <s v="Research &amp; Development"/>
    <n v="16"/>
    <n v="3"/>
    <s v="Life Sciences"/>
    <n v="4"/>
    <s v="Male"/>
    <n v="72"/>
    <n v="3"/>
    <n v="3"/>
    <s v="Healthcare Representative"/>
    <n v="3"/>
    <s v="Married"/>
    <n v="7632"/>
    <n v="14295"/>
    <n v="4"/>
    <s v="Yes"/>
    <n v="12"/>
    <n v="3"/>
    <n v="3"/>
    <n v="0"/>
    <n v="10"/>
    <n v="2"/>
    <n v="3"/>
    <n v="8"/>
    <n v="7"/>
    <n v="0"/>
    <n v="0"/>
  </r>
  <r>
    <n v="31"/>
    <s v="Yes"/>
    <s v="Travel_Frequently"/>
    <n v="534"/>
    <s v="Research &amp; Development"/>
    <n v="20"/>
    <n v="3"/>
    <s v="Life Sciences"/>
    <n v="1"/>
    <s v="Male"/>
    <n v="66"/>
    <n v="3"/>
    <n v="3"/>
    <s v="Healthcare Representative"/>
    <n v="3"/>
    <s v="Married"/>
    <n v="9824"/>
    <n v="22908"/>
    <n v="3"/>
    <s v="No"/>
    <n v="12"/>
    <n v="3"/>
    <n v="1"/>
    <n v="0"/>
    <n v="12"/>
    <n v="2"/>
    <n v="3"/>
    <n v="1"/>
    <n v="0"/>
    <n v="0"/>
    <n v="0"/>
  </r>
  <r>
    <n v="34"/>
    <s v="Yes"/>
    <s v="Travel_Frequently"/>
    <n v="988"/>
    <s v="Human Resources"/>
    <n v="23"/>
    <n v="3"/>
    <s v="Human Resources"/>
    <n v="2"/>
    <s v="Female"/>
    <n v="43"/>
    <n v="3"/>
    <n v="3"/>
    <s v="Human Resources"/>
    <n v="1"/>
    <s v="Divorced"/>
    <n v="9950"/>
    <n v="11533"/>
    <n v="9"/>
    <s v="Yes"/>
    <n v="15"/>
    <n v="3"/>
    <n v="3"/>
    <n v="3"/>
    <n v="11"/>
    <n v="2"/>
    <n v="3"/>
    <n v="3"/>
    <n v="2"/>
    <n v="0"/>
    <n v="2"/>
  </r>
  <r>
    <n v="42"/>
    <s v="No"/>
    <s v="Travel_Frequently"/>
    <n v="1474"/>
    <s v="Research &amp; Development"/>
    <n v="5"/>
    <n v="2"/>
    <s v="Other"/>
    <n v="2"/>
    <s v="Male"/>
    <n v="97"/>
    <n v="3"/>
    <n v="1"/>
    <s v="Laboratory Technician"/>
    <n v="3"/>
    <s v="Married"/>
    <n v="2093"/>
    <n v="9260"/>
    <n v="4"/>
    <s v="No"/>
    <n v="17"/>
    <n v="3"/>
    <n v="4"/>
    <n v="1"/>
    <n v="8"/>
    <n v="4"/>
    <n v="3"/>
    <n v="2"/>
    <n v="2"/>
    <n v="2"/>
    <n v="0"/>
  </r>
  <r>
    <n v="36"/>
    <s v="No"/>
    <s v="Non-Travel"/>
    <n v="635"/>
    <s v="Sales"/>
    <n v="10"/>
    <n v="4"/>
    <s v="Medical"/>
    <n v="2"/>
    <s v="Male"/>
    <n v="32"/>
    <n v="3"/>
    <n v="3"/>
    <s v="Sales Executive"/>
    <n v="4"/>
    <s v="Single"/>
    <n v="9980"/>
    <n v="15318"/>
    <n v="1"/>
    <s v="No"/>
    <n v="14"/>
    <n v="3"/>
    <n v="4"/>
    <n v="0"/>
    <n v="10"/>
    <n v="3"/>
    <n v="2"/>
    <n v="10"/>
    <n v="3"/>
    <n v="9"/>
    <n v="7"/>
  </r>
  <r>
    <n v="22"/>
    <s v="Yes"/>
    <s v="Travel_Frequently"/>
    <n v="1368"/>
    <s v="Research &amp; Development"/>
    <n v="4"/>
    <n v="1"/>
    <s v="Technical Degree"/>
    <n v="3"/>
    <s v="Male"/>
    <n v="99"/>
    <n v="2"/>
    <n v="1"/>
    <s v="Laboratory Technician"/>
    <n v="3"/>
    <s v="Single"/>
    <n v="3894"/>
    <n v="9129"/>
    <n v="5"/>
    <s v="No"/>
    <n v="16"/>
    <n v="3"/>
    <n v="3"/>
    <n v="0"/>
    <n v="4"/>
    <n v="3"/>
    <n v="3"/>
    <n v="2"/>
    <n v="2"/>
    <n v="1"/>
    <n v="2"/>
  </r>
  <r>
    <n v="48"/>
    <s v="No"/>
    <s v="Travel_Rarely"/>
    <n v="163"/>
    <s v="Sales"/>
    <n v="2"/>
    <n v="5"/>
    <s v="Marketing"/>
    <n v="2"/>
    <s v="Female"/>
    <n v="37"/>
    <n v="3"/>
    <n v="2"/>
    <s v="Sales Executive"/>
    <n v="4"/>
    <s v="Married"/>
    <n v="4051"/>
    <n v="19658"/>
    <n v="2"/>
    <s v="No"/>
    <n v="14"/>
    <n v="3"/>
    <n v="1"/>
    <n v="1"/>
    <n v="14"/>
    <n v="2"/>
    <n v="3"/>
    <n v="9"/>
    <n v="7"/>
    <n v="6"/>
    <n v="7"/>
  </r>
  <r>
    <n v="55"/>
    <s v="No"/>
    <s v="Travel_Rarely"/>
    <n v="1117"/>
    <s v="Sales"/>
    <n v="18"/>
    <n v="5"/>
    <s v="Life Sciences"/>
    <n v="1"/>
    <s v="Female"/>
    <n v="83"/>
    <n v="3"/>
    <n v="4"/>
    <s v="Manager"/>
    <n v="2"/>
    <s v="Single"/>
    <n v="16835"/>
    <n v="9873"/>
    <n v="3"/>
    <s v="No"/>
    <n v="23"/>
    <n v="4"/>
    <n v="4"/>
    <n v="0"/>
    <n v="37"/>
    <n v="2"/>
    <n v="3"/>
    <n v="10"/>
    <n v="9"/>
    <n v="7"/>
    <n v="7"/>
  </r>
  <r>
    <n v="41"/>
    <s v="No"/>
    <s v="Non-Travel"/>
    <n v="267"/>
    <s v="Sales"/>
    <n v="10"/>
    <n v="2"/>
    <s v="Life Sciences"/>
    <n v="4"/>
    <s v="Male"/>
    <n v="56"/>
    <n v="3"/>
    <n v="2"/>
    <s v="Sales Executive"/>
    <n v="4"/>
    <s v="Single"/>
    <n v="6230"/>
    <n v="13430"/>
    <n v="7"/>
    <s v="No"/>
    <n v="14"/>
    <n v="3"/>
    <n v="4"/>
    <n v="0"/>
    <n v="16"/>
    <n v="3"/>
    <n v="3"/>
    <n v="14"/>
    <n v="3"/>
    <n v="1"/>
    <n v="10"/>
  </r>
  <r>
    <n v="35"/>
    <s v="No"/>
    <s v="Travel_Rarely"/>
    <n v="619"/>
    <s v="Sales"/>
    <n v="1"/>
    <n v="3"/>
    <s v="Marketing"/>
    <n v="2"/>
    <s v="Male"/>
    <n v="85"/>
    <n v="3"/>
    <n v="2"/>
    <s v="Sales Executive"/>
    <n v="3"/>
    <s v="Married"/>
    <n v="4717"/>
    <n v="18659"/>
    <n v="9"/>
    <s v="No"/>
    <n v="11"/>
    <n v="3"/>
    <n v="3"/>
    <n v="0"/>
    <n v="15"/>
    <n v="2"/>
    <n v="3"/>
    <n v="11"/>
    <n v="9"/>
    <n v="6"/>
    <n v="9"/>
  </r>
  <r>
    <n v="40"/>
    <s v="No"/>
    <s v="Travel_Rarely"/>
    <n v="302"/>
    <s v="Research &amp; Development"/>
    <n v="6"/>
    <n v="3"/>
    <s v="Life Sciences"/>
    <n v="2"/>
    <s v="Female"/>
    <n v="75"/>
    <n v="3"/>
    <n v="4"/>
    <s v="Manufacturing Director"/>
    <n v="3"/>
    <s v="Single"/>
    <n v="13237"/>
    <n v="20364"/>
    <n v="7"/>
    <s v="No"/>
    <n v="15"/>
    <n v="3"/>
    <n v="3"/>
    <n v="0"/>
    <n v="22"/>
    <n v="3"/>
    <n v="3"/>
    <n v="20"/>
    <n v="6"/>
    <n v="5"/>
    <n v="13"/>
  </r>
  <r>
    <n v="39"/>
    <s v="No"/>
    <s v="Travel_Frequently"/>
    <n v="443"/>
    <s v="Research &amp; Development"/>
    <n v="8"/>
    <n v="1"/>
    <s v="Life Sciences"/>
    <n v="3"/>
    <s v="Female"/>
    <n v="48"/>
    <n v="3"/>
    <n v="1"/>
    <s v="Laboratory Technician"/>
    <n v="3"/>
    <s v="Married"/>
    <n v="3755"/>
    <n v="17872"/>
    <n v="1"/>
    <s v="No"/>
    <n v="11"/>
    <n v="3"/>
    <n v="1"/>
    <n v="1"/>
    <n v="8"/>
    <n v="3"/>
    <n v="3"/>
    <n v="8"/>
    <n v="3"/>
    <n v="0"/>
    <n v="7"/>
  </r>
  <r>
    <n v="31"/>
    <s v="No"/>
    <s v="Travel_Rarely"/>
    <n v="828"/>
    <s v="Sales"/>
    <n v="2"/>
    <n v="1"/>
    <s v="Life Sciences"/>
    <n v="2"/>
    <s v="Male"/>
    <n v="77"/>
    <n v="3"/>
    <n v="2"/>
    <s v="Sales Executive"/>
    <n v="4"/>
    <s v="Single"/>
    <n v="6582"/>
    <n v="8346"/>
    <n v="4"/>
    <s v="Yes"/>
    <n v="13"/>
    <n v="3"/>
    <n v="3"/>
    <n v="0"/>
    <n v="10"/>
    <n v="2"/>
    <n v="4"/>
    <n v="6"/>
    <n v="5"/>
    <n v="0"/>
    <n v="5"/>
  </r>
  <r>
    <n v="42"/>
    <s v="No"/>
    <s v="Travel_Rarely"/>
    <n v="319"/>
    <s v="Research &amp; Development"/>
    <n v="24"/>
    <n v="3"/>
    <s v="Medical"/>
    <n v="4"/>
    <s v="Male"/>
    <n v="56"/>
    <n v="3"/>
    <n v="3"/>
    <s v="Manufacturing Director"/>
    <n v="1"/>
    <s v="Married"/>
    <n v="7406"/>
    <n v="6950"/>
    <n v="1"/>
    <s v="Yes"/>
    <n v="21"/>
    <n v="4"/>
    <n v="4"/>
    <n v="1"/>
    <n v="10"/>
    <n v="5"/>
    <n v="2"/>
    <n v="10"/>
    <n v="9"/>
    <n v="5"/>
    <n v="8"/>
  </r>
  <r>
    <n v="45"/>
    <s v="No"/>
    <s v="Travel_Rarely"/>
    <n v="561"/>
    <s v="Sales"/>
    <n v="2"/>
    <n v="3"/>
    <s v="Other"/>
    <n v="4"/>
    <s v="Male"/>
    <n v="61"/>
    <n v="3"/>
    <n v="2"/>
    <s v="Sales Executive"/>
    <n v="2"/>
    <s v="Married"/>
    <n v="4805"/>
    <n v="16177"/>
    <n v="0"/>
    <s v="No"/>
    <n v="19"/>
    <n v="3"/>
    <n v="2"/>
    <n v="1"/>
    <n v="9"/>
    <n v="3"/>
    <n v="4"/>
    <n v="8"/>
    <n v="7"/>
    <n v="3"/>
    <n v="7"/>
  </r>
  <r>
    <n v="26"/>
    <s v="Yes"/>
    <s v="Travel_Frequently"/>
    <n v="426"/>
    <s v="Human Resources"/>
    <n v="17"/>
    <n v="4"/>
    <s v="Life Sciences"/>
    <n v="2"/>
    <s v="Female"/>
    <n v="58"/>
    <n v="3"/>
    <n v="1"/>
    <s v="Human Resources"/>
    <n v="3"/>
    <s v="Divorced"/>
    <n v="2741"/>
    <n v="22808"/>
    <n v="0"/>
    <s v="Yes"/>
    <n v="11"/>
    <n v="3"/>
    <n v="2"/>
    <n v="1"/>
    <n v="8"/>
    <n v="2"/>
    <n v="2"/>
    <n v="7"/>
    <n v="7"/>
    <n v="1"/>
    <n v="0"/>
  </r>
  <r>
    <n v="29"/>
    <s v="No"/>
    <s v="Travel_Rarely"/>
    <n v="232"/>
    <s v="Research &amp; Development"/>
    <n v="19"/>
    <n v="3"/>
    <s v="Technical Degree"/>
    <n v="4"/>
    <s v="Male"/>
    <n v="34"/>
    <n v="3"/>
    <n v="2"/>
    <s v="Manufacturing Director"/>
    <n v="4"/>
    <s v="Divorced"/>
    <n v="4262"/>
    <n v="22645"/>
    <n v="4"/>
    <s v="No"/>
    <n v="12"/>
    <n v="3"/>
    <n v="2"/>
    <n v="2"/>
    <n v="8"/>
    <n v="2"/>
    <n v="4"/>
    <n v="3"/>
    <n v="2"/>
    <n v="1"/>
    <n v="2"/>
  </r>
  <r>
    <n v="33"/>
    <s v="No"/>
    <s v="Travel_Rarely"/>
    <n v="922"/>
    <s v="Research &amp; Development"/>
    <n v="1"/>
    <n v="5"/>
    <s v="Medical"/>
    <n v="1"/>
    <s v="Female"/>
    <n v="95"/>
    <n v="4"/>
    <n v="4"/>
    <s v="Research Director"/>
    <n v="3"/>
    <s v="Divorced"/>
    <n v="16184"/>
    <n v="22578"/>
    <n v="4"/>
    <s v="No"/>
    <n v="19"/>
    <n v="3"/>
    <n v="3"/>
    <n v="1"/>
    <n v="10"/>
    <n v="2"/>
    <n v="3"/>
    <n v="6"/>
    <n v="1"/>
    <n v="0"/>
    <n v="5"/>
  </r>
  <r>
    <n v="31"/>
    <s v="No"/>
    <s v="Travel_Rarely"/>
    <n v="688"/>
    <s v="Sales"/>
    <n v="7"/>
    <n v="3"/>
    <s v="Life Sciences"/>
    <n v="3"/>
    <s v="Male"/>
    <n v="44"/>
    <n v="2"/>
    <n v="3"/>
    <s v="Manager"/>
    <n v="4"/>
    <s v="Divorced"/>
    <n v="11557"/>
    <n v="25291"/>
    <n v="9"/>
    <s v="No"/>
    <n v="21"/>
    <n v="4"/>
    <n v="3"/>
    <n v="1"/>
    <n v="10"/>
    <n v="3"/>
    <n v="2"/>
    <n v="5"/>
    <n v="4"/>
    <n v="0"/>
    <n v="1"/>
  </r>
  <r>
    <n v="18"/>
    <s v="Yes"/>
    <s v="Travel_Frequently"/>
    <n v="1306"/>
    <s v="Sales"/>
    <n v="5"/>
    <n v="3"/>
    <s v="Marketing"/>
    <n v="2"/>
    <s v="Male"/>
    <n v="69"/>
    <n v="3"/>
    <n v="1"/>
    <s v="Sales Representative"/>
    <n v="2"/>
    <s v="Single"/>
    <n v="1878"/>
    <n v="8059"/>
    <n v="1"/>
    <s v="Yes"/>
    <n v="14"/>
    <n v="3"/>
    <n v="4"/>
    <n v="0"/>
    <n v="0"/>
    <n v="3"/>
    <n v="3"/>
    <n v="0"/>
    <n v="0"/>
    <n v="0"/>
    <n v="0"/>
  </r>
  <r>
    <n v="40"/>
    <s v="No"/>
    <s v="Non-Travel"/>
    <n v="1094"/>
    <s v="Sales"/>
    <n v="28"/>
    <n v="3"/>
    <s v="Other"/>
    <n v="3"/>
    <s v="Male"/>
    <n v="58"/>
    <n v="1"/>
    <n v="3"/>
    <s v="Sales Executive"/>
    <n v="1"/>
    <s v="Divorced"/>
    <n v="10932"/>
    <n v="11373"/>
    <n v="3"/>
    <s v="No"/>
    <n v="15"/>
    <n v="3"/>
    <n v="3"/>
    <n v="1"/>
    <n v="20"/>
    <n v="2"/>
    <n v="3"/>
    <n v="1"/>
    <n v="0"/>
    <n v="0"/>
    <n v="1"/>
  </r>
  <r>
    <n v="41"/>
    <s v="No"/>
    <s v="Non-Travel"/>
    <n v="509"/>
    <s v="Research &amp; Development"/>
    <n v="2"/>
    <n v="4"/>
    <s v="Other"/>
    <n v="1"/>
    <s v="Female"/>
    <n v="62"/>
    <n v="2"/>
    <n v="2"/>
    <s v="Healthcare Representative"/>
    <n v="3"/>
    <s v="Single"/>
    <n v="6811"/>
    <n v="2112"/>
    <n v="2"/>
    <s v="Yes"/>
    <n v="17"/>
    <n v="3"/>
    <n v="1"/>
    <n v="0"/>
    <n v="10"/>
    <n v="3"/>
    <n v="3"/>
    <n v="8"/>
    <n v="7"/>
    <n v="0"/>
    <n v="7"/>
  </r>
  <r>
    <n v="26"/>
    <s v="No"/>
    <s v="Travel_Rarely"/>
    <n v="775"/>
    <s v="Sales"/>
    <n v="29"/>
    <n v="2"/>
    <s v="Medical"/>
    <n v="1"/>
    <s v="Male"/>
    <n v="45"/>
    <n v="3"/>
    <n v="2"/>
    <s v="Sales Executive"/>
    <n v="3"/>
    <s v="Divorced"/>
    <n v="4306"/>
    <n v="4267"/>
    <n v="5"/>
    <s v="No"/>
    <n v="12"/>
    <n v="3"/>
    <n v="1"/>
    <n v="2"/>
    <n v="8"/>
    <n v="5"/>
    <n v="3"/>
    <n v="0"/>
    <n v="0"/>
    <n v="0"/>
    <n v="0"/>
  </r>
  <r>
    <n v="35"/>
    <s v="No"/>
    <s v="Travel_Rarely"/>
    <n v="195"/>
    <s v="Sales"/>
    <n v="1"/>
    <n v="3"/>
    <s v="Medical"/>
    <n v="1"/>
    <s v="Female"/>
    <n v="80"/>
    <n v="3"/>
    <n v="2"/>
    <s v="Sales Executive"/>
    <n v="3"/>
    <s v="Single"/>
    <n v="4859"/>
    <n v="6698"/>
    <n v="1"/>
    <s v="No"/>
    <n v="16"/>
    <n v="3"/>
    <n v="4"/>
    <n v="0"/>
    <n v="5"/>
    <n v="3"/>
    <n v="3"/>
    <n v="5"/>
    <n v="4"/>
    <n v="0"/>
    <n v="3"/>
  </r>
  <r>
    <n v="34"/>
    <s v="No"/>
    <s v="Travel_Rarely"/>
    <n v="258"/>
    <s v="Sales"/>
    <n v="21"/>
    <n v="4"/>
    <s v="Life Sciences"/>
    <n v="4"/>
    <s v="Male"/>
    <n v="74"/>
    <n v="4"/>
    <n v="2"/>
    <s v="Sales Executive"/>
    <n v="4"/>
    <s v="Single"/>
    <n v="5337"/>
    <n v="19921"/>
    <n v="1"/>
    <s v="No"/>
    <n v="12"/>
    <n v="3"/>
    <n v="4"/>
    <n v="0"/>
    <n v="10"/>
    <n v="3"/>
    <n v="3"/>
    <n v="10"/>
    <n v="7"/>
    <n v="5"/>
    <n v="7"/>
  </r>
  <r>
    <n v="26"/>
    <s v="Yes"/>
    <s v="Travel_Rarely"/>
    <n v="471"/>
    <s v="Research &amp; Development"/>
    <n v="24"/>
    <n v="3"/>
    <s v="Technical Degree"/>
    <n v="3"/>
    <s v="Male"/>
    <n v="66"/>
    <n v="1"/>
    <n v="1"/>
    <s v="Laboratory Technician"/>
    <n v="4"/>
    <s v="Single"/>
    <n v="2340"/>
    <n v="23213"/>
    <n v="1"/>
    <s v="Yes"/>
    <n v="18"/>
    <n v="3"/>
    <n v="2"/>
    <n v="0"/>
    <n v="1"/>
    <n v="3"/>
    <n v="1"/>
    <n v="1"/>
    <n v="0"/>
    <n v="0"/>
    <n v="0"/>
  </r>
  <r>
    <n v="37"/>
    <s v="No"/>
    <s v="Travel_Rarely"/>
    <n v="799"/>
    <s v="Research &amp; Development"/>
    <n v="1"/>
    <n v="3"/>
    <s v="Technical Degree"/>
    <n v="2"/>
    <s v="Female"/>
    <n v="59"/>
    <n v="3"/>
    <n v="3"/>
    <s v="Manufacturing Director"/>
    <n v="4"/>
    <s v="Single"/>
    <n v="7491"/>
    <n v="23848"/>
    <n v="4"/>
    <s v="No"/>
    <n v="17"/>
    <n v="3"/>
    <n v="4"/>
    <n v="0"/>
    <n v="12"/>
    <n v="3"/>
    <n v="4"/>
    <n v="6"/>
    <n v="5"/>
    <n v="1"/>
    <n v="2"/>
  </r>
  <r>
    <n v="46"/>
    <s v="No"/>
    <s v="Travel_Frequently"/>
    <n v="1034"/>
    <s v="Research &amp; Development"/>
    <n v="18"/>
    <n v="1"/>
    <s v="Medical"/>
    <n v="1"/>
    <s v="Female"/>
    <n v="86"/>
    <n v="3"/>
    <n v="3"/>
    <s v="Healthcare Representative"/>
    <n v="3"/>
    <s v="Married"/>
    <n v="10527"/>
    <n v="8984"/>
    <n v="5"/>
    <s v="No"/>
    <n v="11"/>
    <n v="3"/>
    <n v="4"/>
    <n v="0"/>
    <n v="28"/>
    <n v="3"/>
    <n v="2"/>
    <n v="2"/>
    <n v="2"/>
    <n v="1"/>
    <n v="2"/>
  </r>
  <r>
    <n v="41"/>
    <s v="No"/>
    <s v="Travel_Rarely"/>
    <n v="1276"/>
    <s v="Sales"/>
    <n v="2"/>
    <n v="5"/>
    <s v="Life Sciences"/>
    <n v="2"/>
    <s v="Female"/>
    <n v="91"/>
    <n v="3"/>
    <n v="4"/>
    <s v="Manager"/>
    <n v="1"/>
    <s v="Married"/>
    <n v="16595"/>
    <n v="5626"/>
    <n v="7"/>
    <s v="No"/>
    <n v="16"/>
    <n v="3"/>
    <n v="2"/>
    <n v="1"/>
    <n v="22"/>
    <n v="2"/>
    <n v="3"/>
    <n v="18"/>
    <n v="16"/>
    <n v="11"/>
    <n v="8"/>
  </r>
  <r>
    <n v="37"/>
    <s v="No"/>
    <s v="Non-Travel"/>
    <n v="142"/>
    <s v="Sales"/>
    <n v="9"/>
    <n v="4"/>
    <s v="Medical"/>
    <n v="1"/>
    <s v="Male"/>
    <n v="69"/>
    <n v="3"/>
    <n v="3"/>
    <s v="Sales Executive"/>
    <n v="2"/>
    <s v="Divorced"/>
    <n v="8834"/>
    <n v="24666"/>
    <n v="1"/>
    <s v="No"/>
    <n v="13"/>
    <n v="3"/>
    <n v="4"/>
    <n v="1"/>
    <n v="9"/>
    <n v="6"/>
    <n v="3"/>
    <n v="9"/>
    <n v="5"/>
    <n v="7"/>
    <n v="7"/>
  </r>
  <r>
    <n v="52"/>
    <s v="No"/>
    <s v="Travel_Rarely"/>
    <n v="956"/>
    <s v="Research &amp; Development"/>
    <n v="6"/>
    <n v="2"/>
    <s v="Technical Degree"/>
    <n v="4"/>
    <s v="Male"/>
    <n v="78"/>
    <n v="3"/>
    <n v="2"/>
    <s v="Research Scientist"/>
    <n v="1"/>
    <s v="Divorced"/>
    <n v="5577"/>
    <n v="22087"/>
    <n v="3"/>
    <s v="Yes"/>
    <n v="12"/>
    <n v="3"/>
    <n v="2"/>
    <n v="2"/>
    <n v="18"/>
    <n v="3"/>
    <n v="3"/>
    <n v="10"/>
    <n v="9"/>
    <n v="6"/>
    <n v="9"/>
  </r>
  <r>
    <n v="32"/>
    <s v="Yes"/>
    <s v="Non-Travel"/>
    <n v="1474"/>
    <s v="Sales"/>
    <n v="11"/>
    <n v="4"/>
    <s v="Other"/>
    <n v="4"/>
    <s v="Male"/>
    <n v="60"/>
    <n v="4"/>
    <n v="2"/>
    <s v="Sales Executive"/>
    <n v="3"/>
    <s v="Married"/>
    <n v="4707"/>
    <n v="23914"/>
    <n v="8"/>
    <s v="No"/>
    <n v="12"/>
    <n v="3"/>
    <n v="4"/>
    <n v="0"/>
    <n v="6"/>
    <n v="2"/>
    <n v="3"/>
    <n v="4"/>
    <n v="2"/>
    <n v="1"/>
    <n v="2"/>
  </r>
  <r>
    <n v="24"/>
    <s v="No"/>
    <s v="Travel_Frequently"/>
    <n v="535"/>
    <s v="Sales"/>
    <n v="24"/>
    <n v="3"/>
    <s v="Medical"/>
    <n v="4"/>
    <s v="Male"/>
    <n v="38"/>
    <n v="3"/>
    <n v="1"/>
    <s v="Sales Representative"/>
    <n v="4"/>
    <s v="Married"/>
    <n v="2400"/>
    <n v="5530"/>
    <n v="0"/>
    <s v="No"/>
    <n v="13"/>
    <n v="3"/>
    <n v="3"/>
    <n v="2"/>
    <n v="3"/>
    <n v="3"/>
    <n v="3"/>
    <n v="2"/>
    <n v="2"/>
    <n v="2"/>
    <n v="1"/>
  </r>
  <r>
    <n v="38"/>
    <s v="No"/>
    <s v="Travel_Rarely"/>
    <n v="1495"/>
    <s v="Research &amp; Development"/>
    <n v="10"/>
    <n v="3"/>
    <s v="Medical"/>
    <n v="3"/>
    <s v="Female"/>
    <n v="76"/>
    <n v="3"/>
    <n v="2"/>
    <s v="Healthcare Representative"/>
    <n v="3"/>
    <s v="Married"/>
    <n v="9824"/>
    <n v="22174"/>
    <n v="3"/>
    <s v="No"/>
    <n v="19"/>
    <n v="3"/>
    <n v="3"/>
    <n v="1"/>
    <n v="18"/>
    <n v="4"/>
    <n v="3"/>
    <n v="1"/>
    <n v="0"/>
    <n v="0"/>
    <n v="0"/>
  </r>
  <r>
    <n v="37"/>
    <s v="No"/>
    <s v="Travel_Rarely"/>
    <n v="446"/>
    <s v="Research &amp; Development"/>
    <n v="1"/>
    <n v="4"/>
    <s v="Life Sciences"/>
    <n v="2"/>
    <s v="Female"/>
    <n v="65"/>
    <n v="3"/>
    <n v="2"/>
    <s v="Manufacturing Director"/>
    <n v="2"/>
    <s v="Married"/>
    <n v="6447"/>
    <n v="15701"/>
    <n v="6"/>
    <s v="No"/>
    <n v="12"/>
    <n v="3"/>
    <n v="2"/>
    <n v="1"/>
    <n v="8"/>
    <n v="2"/>
    <n v="2"/>
    <n v="6"/>
    <n v="5"/>
    <n v="4"/>
    <n v="3"/>
  </r>
  <r>
    <n v="49"/>
    <s v="No"/>
    <s v="Travel_Rarely"/>
    <n v="1245"/>
    <s v="Research &amp; Development"/>
    <n v="18"/>
    <n v="4"/>
    <s v="Life Sciences"/>
    <n v="4"/>
    <s v="Male"/>
    <n v="58"/>
    <n v="2"/>
    <n v="5"/>
    <s v="Research Director"/>
    <n v="3"/>
    <s v="Divorced"/>
    <n v="19502"/>
    <n v="2125"/>
    <n v="1"/>
    <s v="Yes"/>
    <n v="17"/>
    <n v="3"/>
    <n v="3"/>
    <n v="1"/>
    <n v="31"/>
    <n v="5"/>
    <n v="3"/>
    <n v="31"/>
    <n v="9"/>
    <n v="0"/>
    <n v="9"/>
  </r>
  <r>
    <n v="24"/>
    <s v="No"/>
    <s v="Travel_Rarely"/>
    <n v="691"/>
    <s v="Research &amp; Development"/>
    <n v="23"/>
    <n v="3"/>
    <s v="Medical"/>
    <n v="2"/>
    <s v="Male"/>
    <n v="89"/>
    <n v="4"/>
    <n v="1"/>
    <s v="Research Scientist"/>
    <n v="4"/>
    <s v="Married"/>
    <n v="2725"/>
    <n v="21630"/>
    <n v="1"/>
    <s v="Yes"/>
    <n v="11"/>
    <n v="3"/>
    <n v="2"/>
    <n v="2"/>
    <n v="6"/>
    <n v="3"/>
    <n v="3"/>
    <n v="6"/>
    <n v="5"/>
    <n v="1"/>
    <n v="4"/>
  </r>
  <r>
    <n v="26"/>
    <s v="No"/>
    <s v="Travel_Rarely"/>
    <n v="703"/>
    <s v="Sales"/>
    <n v="28"/>
    <n v="2"/>
    <s v="Marketing"/>
    <n v="1"/>
    <s v="Male"/>
    <n v="66"/>
    <n v="3"/>
    <n v="2"/>
    <s v="Sales Executive"/>
    <n v="2"/>
    <s v="Married"/>
    <n v="6272"/>
    <n v="7428"/>
    <n v="1"/>
    <s v="No"/>
    <n v="20"/>
    <n v="4"/>
    <n v="4"/>
    <n v="2"/>
    <n v="6"/>
    <n v="5"/>
    <n v="4"/>
    <n v="5"/>
    <n v="3"/>
    <n v="1"/>
    <n v="4"/>
  </r>
  <r>
    <n v="24"/>
    <s v="No"/>
    <s v="Travel_Rarely"/>
    <n v="823"/>
    <s v="Research &amp; Development"/>
    <n v="17"/>
    <n v="2"/>
    <s v="Other"/>
    <n v="4"/>
    <s v="Male"/>
    <n v="94"/>
    <n v="2"/>
    <n v="1"/>
    <s v="Laboratory Technician"/>
    <n v="2"/>
    <s v="Married"/>
    <n v="2127"/>
    <n v="9100"/>
    <n v="1"/>
    <s v="No"/>
    <n v="21"/>
    <n v="4"/>
    <n v="4"/>
    <n v="1"/>
    <n v="1"/>
    <n v="2"/>
    <n v="3"/>
    <n v="1"/>
    <n v="0"/>
    <n v="0"/>
    <n v="0"/>
  </r>
  <r>
    <n v="50"/>
    <s v="No"/>
    <s v="Travel_Frequently"/>
    <n v="1246"/>
    <s v="Human Resources"/>
    <n v="3"/>
    <n v="3"/>
    <s v="Medical"/>
    <n v="1"/>
    <s v="Male"/>
    <n v="99"/>
    <n v="3"/>
    <n v="5"/>
    <s v="Manager"/>
    <n v="2"/>
    <s v="Married"/>
    <n v="18200"/>
    <n v="7999"/>
    <n v="1"/>
    <s v="No"/>
    <n v="11"/>
    <n v="3"/>
    <n v="3"/>
    <n v="1"/>
    <n v="32"/>
    <n v="2"/>
    <n v="3"/>
    <n v="32"/>
    <n v="5"/>
    <n v="10"/>
    <n v="7"/>
  </r>
  <r>
    <n v="25"/>
    <s v="No"/>
    <s v="Travel_Rarely"/>
    <n v="622"/>
    <s v="Sales"/>
    <n v="13"/>
    <n v="1"/>
    <s v="Medical"/>
    <n v="2"/>
    <s v="Male"/>
    <n v="40"/>
    <n v="3"/>
    <n v="1"/>
    <s v="Sales Representative"/>
    <n v="3"/>
    <s v="Married"/>
    <n v="2096"/>
    <n v="26376"/>
    <n v="1"/>
    <s v="No"/>
    <n v="11"/>
    <n v="3"/>
    <n v="3"/>
    <n v="0"/>
    <n v="7"/>
    <n v="1"/>
    <n v="3"/>
    <n v="7"/>
    <n v="4"/>
    <n v="0"/>
    <n v="6"/>
  </r>
  <r>
    <n v="24"/>
    <s v="Yes"/>
    <s v="Travel_Frequently"/>
    <n v="1287"/>
    <s v="Research &amp; Development"/>
    <n v="7"/>
    <n v="3"/>
    <s v="Life Sciences"/>
    <n v="1"/>
    <s v="Female"/>
    <n v="55"/>
    <n v="3"/>
    <n v="1"/>
    <s v="Laboratory Technician"/>
    <n v="3"/>
    <s v="Married"/>
    <n v="2886"/>
    <n v="14168"/>
    <n v="1"/>
    <s v="Yes"/>
    <n v="16"/>
    <n v="3"/>
    <n v="4"/>
    <n v="1"/>
    <n v="6"/>
    <n v="4"/>
    <n v="3"/>
    <n v="6"/>
    <n v="3"/>
    <n v="1"/>
    <n v="2"/>
  </r>
  <r>
    <n v="30"/>
    <s v="Yes"/>
    <s v="Travel_Frequently"/>
    <n v="448"/>
    <s v="Sales"/>
    <n v="12"/>
    <n v="4"/>
    <s v="Life Sciences"/>
    <n v="2"/>
    <s v="Male"/>
    <n v="74"/>
    <n v="2"/>
    <n v="1"/>
    <s v="Sales Representative"/>
    <n v="1"/>
    <s v="Married"/>
    <n v="2033"/>
    <n v="14470"/>
    <n v="1"/>
    <s v="No"/>
    <n v="18"/>
    <n v="3"/>
    <n v="3"/>
    <n v="1"/>
    <n v="1"/>
    <n v="2"/>
    <n v="4"/>
    <n v="1"/>
    <n v="0"/>
    <n v="0"/>
    <n v="0"/>
  </r>
  <r>
    <n v="34"/>
    <s v="No"/>
    <s v="Travel_Rarely"/>
    <n v="254"/>
    <s v="Research &amp; Development"/>
    <n v="1"/>
    <n v="2"/>
    <s v="Life Sciences"/>
    <n v="2"/>
    <s v="Male"/>
    <n v="83"/>
    <n v="2"/>
    <n v="1"/>
    <s v="Research Scientist"/>
    <n v="4"/>
    <s v="Married"/>
    <n v="3622"/>
    <n v="22794"/>
    <n v="1"/>
    <s v="Yes"/>
    <n v="13"/>
    <n v="3"/>
    <n v="4"/>
    <n v="1"/>
    <n v="6"/>
    <n v="3"/>
    <n v="3"/>
    <n v="6"/>
    <n v="5"/>
    <n v="1"/>
    <n v="3"/>
  </r>
  <r>
    <n v="31"/>
    <s v="Yes"/>
    <s v="Travel_Rarely"/>
    <n v="1365"/>
    <s v="Sales"/>
    <n v="13"/>
    <n v="4"/>
    <s v="Medical"/>
    <n v="2"/>
    <s v="Male"/>
    <n v="46"/>
    <n v="3"/>
    <n v="2"/>
    <s v="Sales Executive"/>
    <n v="1"/>
    <s v="Divorced"/>
    <n v="4233"/>
    <n v="11512"/>
    <n v="2"/>
    <s v="No"/>
    <n v="17"/>
    <n v="3"/>
    <n v="3"/>
    <n v="0"/>
    <n v="9"/>
    <n v="2"/>
    <n v="1"/>
    <n v="3"/>
    <n v="1"/>
    <n v="1"/>
    <n v="2"/>
  </r>
  <r>
    <n v="35"/>
    <s v="No"/>
    <s v="Travel_Rarely"/>
    <n v="538"/>
    <s v="Research &amp; Development"/>
    <n v="25"/>
    <n v="2"/>
    <s v="Other"/>
    <n v="1"/>
    <s v="Male"/>
    <n v="54"/>
    <n v="2"/>
    <n v="2"/>
    <s v="Laboratory Technician"/>
    <n v="4"/>
    <s v="Single"/>
    <n v="3681"/>
    <n v="14004"/>
    <n v="4"/>
    <s v="No"/>
    <n v="14"/>
    <n v="3"/>
    <n v="4"/>
    <n v="0"/>
    <n v="9"/>
    <n v="3"/>
    <n v="3"/>
    <n v="3"/>
    <n v="2"/>
    <n v="0"/>
    <n v="2"/>
  </r>
  <r>
    <n v="31"/>
    <s v="No"/>
    <s v="Travel_Rarely"/>
    <n v="525"/>
    <s v="Sales"/>
    <n v="6"/>
    <n v="4"/>
    <s v="Medical"/>
    <n v="1"/>
    <s v="Male"/>
    <n v="66"/>
    <n v="4"/>
    <n v="2"/>
    <s v="Sales Executive"/>
    <n v="4"/>
    <s v="Divorced"/>
    <n v="5460"/>
    <n v="6219"/>
    <n v="4"/>
    <s v="No"/>
    <n v="22"/>
    <n v="4"/>
    <n v="4"/>
    <n v="2"/>
    <n v="13"/>
    <n v="4"/>
    <n v="4"/>
    <n v="7"/>
    <n v="7"/>
    <n v="5"/>
    <n v="7"/>
  </r>
  <r>
    <n v="27"/>
    <s v="No"/>
    <s v="Travel_Rarely"/>
    <n v="798"/>
    <s v="Research &amp; Development"/>
    <n v="6"/>
    <n v="4"/>
    <s v="Medical"/>
    <n v="1"/>
    <s v="Female"/>
    <n v="66"/>
    <n v="2"/>
    <n v="1"/>
    <s v="Research Scientist"/>
    <n v="3"/>
    <s v="Divorced"/>
    <n v="2187"/>
    <n v="5013"/>
    <n v="0"/>
    <s v="No"/>
    <n v="12"/>
    <n v="3"/>
    <n v="3"/>
    <n v="2"/>
    <n v="6"/>
    <n v="5"/>
    <n v="2"/>
    <n v="5"/>
    <n v="3"/>
    <n v="0"/>
    <n v="3"/>
  </r>
  <r>
    <n v="37"/>
    <s v="No"/>
    <s v="Travel_Rarely"/>
    <n v="558"/>
    <s v="Sales"/>
    <n v="2"/>
    <n v="3"/>
    <s v="Marketing"/>
    <n v="4"/>
    <s v="Male"/>
    <n v="75"/>
    <n v="3"/>
    <n v="2"/>
    <s v="Sales Executive"/>
    <n v="3"/>
    <s v="Married"/>
    <n v="9602"/>
    <n v="3010"/>
    <n v="4"/>
    <s v="Yes"/>
    <n v="11"/>
    <n v="3"/>
    <n v="3"/>
    <n v="1"/>
    <n v="17"/>
    <n v="3"/>
    <n v="2"/>
    <n v="3"/>
    <n v="0"/>
    <n v="1"/>
    <n v="0"/>
  </r>
  <r>
    <n v="20"/>
    <s v="No"/>
    <s v="Travel_Rarely"/>
    <n v="959"/>
    <s v="Research &amp; Development"/>
    <n v="1"/>
    <n v="3"/>
    <s v="Life Sciences"/>
    <n v="4"/>
    <s v="Female"/>
    <n v="83"/>
    <n v="2"/>
    <n v="1"/>
    <s v="Research Scientist"/>
    <n v="2"/>
    <s v="Single"/>
    <n v="2836"/>
    <n v="11757"/>
    <n v="1"/>
    <s v="No"/>
    <n v="13"/>
    <n v="3"/>
    <n v="4"/>
    <n v="0"/>
    <n v="1"/>
    <n v="0"/>
    <n v="4"/>
    <n v="1"/>
    <n v="0"/>
    <n v="0"/>
    <n v="0"/>
  </r>
  <r>
    <n v="42"/>
    <s v="No"/>
    <s v="Travel_Rarely"/>
    <n v="622"/>
    <s v="Research &amp; Development"/>
    <n v="2"/>
    <n v="4"/>
    <s v="Life Sciences"/>
    <n v="3"/>
    <s v="Female"/>
    <n v="81"/>
    <n v="3"/>
    <n v="2"/>
    <s v="Healthcare Representative"/>
    <n v="4"/>
    <s v="Married"/>
    <n v="4089"/>
    <n v="5718"/>
    <n v="1"/>
    <s v="No"/>
    <n v="13"/>
    <n v="3"/>
    <n v="2"/>
    <n v="2"/>
    <n v="10"/>
    <n v="4"/>
    <n v="3"/>
    <n v="10"/>
    <n v="2"/>
    <n v="2"/>
    <n v="2"/>
  </r>
  <r>
    <n v="43"/>
    <s v="No"/>
    <s v="Travel_Rarely"/>
    <n v="782"/>
    <s v="Research &amp; Development"/>
    <n v="6"/>
    <n v="4"/>
    <s v="Other"/>
    <n v="2"/>
    <s v="Male"/>
    <n v="50"/>
    <n v="2"/>
    <n v="4"/>
    <s v="Research Director"/>
    <n v="4"/>
    <s v="Divorced"/>
    <n v="16627"/>
    <n v="2671"/>
    <n v="4"/>
    <s v="Yes"/>
    <n v="14"/>
    <n v="3"/>
    <n v="3"/>
    <n v="1"/>
    <n v="21"/>
    <n v="3"/>
    <n v="2"/>
    <n v="1"/>
    <n v="0"/>
    <n v="0"/>
    <n v="0"/>
  </r>
  <r>
    <n v="38"/>
    <s v="No"/>
    <s v="Travel_Rarely"/>
    <n v="362"/>
    <s v="Research &amp; Development"/>
    <n v="1"/>
    <n v="1"/>
    <s v="Life Sciences"/>
    <n v="3"/>
    <s v="Female"/>
    <n v="43"/>
    <n v="3"/>
    <n v="1"/>
    <s v="Research Scientist"/>
    <n v="1"/>
    <s v="Single"/>
    <n v="2619"/>
    <n v="14561"/>
    <n v="3"/>
    <s v="No"/>
    <n v="17"/>
    <n v="3"/>
    <n v="4"/>
    <n v="0"/>
    <n v="8"/>
    <n v="3"/>
    <n v="2"/>
    <n v="0"/>
    <n v="0"/>
    <n v="0"/>
    <n v="0"/>
  </r>
  <r>
    <n v="43"/>
    <s v="No"/>
    <s v="Travel_Frequently"/>
    <n v="1001"/>
    <s v="Research &amp; Development"/>
    <n v="9"/>
    <n v="5"/>
    <s v="Medical"/>
    <n v="4"/>
    <s v="Male"/>
    <n v="72"/>
    <n v="3"/>
    <n v="2"/>
    <s v="Laboratory Technician"/>
    <n v="3"/>
    <s v="Divorced"/>
    <n v="5679"/>
    <n v="19627"/>
    <n v="3"/>
    <s v="Yes"/>
    <n v="13"/>
    <n v="3"/>
    <n v="2"/>
    <n v="1"/>
    <n v="10"/>
    <n v="3"/>
    <n v="3"/>
    <n v="8"/>
    <n v="7"/>
    <n v="4"/>
    <n v="7"/>
  </r>
  <r>
    <n v="48"/>
    <s v="No"/>
    <s v="Travel_Rarely"/>
    <n v="1236"/>
    <s v="Research &amp; Development"/>
    <n v="1"/>
    <n v="4"/>
    <s v="Life Sciences"/>
    <n v="4"/>
    <s v="Female"/>
    <n v="40"/>
    <n v="2"/>
    <n v="4"/>
    <s v="Manager"/>
    <n v="1"/>
    <s v="Married"/>
    <n v="15402"/>
    <n v="17997"/>
    <n v="7"/>
    <s v="No"/>
    <n v="11"/>
    <n v="3"/>
    <n v="1"/>
    <n v="1"/>
    <n v="21"/>
    <n v="3"/>
    <n v="1"/>
    <n v="3"/>
    <n v="2"/>
    <n v="0"/>
    <n v="2"/>
  </r>
  <r>
    <n v="44"/>
    <s v="No"/>
    <s v="Travel_Rarely"/>
    <n v="1112"/>
    <s v="Human Resources"/>
    <n v="1"/>
    <n v="4"/>
    <s v="Life Sciences"/>
    <n v="1"/>
    <s v="Female"/>
    <n v="50"/>
    <n v="2"/>
    <n v="2"/>
    <s v="Human Resources"/>
    <n v="3"/>
    <s v="Single"/>
    <n v="5985"/>
    <n v="26894"/>
    <n v="4"/>
    <s v="No"/>
    <n v="11"/>
    <n v="3"/>
    <n v="2"/>
    <n v="0"/>
    <n v="10"/>
    <n v="1"/>
    <n v="4"/>
    <n v="2"/>
    <n v="2"/>
    <n v="0"/>
    <n v="2"/>
  </r>
  <r>
    <n v="34"/>
    <s v="No"/>
    <s v="Travel_Rarely"/>
    <n v="204"/>
    <s v="Sales"/>
    <n v="14"/>
    <n v="3"/>
    <s v="Technical Degree"/>
    <n v="3"/>
    <s v="Female"/>
    <n v="31"/>
    <n v="3"/>
    <n v="1"/>
    <s v="Sales Representative"/>
    <n v="3"/>
    <s v="Divorced"/>
    <n v="2579"/>
    <n v="2912"/>
    <n v="1"/>
    <s v="Yes"/>
    <n v="18"/>
    <n v="3"/>
    <n v="4"/>
    <n v="2"/>
    <n v="8"/>
    <n v="3"/>
    <n v="3"/>
    <n v="8"/>
    <n v="2"/>
    <n v="0"/>
    <n v="6"/>
  </r>
  <r>
    <n v="27"/>
    <s v="Yes"/>
    <s v="Travel_Rarely"/>
    <n v="1420"/>
    <s v="Sales"/>
    <n v="2"/>
    <n v="1"/>
    <s v="Marketing"/>
    <n v="3"/>
    <s v="Male"/>
    <n v="85"/>
    <n v="3"/>
    <n v="1"/>
    <s v="Sales Representative"/>
    <n v="1"/>
    <s v="Divorced"/>
    <n v="3041"/>
    <n v="16346"/>
    <n v="0"/>
    <s v="No"/>
    <n v="11"/>
    <n v="3"/>
    <n v="2"/>
    <n v="1"/>
    <n v="5"/>
    <n v="3"/>
    <n v="3"/>
    <n v="4"/>
    <n v="3"/>
    <n v="0"/>
    <n v="2"/>
  </r>
  <r>
    <n v="21"/>
    <s v="No"/>
    <s v="Travel_Rarely"/>
    <n v="1343"/>
    <s v="Sales"/>
    <n v="22"/>
    <n v="1"/>
    <s v="Technical Degree"/>
    <n v="3"/>
    <s v="Male"/>
    <n v="49"/>
    <n v="3"/>
    <n v="1"/>
    <s v="Sales Representative"/>
    <n v="3"/>
    <s v="Single"/>
    <n v="3447"/>
    <n v="24444"/>
    <n v="1"/>
    <s v="No"/>
    <n v="11"/>
    <n v="3"/>
    <n v="3"/>
    <n v="0"/>
    <n v="3"/>
    <n v="2"/>
    <n v="3"/>
    <n v="3"/>
    <n v="2"/>
    <n v="1"/>
    <n v="2"/>
  </r>
  <r>
    <n v="44"/>
    <s v="No"/>
    <s v="Travel_Rarely"/>
    <n v="1315"/>
    <s v="Research &amp; Development"/>
    <n v="3"/>
    <n v="4"/>
    <s v="Other"/>
    <n v="4"/>
    <s v="Male"/>
    <n v="35"/>
    <n v="3"/>
    <n v="5"/>
    <s v="Manager"/>
    <n v="4"/>
    <s v="Married"/>
    <n v="19513"/>
    <n v="9358"/>
    <n v="4"/>
    <s v="Yes"/>
    <n v="12"/>
    <n v="3"/>
    <n v="1"/>
    <n v="1"/>
    <n v="26"/>
    <n v="2"/>
    <n v="4"/>
    <n v="2"/>
    <n v="2"/>
    <n v="0"/>
    <n v="1"/>
  </r>
  <r>
    <n v="22"/>
    <s v="No"/>
    <s v="Travel_Rarely"/>
    <n v="604"/>
    <s v="Research &amp; Development"/>
    <n v="6"/>
    <n v="1"/>
    <s v="Medical"/>
    <n v="1"/>
    <s v="Male"/>
    <n v="69"/>
    <n v="3"/>
    <n v="1"/>
    <s v="Research Scientist"/>
    <n v="3"/>
    <s v="Married"/>
    <n v="2773"/>
    <n v="12145"/>
    <n v="0"/>
    <s v="No"/>
    <n v="20"/>
    <n v="4"/>
    <n v="4"/>
    <n v="0"/>
    <n v="3"/>
    <n v="3"/>
    <n v="3"/>
    <n v="2"/>
    <n v="2"/>
    <n v="2"/>
    <n v="2"/>
  </r>
  <r>
    <n v="33"/>
    <s v="No"/>
    <s v="Travel_Rarely"/>
    <n v="1216"/>
    <s v="Sales"/>
    <n v="8"/>
    <n v="4"/>
    <s v="Marketing"/>
    <n v="3"/>
    <s v="Male"/>
    <n v="39"/>
    <n v="3"/>
    <n v="2"/>
    <s v="Sales Executive"/>
    <n v="3"/>
    <s v="Divorced"/>
    <n v="7104"/>
    <n v="20431"/>
    <n v="0"/>
    <s v="No"/>
    <n v="12"/>
    <n v="3"/>
    <n v="4"/>
    <n v="0"/>
    <n v="6"/>
    <n v="3"/>
    <n v="3"/>
    <n v="5"/>
    <n v="0"/>
    <n v="1"/>
    <n v="2"/>
  </r>
  <r>
    <n v="32"/>
    <s v="No"/>
    <s v="Travel_Rarely"/>
    <n v="646"/>
    <s v="Research &amp; Development"/>
    <n v="9"/>
    <n v="4"/>
    <s v="Life Sciences"/>
    <n v="1"/>
    <s v="Female"/>
    <n v="92"/>
    <n v="3"/>
    <n v="2"/>
    <s v="Research Scientist"/>
    <n v="4"/>
    <s v="Married"/>
    <n v="6322"/>
    <n v="18089"/>
    <n v="1"/>
    <s v="Yes"/>
    <n v="12"/>
    <n v="3"/>
    <n v="4"/>
    <n v="1"/>
    <n v="6"/>
    <n v="2"/>
    <n v="2"/>
    <n v="6"/>
    <n v="4"/>
    <n v="0"/>
    <n v="5"/>
  </r>
  <r>
    <n v="30"/>
    <s v="No"/>
    <s v="Travel_Frequently"/>
    <n v="160"/>
    <s v="Research &amp; Development"/>
    <n v="3"/>
    <n v="3"/>
    <s v="Medical"/>
    <n v="3"/>
    <s v="Female"/>
    <n v="71"/>
    <n v="3"/>
    <n v="1"/>
    <s v="Research Scientist"/>
    <n v="3"/>
    <s v="Divorced"/>
    <n v="2083"/>
    <n v="22653"/>
    <n v="1"/>
    <s v="No"/>
    <n v="20"/>
    <n v="4"/>
    <n v="3"/>
    <n v="1"/>
    <n v="1"/>
    <n v="2"/>
    <n v="3"/>
    <n v="1"/>
    <n v="0"/>
    <n v="0"/>
    <n v="0"/>
  </r>
  <r>
    <n v="53"/>
    <s v="No"/>
    <s v="Travel_Rarely"/>
    <n v="238"/>
    <s v="Sales"/>
    <n v="1"/>
    <n v="1"/>
    <s v="Medical"/>
    <n v="4"/>
    <s v="Female"/>
    <n v="34"/>
    <n v="3"/>
    <n v="2"/>
    <s v="Sales Executive"/>
    <n v="1"/>
    <s v="Single"/>
    <n v="8381"/>
    <n v="7507"/>
    <n v="7"/>
    <s v="No"/>
    <n v="20"/>
    <n v="4"/>
    <n v="4"/>
    <n v="0"/>
    <n v="18"/>
    <n v="2"/>
    <n v="4"/>
    <n v="14"/>
    <n v="7"/>
    <n v="8"/>
    <n v="10"/>
  </r>
  <r>
    <n v="34"/>
    <s v="No"/>
    <s v="Travel_Rarely"/>
    <n v="1397"/>
    <s v="Research &amp; Development"/>
    <n v="1"/>
    <n v="5"/>
    <s v="Life Sciences"/>
    <n v="2"/>
    <s v="Male"/>
    <n v="42"/>
    <n v="3"/>
    <n v="1"/>
    <s v="Research Scientist"/>
    <n v="4"/>
    <s v="Married"/>
    <n v="2691"/>
    <n v="7660"/>
    <n v="1"/>
    <s v="No"/>
    <n v="12"/>
    <n v="3"/>
    <n v="4"/>
    <n v="1"/>
    <n v="10"/>
    <n v="4"/>
    <n v="2"/>
    <n v="10"/>
    <n v="9"/>
    <n v="8"/>
    <n v="8"/>
  </r>
  <r>
    <n v="45"/>
    <s v="Yes"/>
    <s v="Travel_Frequently"/>
    <n v="306"/>
    <s v="Sales"/>
    <n v="26"/>
    <n v="4"/>
    <s v="Life Sciences"/>
    <n v="1"/>
    <s v="Female"/>
    <n v="100"/>
    <n v="3"/>
    <n v="2"/>
    <s v="Sales Executive"/>
    <n v="1"/>
    <s v="Married"/>
    <n v="4286"/>
    <n v="5630"/>
    <n v="2"/>
    <s v="No"/>
    <n v="14"/>
    <n v="3"/>
    <n v="4"/>
    <n v="2"/>
    <n v="5"/>
    <n v="4"/>
    <n v="3"/>
    <n v="1"/>
    <n v="1"/>
    <n v="0"/>
    <n v="0"/>
  </r>
  <r>
    <n v="26"/>
    <s v="No"/>
    <s v="Travel_Rarely"/>
    <n v="991"/>
    <s v="Research &amp; Development"/>
    <n v="6"/>
    <n v="3"/>
    <s v="Life Sciences"/>
    <n v="3"/>
    <s v="Female"/>
    <n v="71"/>
    <n v="3"/>
    <n v="1"/>
    <s v="Laboratory Technician"/>
    <n v="4"/>
    <s v="Married"/>
    <n v="2659"/>
    <n v="17759"/>
    <n v="1"/>
    <s v="Yes"/>
    <n v="13"/>
    <n v="3"/>
    <n v="3"/>
    <n v="1"/>
    <n v="3"/>
    <n v="2"/>
    <n v="3"/>
    <n v="3"/>
    <n v="2"/>
    <n v="0"/>
    <n v="2"/>
  </r>
  <r>
    <n v="37"/>
    <s v="No"/>
    <s v="Travel_Rarely"/>
    <n v="482"/>
    <s v="Research &amp; Development"/>
    <n v="3"/>
    <n v="3"/>
    <s v="Other"/>
    <n v="3"/>
    <s v="Male"/>
    <n v="36"/>
    <n v="3"/>
    <n v="3"/>
    <s v="Manufacturing Director"/>
    <n v="3"/>
    <s v="Married"/>
    <n v="9434"/>
    <n v="9606"/>
    <n v="1"/>
    <s v="No"/>
    <n v="15"/>
    <n v="3"/>
    <n v="3"/>
    <n v="1"/>
    <n v="10"/>
    <n v="2"/>
    <n v="3"/>
    <n v="10"/>
    <n v="7"/>
    <n v="7"/>
    <n v="8"/>
  </r>
  <r>
    <n v="29"/>
    <s v="No"/>
    <s v="Travel_Rarely"/>
    <n v="1176"/>
    <s v="Sales"/>
    <n v="3"/>
    <n v="2"/>
    <s v="Medical"/>
    <n v="2"/>
    <s v="Female"/>
    <n v="62"/>
    <n v="3"/>
    <n v="2"/>
    <s v="Sales Executive"/>
    <n v="3"/>
    <s v="Married"/>
    <n v="5561"/>
    <n v="3487"/>
    <n v="1"/>
    <s v="No"/>
    <n v="14"/>
    <n v="3"/>
    <n v="1"/>
    <n v="1"/>
    <n v="6"/>
    <n v="5"/>
    <n v="2"/>
    <n v="6"/>
    <n v="0"/>
    <n v="1"/>
    <n v="2"/>
  </r>
  <r>
    <n v="35"/>
    <s v="No"/>
    <s v="Travel_Rarely"/>
    <n v="1017"/>
    <s v="Research &amp; Development"/>
    <n v="6"/>
    <n v="4"/>
    <s v="Life Sciences"/>
    <n v="2"/>
    <s v="Male"/>
    <n v="82"/>
    <n v="1"/>
    <n v="2"/>
    <s v="Research Scientist"/>
    <n v="4"/>
    <s v="Single"/>
    <n v="6646"/>
    <n v="19368"/>
    <n v="1"/>
    <s v="No"/>
    <n v="13"/>
    <n v="3"/>
    <n v="2"/>
    <n v="0"/>
    <n v="17"/>
    <n v="3"/>
    <n v="3"/>
    <n v="17"/>
    <n v="11"/>
    <n v="11"/>
    <n v="8"/>
  </r>
  <r>
    <n v="33"/>
    <s v="No"/>
    <s v="Travel_Frequently"/>
    <n v="1296"/>
    <s v="Research &amp; Development"/>
    <n v="6"/>
    <n v="3"/>
    <s v="Life Sciences"/>
    <n v="3"/>
    <s v="Male"/>
    <n v="30"/>
    <n v="3"/>
    <n v="2"/>
    <s v="Healthcare Representative"/>
    <n v="4"/>
    <s v="Divorced"/>
    <n v="7725"/>
    <n v="5335"/>
    <n v="3"/>
    <s v="No"/>
    <n v="23"/>
    <n v="4"/>
    <n v="3"/>
    <n v="1"/>
    <n v="15"/>
    <n v="2"/>
    <n v="1"/>
    <n v="13"/>
    <n v="11"/>
    <n v="4"/>
    <n v="7"/>
  </r>
  <r>
    <n v="54"/>
    <s v="No"/>
    <s v="Travel_Rarely"/>
    <n v="397"/>
    <s v="Human Resources"/>
    <n v="19"/>
    <n v="4"/>
    <s v="Medical"/>
    <n v="3"/>
    <s v="Male"/>
    <n v="88"/>
    <n v="3"/>
    <n v="3"/>
    <s v="Human Resources"/>
    <n v="2"/>
    <s v="Married"/>
    <n v="10725"/>
    <n v="6729"/>
    <n v="2"/>
    <s v="No"/>
    <n v="15"/>
    <n v="3"/>
    <n v="3"/>
    <n v="1"/>
    <n v="16"/>
    <n v="1"/>
    <n v="4"/>
    <n v="9"/>
    <n v="7"/>
    <n v="7"/>
    <n v="1"/>
  </r>
  <r>
    <n v="36"/>
    <s v="No"/>
    <s v="Travel_Rarely"/>
    <n v="913"/>
    <s v="Research &amp; Development"/>
    <n v="9"/>
    <n v="2"/>
    <s v="Medical"/>
    <n v="2"/>
    <s v="Male"/>
    <n v="48"/>
    <n v="2"/>
    <n v="2"/>
    <s v="Manufacturing Director"/>
    <n v="2"/>
    <s v="Divorced"/>
    <n v="8847"/>
    <n v="13934"/>
    <n v="2"/>
    <s v="Yes"/>
    <n v="11"/>
    <n v="3"/>
    <n v="3"/>
    <n v="1"/>
    <n v="13"/>
    <n v="2"/>
    <n v="3"/>
    <n v="3"/>
    <n v="2"/>
    <n v="0"/>
    <n v="2"/>
  </r>
  <r>
    <n v="27"/>
    <s v="No"/>
    <s v="Travel_Rarely"/>
    <n v="1115"/>
    <s v="Research &amp; Development"/>
    <n v="3"/>
    <n v="4"/>
    <s v="Medical"/>
    <n v="1"/>
    <s v="Male"/>
    <n v="54"/>
    <n v="2"/>
    <n v="1"/>
    <s v="Research Scientist"/>
    <n v="4"/>
    <s v="Single"/>
    <n v="2045"/>
    <n v="15174"/>
    <n v="0"/>
    <s v="No"/>
    <n v="13"/>
    <n v="3"/>
    <n v="4"/>
    <n v="0"/>
    <n v="5"/>
    <n v="0"/>
    <n v="3"/>
    <n v="4"/>
    <n v="2"/>
    <n v="1"/>
    <n v="1"/>
  </r>
  <r>
    <n v="20"/>
    <s v="Yes"/>
    <s v="Travel_Rarely"/>
    <n v="1362"/>
    <s v="Research &amp; Development"/>
    <n v="10"/>
    <n v="1"/>
    <s v="Medical"/>
    <n v="4"/>
    <s v="Male"/>
    <n v="32"/>
    <n v="3"/>
    <n v="1"/>
    <s v="Research Scientist"/>
    <n v="3"/>
    <s v="Single"/>
    <n v="1009"/>
    <n v="26999"/>
    <n v="1"/>
    <s v="Yes"/>
    <n v="11"/>
    <n v="3"/>
    <n v="4"/>
    <n v="0"/>
    <n v="1"/>
    <n v="5"/>
    <n v="3"/>
    <n v="1"/>
    <n v="0"/>
    <n v="1"/>
    <n v="1"/>
  </r>
  <r>
    <n v="33"/>
    <s v="Yes"/>
    <s v="Travel_Frequently"/>
    <n v="1076"/>
    <s v="Research &amp; Development"/>
    <n v="3"/>
    <n v="3"/>
    <s v="Life Sciences"/>
    <n v="1"/>
    <s v="Male"/>
    <n v="70"/>
    <n v="3"/>
    <n v="1"/>
    <s v="Research Scientist"/>
    <n v="1"/>
    <s v="Single"/>
    <n v="3348"/>
    <n v="3164"/>
    <n v="1"/>
    <s v="Yes"/>
    <n v="11"/>
    <n v="3"/>
    <n v="1"/>
    <n v="0"/>
    <n v="10"/>
    <n v="3"/>
    <n v="3"/>
    <n v="10"/>
    <n v="8"/>
    <n v="9"/>
    <n v="7"/>
  </r>
  <r>
    <n v="35"/>
    <s v="No"/>
    <s v="Non-Travel"/>
    <n v="727"/>
    <s v="Research &amp; Development"/>
    <n v="3"/>
    <n v="3"/>
    <s v="Life Sciences"/>
    <n v="3"/>
    <s v="Male"/>
    <n v="41"/>
    <n v="2"/>
    <n v="1"/>
    <s v="Laboratory Technician"/>
    <n v="3"/>
    <s v="Married"/>
    <n v="1281"/>
    <n v="16900"/>
    <n v="1"/>
    <s v="No"/>
    <n v="18"/>
    <n v="3"/>
    <n v="3"/>
    <n v="2"/>
    <n v="1"/>
    <n v="3"/>
    <n v="3"/>
    <n v="1"/>
    <n v="0"/>
    <n v="0"/>
    <n v="0"/>
  </r>
  <r>
    <n v="23"/>
    <s v="No"/>
    <s v="Travel_Rarely"/>
    <n v="885"/>
    <s v="Research &amp; Development"/>
    <n v="4"/>
    <n v="3"/>
    <s v="Medical"/>
    <n v="1"/>
    <s v="Male"/>
    <n v="58"/>
    <n v="4"/>
    <n v="1"/>
    <s v="Research Scientist"/>
    <n v="1"/>
    <s v="Married"/>
    <n v="2819"/>
    <n v="8544"/>
    <n v="2"/>
    <s v="No"/>
    <n v="16"/>
    <n v="3"/>
    <n v="1"/>
    <n v="1"/>
    <n v="5"/>
    <n v="3"/>
    <n v="4"/>
    <n v="3"/>
    <n v="2"/>
    <n v="0"/>
    <n v="2"/>
  </r>
  <r>
    <n v="25"/>
    <s v="No"/>
    <s v="Travel_Rarely"/>
    <n v="810"/>
    <s v="Sales"/>
    <n v="8"/>
    <n v="3"/>
    <s v="Life Sciences"/>
    <n v="4"/>
    <s v="Male"/>
    <n v="57"/>
    <n v="4"/>
    <n v="2"/>
    <s v="Sales Executive"/>
    <n v="2"/>
    <s v="Married"/>
    <n v="4851"/>
    <n v="15678"/>
    <n v="0"/>
    <s v="No"/>
    <n v="22"/>
    <n v="4"/>
    <n v="3"/>
    <n v="1"/>
    <n v="4"/>
    <n v="4"/>
    <n v="3"/>
    <n v="3"/>
    <n v="2"/>
    <n v="1"/>
    <n v="2"/>
  </r>
  <r>
    <n v="38"/>
    <s v="No"/>
    <s v="Travel_Rarely"/>
    <n v="243"/>
    <s v="Sales"/>
    <n v="7"/>
    <n v="4"/>
    <s v="Marketing"/>
    <n v="4"/>
    <s v="Female"/>
    <n v="46"/>
    <n v="2"/>
    <n v="2"/>
    <s v="Sales Executive"/>
    <n v="4"/>
    <s v="Single"/>
    <n v="4028"/>
    <n v="7791"/>
    <n v="0"/>
    <s v="No"/>
    <n v="20"/>
    <n v="4"/>
    <n v="1"/>
    <n v="0"/>
    <n v="8"/>
    <n v="2"/>
    <n v="3"/>
    <n v="7"/>
    <n v="7"/>
    <n v="0"/>
    <n v="5"/>
  </r>
  <r>
    <n v="29"/>
    <s v="No"/>
    <s v="Travel_Frequently"/>
    <n v="806"/>
    <s v="Research &amp; Development"/>
    <n v="1"/>
    <n v="4"/>
    <s v="Life Sciences"/>
    <n v="2"/>
    <s v="Male"/>
    <n v="76"/>
    <n v="1"/>
    <n v="1"/>
    <s v="Research Scientist"/>
    <n v="4"/>
    <s v="Divorced"/>
    <n v="2720"/>
    <n v="18959"/>
    <n v="1"/>
    <s v="No"/>
    <n v="18"/>
    <n v="3"/>
    <n v="4"/>
    <n v="1"/>
    <n v="10"/>
    <n v="5"/>
    <n v="3"/>
    <n v="10"/>
    <n v="7"/>
    <n v="2"/>
    <n v="8"/>
  </r>
  <r>
    <n v="48"/>
    <s v="No"/>
    <s v="Travel_Rarely"/>
    <n v="817"/>
    <s v="Sales"/>
    <n v="2"/>
    <n v="1"/>
    <s v="Marketing"/>
    <n v="2"/>
    <s v="Male"/>
    <n v="56"/>
    <n v="4"/>
    <n v="2"/>
    <s v="Sales Executive"/>
    <n v="2"/>
    <s v="Married"/>
    <n v="8120"/>
    <n v="18597"/>
    <n v="3"/>
    <s v="No"/>
    <n v="12"/>
    <n v="3"/>
    <n v="4"/>
    <n v="0"/>
    <n v="12"/>
    <n v="3"/>
    <n v="3"/>
    <n v="2"/>
    <n v="2"/>
    <n v="2"/>
    <n v="2"/>
  </r>
  <r>
    <n v="27"/>
    <s v="No"/>
    <s v="Travel_Frequently"/>
    <n v="1410"/>
    <s v="Sales"/>
    <n v="3"/>
    <n v="1"/>
    <s v="Medical"/>
    <n v="4"/>
    <s v="Female"/>
    <n v="71"/>
    <n v="4"/>
    <n v="2"/>
    <s v="Sales Executive"/>
    <n v="4"/>
    <s v="Divorced"/>
    <n v="4647"/>
    <n v="16673"/>
    <n v="1"/>
    <s v="Yes"/>
    <n v="20"/>
    <n v="4"/>
    <n v="2"/>
    <n v="2"/>
    <n v="6"/>
    <n v="3"/>
    <n v="3"/>
    <n v="6"/>
    <n v="5"/>
    <n v="0"/>
    <n v="4"/>
  </r>
  <r>
    <n v="37"/>
    <s v="No"/>
    <s v="Travel_Rarely"/>
    <n v="1225"/>
    <s v="Research &amp; Development"/>
    <n v="10"/>
    <n v="2"/>
    <s v="Life Sciences"/>
    <n v="4"/>
    <s v="Male"/>
    <n v="80"/>
    <n v="4"/>
    <n v="1"/>
    <s v="Research Scientist"/>
    <n v="4"/>
    <s v="Single"/>
    <n v="4680"/>
    <n v="15232"/>
    <n v="3"/>
    <s v="No"/>
    <n v="17"/>
    <n v="3"/>
    <n v="1"/>
    <n v="0"/>
    <n v="4"/>
    <n v="2"/>
    <n v="3"/>
    <n v="1"/>
    <n v="0"/>
    <n v="0"/>
    <n v="0"/>
  </r>
  <r>
    <n v="50"/>
    <s v="No"/>
    <s v="Travel_Rarely"/>
    <n v="1207"/>
    <s v="Research &amp; Development"/>
    <n v="28"/>
    <n v="1"/>
    <s v="Medical"/>
    <n v="4"/>
    <s v="Male"/>
    <n v="74"/>
    <n v="4"/>
    <n v="1"/>
    <s v="Laboratory Technician"/>
    <n v="3"/>
    <s v="Married"/>
    <n v="3221"/>
    <n v="3297"/>
    <n v="1"/>
    <s v="Yes"/>
    <n v="11"/>
    <n v="3"/>
    <n v="3"/>
    <n v="3"/>
    <n v="20"/>
    <n v="3"/>
    <n v="3"/>
    <n v="20"/>
    <n v="8"/>
    <n v="3"/>
    <n v="8"/>
  </r>
  <r>
    <n v="34"/>
    <s v="No"/>
    <s v="Travel_Rarely"/>
    <n v="1442"/>
    <s v="Research &amp; Development"/>
    <n v="9"/>
    <n v="3"/>
    <s v="Medical"/>
    <n v="4"/>
    <s v="Female"/>
    <n v="46"/>
    <n v="2"/>
    <n v="3"/>
    <s v="Healthcare Representative"/>
    <n v="2"/>
    <s v="Single"/>
    <n v="8621"/>
    <n v="17654"/>
    <n v="1"/>
    <s v="No"/>
    <n v="14"/>
    <n v="3"/>
    <n v="2"/>
    <n v="0"/>
    <n v="9"/>
    <n v="3"/>
    <n v="4"/>
    <n v="8"/>
    <n v="7"/>
    <n v="7"/>
    <n v="7"/>
  </r>
  <r>
    <n v="24"/>
    <s v="Yes"/>
    <s v="Travel_Rarely"/>
    <n v="693"/>
    <s v="Sales"/>
    <n v="3"/>
    <n v="2"/>
    <s v="Life Sciences"/>
    <n v="1"/>
    <s v="Female"/>
    <n v="65"/>
    <n v="3"/>
    <n v="2"/>
    <s v="Sales Executive"/>
    <n v="3"/>
    <s v="Single"/>
    <n v="4577"/>
    <n v="24785"/>
    <n v="9"/>
    <s v="No"/>
    <n v="14"/>
    <n v="3"/>
    <n v="1"/>
    <n v="0"/>
    <n v="4"/>
    <n v="3"/>
    <n v="3"/>
    <n v="2"/>
    <n v="2"/>
    <n v="2"/>
    <n v="0"/>
  </r>
  <r>
    <n v="39"/>
    <s v="No"/>
    <s v="Travel_Rarely"/>
    <n v="408"/>
    <s v="Research &amp; Development"/>
    <n v="2"/>
    <n v="4"/>
    <s v="Technical Degree"/>
    <n v="4"/>
    <s v="Female"/>
    <n v="80"/>
    <n v="2"/>
    <n v="2"/>
    <s v="Healthcare Representative"/>
    <n v="3"/>
    <s v="Single"/>
    <n v="4553"/>
    <n v="20978"/>
    <n v="1"/>
    <s v="No"/>
    <n v="11"/>
    <n v="3"/>
    <n v="1"/>
    <n v="0"/>
    <n v="20"/>
    <n v="4"/>
    <n v="3"/>
    <n v="20"/>
    <n v="7"/>
    <n v="11"/>
    <n v="10"/>
  </r>
  <r>
    <n v="32"/>
    <s v="No"/>
    <s v="Travel_Rarely"/>
    <n v="929"/>
    <s v="Sales"/>
    <n v="10"/>
    <n v="3"/>
    <s v="Marketing"/>
    <n v="4"/>
    <s v="Male"/>
    <n v="55"/>
    <n v="3"/>
    <n v="2"/>
    <s v="Sales Executive"/>
    <n v="4"/>
    <s v="Single"/>
    <n v="5396"/>
    <n v="21703"/>
    <n v="1"/>
    <s v="No"/>
    <n v="12"/>
    <n v="3"/>
    <n v="4"/>
    <n v="0"/>
    <n v="10"/>
    <n v="2"/>
    <n v="2"/>
    <n v="10"/>
    <n v="7"/>
    <n v="0"/>
    <n v="8"/>
  </r>
  <r>
    <n v="50"/>
    <s v="Yes"/>
    <s v="Travel_Frequently"/>
    <n v="562"/>
    <s v="Sales"/>
    <n v="8"/>
    <n v="2"/>
    <s v="Technical Degree"/>
    <n v="2"/>
    <s v="Male"/>
    <n v="50"/>
    <n v="3"/>
    <n v="2"/>
    <s v="Sales Executive"/>
    <n v="3"/>
    <s v="Married"/>
    <n v="6796"/>
    <n v="23452"/>
    <n v="3"/>
    <s v="Yes"/>
    <n v="14"/>
    <n v="3"/>
    <n v="1"/>
    <n v="1"/>
    <n v="18"/>
    <n v="4"/>
    <n v="3"/>
    <n v="4"/>
    <n v="3"/>
    <n v="1"/>
    <n v="3"/>
  </r>
  <r>
    <n v="38"/>
    <s v="No"/>
    <s v="Travel_Rarely"/>
    <n v="827"/>
    <s v="Research &amp; Development"/>
    <n v="1"/>
    <n v="4"/>
    <s v="Life Sciences"/>
    <n v="2"/>
    <s v="Female"/>
    <n v="33"/>
    <n v="4"/>
    <n v="2"/>
    <s v="Healthcare Representative"/>
    <n v="4"/>
    <s v="Single"/>
    <n v="7625"/>
    <n v="19383"/>
    <n v="0"/>
    <s v="No"/>
    <n v="13"/>
    <n v="3"/>
    <n v="3"/>
    <n v="0"/>
    <n v="10"/>
    <n v="4"/>
    <n v="2"/>
    <n v="9"/>
    <n v="7"/>
    <n v="1"/>
    <n v="8"/>
  </r>
  <r>
    <n v="27"/>
    <s v="No"/>
    <s v="Travel_Rarely"/>
    <n v="608"/>
    <s v="Research &amp; Development"/>
    <n v="1"/>
    <n v="2"/>
    <s v="Life Sciences"/>
    <n v="3"/>
    <s v="Female"/>
    <n v="68"/>
    <n v="3"/>
    <n v="3"/>
    <s v="Manufacturing Director"/>
    <n v="1"/>
    <s v="Married"/>
    <n v="7412"/>
    <n v="6009"/>
    <n v="1"/>
    <s v="No"/>
    <n v="11"/>
    <n v="3"/>
    <n v="4"/>
    <n v="0"/>
    <n v="9"/>
    <n v="3"/>
    <n v="3"/>
    <n v="9"/>
    <n v="7"/>
    <n v="0"/>
    <n v="7"/>
  </r>
  <r>
    <n v="32"/>
    <s v="No"/>
    <s v="Travel_Rarely"/>
    <n v="1018"/>
    <s v="Research &amp; Development"/>
    <n v="3"/>
    <n v="2"/>
    <s v="Life Sciences"/>
    <n v="3"/>
    <s v="Female"/>
    <n v="39"/>
    <n v="3"/>
    <n v="3"/>
    <s v="Research Director"/>
    <n v="4"/>
    <s v="Single"/>
    <n v="11159"/>
    <n v="19373"/>
    <n v="3"/>
    <s v="No"/>
    <n v="15"/>
    <n v="3"/>
    <n v="4"/>
    <n v="0"/>
    <n v="10"/>
    <n v="6"/>
    <n v="3"/>
    <n v="7"/>
    <n v="7"/>
    <n v="7"/>
    <n v="7"/>
  </r>
  <r>
    <n v="47"/>
    <s v="No"/>
    <s v="Travel_Rarely"/>
    <n v="703"/>
    <s v="Sales"/>
    <n v="14"/>
    <n v="4"/>
    <s v="Marketing"/>
    <n v="4"/>
    <s v="Male"/>
    <n v="42"/>
    <n v="3"/>
    <n v="2"/>
    <s v="Sales Executive"/>
    <n v="1"/>
    <s v="Single"/>
    <n v="4960"/>
    <n v="11825"/>
    <n v="2"/>
    <s v="No"/>
    <n v="12"/>
    <n v="3"/>
    <n v="4"/>
    <n v="0"/>
    <n v="20"/>
    <n v="2"/>
    <n v="3"/>
    <n v="7"/>
    <n v="7"/>
    <n v="1"/>
    <n v="7"/>
  </r>
  <r>
    <n v="40"/>
    <s v="No"/>
    <s v="Travel_Frequently"/>
    <n v="580"/>
    <s v="Sales"/>
    <n v="5"/>
    <n v="4"/>
    <s v="Life Sciences"/>
    <n v="4"/>
    <s v="Male"/>
    <n v="48"/>
    <n v="2"/>
    <n v="3"/>
    <s v="Sales Executive"/>
    <n v="1"/>
    <s v="Married"/>
    <n v="10475"/>
    <n v="23772"/>
    <n v="5"/>
    <s v="Yes"/>
    <n v="21"/>
    <n v="4"/>
    <n v="3"/>
    <n v="1"/>
    <n v="20"/>
    <n v="2"/>
    <n v="3"/>
    <n v="18"/>
    <n v="13"/>
    <n v="1"/>
    <n v="12"/>
  </r>
  <r>
    <n v="53"/>
    <s v="No"/>
    <s v="Travel_Rarely"/>
    <n v="970"/>
    <s v="Research &amp; Development"/>
    <n v="7"/>
    <n v="3"/>
    <s v="Life Sciences"/>
    <n v="3"/>
    <s v="Male"/>
    <n v="59"/>
    <n v="4"/>
    <n v="4"/>
    <s v="Research Director"/>
    <n v="3"/>
    <s v="Married"/>
    <n v="14814"/>
    <n v="13514"/>
    <n v="3"/>
    <s v="No"/>
    <n v="19"/>
    <n v="3"/>
    <n v="3"/>
    <n v="0"/>
    <n v="32"/>
    <n v="3"/>
    <n v="3"/>
    <n v="5"/>
    <n v="1"/>
    <n v="1"/>
    <n v="3"/>
  </r>
  <r>
    <n v="41"/>
    <s v="No"/>
    <s v="Travel_Rarely"/>
    <n v="427"/>
    <s v="Human Resources"/>
    <n v="10"/>
    <n v="4"/>
    <s v="Human Resources"/>
    <n v="2"/>
    <s v="Male"/>
    <n v="73"/>
    <n v="2"/>
    <n v="5"/>
    <s v="Manager"/>
    <n v="4"/>
    <s v="Divorced"/>
    <n v="19141"/>
    <n v="8861"/>
    <n v="3"/>
    <s v="No"/>
    <n v="15"/>
    <n v="3"/>
    <n v="2"/>
    <n v="3"/>
    <n v="23"/>
    <n v="2"/>
    <n v="2"/>
    <n v="21"/>
    <n v="6"/>
    <n v="12"/>
    <n v="6"/>
  </r>
  <r>
    <n v="60"/>
    <s v="No"/>
    <s v="Travel_Rarely"/>
    <n v="1179"/>
    <s v="Sales"/>
    <n v="16"/>
    <n v="4"/>
    <s v="Marketing"/>
    <n v="1"/>
    <s v="Male"/>
    <n v="84"/>
    <n v="3"/>
    <n v="2"/>
    <s v="Sales Executive"/>
    <n v="1"/>
    <s v="Single"/>
    <n v="5405"/>
    <n v="11924"/>
    <n v="8"/>
    <s v="No"/>
    <n v="14"/>
    <n v="3"/>
    <n v="4"/>
    <n v="0"/>
    <n v="10"/>
    <n v="1"/>
    <n v="3"/>
    <n v="2"/>
    <n v="2"/>
    <n v="2"/>
    <n v="2"/>
  </r>
  <r>
    <n v="27"/>
    <s v="No"/>
    <s v="Travel_Frequently"/>
    <n v="294"/>
    <s v="Research &amp; Development"/>
    <n v="10"/>
    <n v="2"/>
    <s v="Life Sciences"/>
    <n v="4"/>
    <s v="Male"/>
    <n v="32"/>
    <n v="3"/>
    <n v="3"/>
    <s v="Manufacturing Director"/>
    <n v="1"/>
    <s v="Divorced"/>
    <n v="8793"/>
    <n v="4809"/>
    <n v="1"/>
    <s v="No"/>
    <n v="21"/>
    <n v="4"/>
    <n v="3"/>
    <n v="2"/>
    <n v="9"/>
    <n v="4"/>
    <n v="2"/>
    <n v="9"/>
    <n v="7"/>
    <n v="1"/>
    <n v="7"/>
  </r>
  <r>
    <n v="41"/>
    <s v="No"/>
    <s v="Travel_Rarely"/>
    <n v="314"/>
    <s v="Human Resources"/>
    <n v="1"/>
    <n v="3"/>
    <s v="Human Resources"/>
    <n v="4"/>
    <s v="Male"/>
    <n v="59"/>
    <n v="2"/>
    <n v="5"/>
    <s v="Manager"/>
    <n v="3"/>
    <s v="Married"/>
    <n v="19189"/>
    <n v="19562"/>
    <n v="1"/>
    <s v="No"/>
    <n v="12"/>
    <n v="3"/>
    <n v="2"/>
    <n v="1"/>
    <n v="22"/>
    <n v="3"/>
    <n v="3"/>
    <n v="22"/>
    <n v="7"/>
    <n v="2"/>
    <n v="10"/>
  </r>
  <r>
    <n v="50"/>
    <s v="No"/>
    <s v="Travel_Rarely"/>
    <n v="316"/>
    <s v="Sales"/>
    <n v="8"/>
    <n v="4"/>
    <s v="Marketing"/>
    <n v="4"/>
    <s v="Male"/>
    <n v="54"/>
    <n v="3"/>
    <n v="1"/>
    <s v="Sales Representative"/>
    <n v="2"/>
    <s v="Married"/>
    <n v="3875"/>
    <n v="9983"/>
    <n v="7"/>
    <s v="No"/>
    <n v="15"/>
    <n v="3"/>
    <n v="4"/>
    <n v="1"/>
    <n v="4"/>
    <n v="2"/>
    <n v="3"/>
    <n v="2"/>
    <n v="2"/>
    <n v="2"/>
    <n v="2"/>
  </r>
  <r>
    <n v="28"/>
    <s v="Yes"/>
    <s v="Travel_Rarely"/>
    <n v="654"/>
    <s v="Research &amp; Development"/>
    <n v="1"/>
    <n v="2"/>
    <s v="Life Sciences"/>
    <n v="1"/>
    <s v="Female"/>
    <n v="67"/>
    <n v="1"/>
    <n v="1"/>
    <s v="Research Scientist"/>
    <n v="2"/>
    <s v="Single"/>
    <n v="2216"/>
    <n v="3872"/>
    <n v="7"/>
    <s v="Yes"/>
    <n v="13"/>
    <n v="3"/>
    <n v="4"/>
    <n v="0"/>
    <n v="10"/>
    <n v="4"/>
    <n v="3"/>
    <n v="7"/>
    <n v="7"/>
    <n v="3"/>
    <n v="7"/>
  </r>
  <r>
    <n v="36"/>
    <s v="No"/>
    <s v="Non-Travel"/>
    <n v="427"/>
    <s v="Research &amp; Development"/>
    <n v="8"/>
    <n v="3"/>
    <s v="Life Sciences"/>
    <n v="1"/>
    <s v="Female"/>
    <n v="63"/>
    <n v="4"/>
    <n v="3"/>
    <s v="Research Director"/>
    <n v="1"/>
    <s v="Married"/>
    <n v="11713"/>
    <n v="20335"/>
    <n v="9"/>
    <s v="No"/>
    <n v="14"/>
    <n v="3"/>
    <n v="1"/>
    <n v="1"/>
    <n v="10"/>
    <n v="2"/>
    <n v="3"/>
    <n v="8"/>
    <n v="7"/>
    <n v="0"/>
    <n v="5"/>
  </r>
  <r>
    <n v="38"/>
    <s v="No"/>
    <s v="Travel_Rarely"/>
    <n v="168"/>
    <s v="Research &amp; Development"/>
    <n v="1"/>
    <n v="3"/>
    <s v="Life Sciences"/>
    <n v="3"/>
    <s v="Female"/>
    <n v="81"/>
    <n v="3"/>
    <n v="3"/>
    <s v="Manufacturing Director"/>
    <n v="3"/>
    <s v="Single"/>
    <n v="7861"/>
    <n v="15397"/>
    <n v="4"/>
    <s v="Yes"/>
    <n v="14"/>
    <n v="3"/>
    <n v="4"/>
    <n v="0"/>
    <n v="10"/>
    <n v="4"/>
    <n v="4"/>
    <n v="1"/>
    <n v="0"/>
    <n v="0"/>
    <n v="0"/>
  </r>
  <r>
    <n v="44"/>
    <s v="No"/>
    <s v="Non-Travel"/>
    <n v="381"/>
    <s v="Research &amp; Development"/>
    <n v="24"/>
    <n v="3"/>
    <s v="Medical"/>
    <n v="1"/>
    <s v="Male"/>
    <n v="49"/>
    <n v="1"/>
    <n v="1"/>
    <s v="Laboratory Technician"/>
    <n v="3"/>
    <s v="Single"/>
    <n v="3708"/>
    <n v="2104"/>
    <n v="2"/>
    <s v="No"/>
    <n v="14"/>
    <n v="3"/>
    <n v="3"/>
    <n v="0"/>
    <n v="9"/>
    <n v="5"/>
    <n v="3"/>
    <n v="5"/>
    <n v="2"/>
    <n v="1"/>
    <n v="4"/>
  </r>
  <r>
    <n v="47"/>
    <s v="No"/>
    <s v="Travel_Frequently"/>
    <n v="217"/>
    <s v="Sales"/>
    <n v="3"/>
    <n v="3"/>
    <s v="Medical"/>
    <n v="4"/>
    <s v="Female"/>
    <n v="49"/>
    <n v="3"/>
    <n v="4"/>
    <s v="Sales Executive"/>
    <n v="3"/>
    <s v="Divorced"/>
    <n v="13770"/>
    <n v="10225"/>
    <n v="9"/>
    <s v="Yes"/>
    <n v="12"/>
    <n v="3"/>
    <n v="4"/>
    <n v="2"/>
    <n v="28"/>
    <n v="2"/>
    <n v="2"/>
    <n v="22"/>
    <n v="2"/>
    <n v="11"/>
    <n v="13"/>
  </r>
  <r>
    <n v="30"/>
    <s v="No"/>
    <s v="Travel_Rarely"/>
    <n v="501"/>
    <s v="Sales"/>
    <n v="27"/>
    <n v="5"/>
    <s v="Marketing"/>
    <n v="3"/>
    <s v="Male"/>
    <n v="99"/>
    <n v="3"/>
    <n v="2"/>
    <s v="Sales Executive"/>
    <n v="4"/>
    <s v="Divorced"/>
    <n v="5304"/>
    <n v="25275"/>
    <n v="7"/>
    <s v="No"/>
    <n v="23"/>
    <n v="4"/>
    <n v="4"/>
    <n v="1"/>
    <n v="10"/>
    <n v="2"/>
    <n v="2"/>
    <n v="8"/>
    <n v="7"/>
    <n v="7"/>
    <n v="7"/>
  </r>
  <r>
    <n v="29"/>
    <s v="No"/>
    <s v="Travel_Rarely"/>
    <n v="1396"/>
    <s v="Sales"/>
    <n v="10"/>
    <n v="3"/>
    <s v="Life Sciences"/>
    <n v="3"/>
    <s v="Male"/>
    <n v="99"/>
    <n v="3"/>
    <n v="1"/>
    <s v="Sales Representative"/>
    <n v="3"/>
    <s v="Single"/>
    <n v="2642"/>
    <n v="2755"/>
    <n v="1"/>
    <s v="No"/>
    <n v="11"/>
    <n v="3"/>
    <n v="3"/>
    <n v="0"/>
    <n v="1"/>
    <n v="6"/>
    <n v="3"/>
    <n v="1"/>
    <n v="0"/>
    <n v="0"/>
    <n v="0"/>
  </r>
  <r>
    <n v="42"/>
    <s v="Yes"/>
    <s v="Travel_Frequently"/>
    <n v="933"/>
    <s v="Research &amp; Development"/>
    <n v="19"/>
    <n v="3"/>
    <s v="Medical"/>
    <n v="3"/>
    <s v="Male"/>
    <n v="57"/>
    <n v="4"/>
    <n v="1"/>
    <s v="Research Scientist"/>
    <n v="3"/>
    <s v="Divorced"/>
    <n v="2759"/>
    <n v="20366"/>
    <n v="6"/>
    <s v="Yes"/>
    <n v="12"/>
    <n v="3"/>
    <n v="4"/>
    <n v="0"/>
    <n v="7"/>
    <n v="2"/>
    <n v="3"/>
    <n v="2"/>
    <n v="2"/>
    <n v="2"/>
    <n v="2"/>
  </r>
  <r>
    <n v="43"/>
    <s v="No"/>
    <s v="Travel_Frequently"/>
    <n v="775"/>
    <s v="Sales"/>
    <n v="15"/>
    <n v="3"/>
    <s v="Life Sciences"/>
    <n v="4"/>
    <s v="Male"/>
    <n v="47"/>
    <n v="2"/>
    <n v="2"/>
    <s v="Sales Executive"/>
    <n v="4"/>
    <s v="Married"/>
    <n v="6804"/>
    <n v="23683"/>
    <n v="3"/>
    <s v="No"/>
    <n v="18"/>
    <n v="3"/>
    <n v="3"/>
    <n v="1"/>
    <n v="7"/>
    <n v="5"/>
    <n v="3"/>
    <n v="2"/>
    <n v="2"/>
    <n v="2"/>
    <n v="2"/>
  </r>
  <r>
    <n v="34"/>
    <s v="No"/>
    <s v="Travel_Rarely"/>
    <n v="970"/>
    <s v="Research &amp; Development"/>
    <n v="8"/>
    <n v="2"/>
    <s v="Medical"/>
    <n v="2"/>
    <s v="Female"/>
    <n v="96"/>
    <n v="3"/>
    <n v="2"/>
    <s v="Healthcare Representative"/>
    <n v="3"/>
    <s v="Single"/>
    <n v="6142"/>
    <n v="7360"/>
    <n v="3"/>
    <s v="No"/>
    <n v="11"/>
    <n v="3"/>
    <n v="4"/>
    <n v="0"/>
    <n v="10"/>
    <n v="2"/>
    <n v="3"/>
    <n v="5"/>
    <n v="1"/>
    <n v="4"/>
    <n v="3"/>
  </r>
  <r>
    <n v="23"/>
    <s v="No"/>
    <s v="Travel_Rarely"/>
    <n v="650"/>
    <s v="Research &amp; Development"/>
    <n v="9"/>
    <n v="1"/>
    <s v="Medical"/>
    <n v="2"/>
    <s v="Male"/>
    <n v="37"/>
    <n v="3"/>
    <n v="1"/>
    <s v="Laboratory Technician"/>
    <n v="1"/>
    <s v="Married"/>
    <n v="2500"/>
    <n v="4344"/>
    <n v="1"/>
    <s v="No"/>
    <n v="14"/>
    <n v="3"/>
    <n v="4"/>
    <n v="1"/>
    <n v="5"/>
    <n v="2"/>
    <n v="4"/>
    <n v="4"/>
    <n v="3"/>
    <n v="0"/>
    <n v="2"/>
  </r>
  <r>
    <n v="39"/>
    <s v="No"/>
    <s v="Travel_Rarely"/>
    <n v="141"/>
    <s v="Human Resources"/>
    <n v="3"/>
    <n v="3"/>
    <s v="Human Resources"/>
    <n v="3"/>
    <s v="Female"/>
    <n v="44"/>
    <n v="4"/>
    <n v="2"/>
    <s v="Human Resources"/>
    <n v="2"/>
    <s v="Married"/>
    <n v="6389"/>
    <n v="18767"/>
    <n v="9"/>
    <s v="No"/>
    <n v="15"/>
    <n v="3"/>
    <n v="3"/>
    <n v="1"/>
    <n v="12"/>
    <n v="3"/>
    <n v="1"/>
    <n v="8"/>
    <n v="3"/>
    <n v="3"/>
    <n v="6"/>
  </r>
  <r>
    <n v="56"/>
    <s v="No"/>
    <s v="Travel_Rarely"/>
    <n v="832"/>
    <s v="Research &amp; Development"/>
    <n v="9"/>
    <n v="3"/>
    <s v="Medical"/>
    <n v="3"/>
    <s v="Male"/>
    <n v="81"/>
    <n v="3"/>
    <n v="4"/>
    <s v="Healthcare Representative"/>
    <n v="4"/>
    <s v="Married"/>
    <n v="11103"/>
    <n v="20420"/>
    <n v="7"/>
    <s v="No"/>
    <n v="11"/>
    <n v="3"/>
    <n v="3"/>
    <n v="0"/>
    <n v="30"/>
    <n v="1"/>
    <n v="2"/>
    <n v="10"/>
    <n v="7"/>
    <n v="1"/>
    <n v="1"/>
  </r>
  <r>
    <n v="40"/>
    <s v="No"/>
    <s v="Travel_Rarely"/>
    <n v="804"/>
    <s v="Research &amp; Development"/>
    <n v="2"/>
    <n v="1"/>
    <s v="Medical"/>
    <n v="4"/>
    <s v="Female"/>
    <n v="86"/>
    <n v="2"/>
    <n v="1"/>
    <s v="Research Scientist"/>
    <n v="4"/>
    <s v="Single"/>
    <n v="2342"/>
    <n v="22929"/>
    <n v="0"/>
    <s v="Yes"/>
    <n v="20"/>
    <n v="4"/>
    <n v="4"/>
    <n v="0"/>
    <n v="5"/>
    <n v="2"/>
    <n v="2"/>
    <n v="4"/>
    <n v="2"/>
    <n v="2"/>
    <n v="3"/>
  </r>
  <r>
    <n v="27"/>
    <s v="No"/>
    <s v="Travel_Rarely"/>
    <n v="975"/>
    <s v="Research &amp; Development"/>
    <n v="7"/>
    <n v="3"/>
    <s v="Medical"/>
    <n v="4"/>
    <s v="Female"/>
    <n v="55"/>
    <n v="2"/>
    <n v="2"/>
    <s v="Healthcare Representative"/>
    <n v="1"/>
    <s v="Single"/>
    <n v="6811"/>
    <n v="23398"/>
    <n v="8"/>
    <s v="No"/>
    <n v="19"/>
    <n v="3"/>
    <n v="1"/>
    <n v="0"/>
    <n v="9"/>
    <n v="2"/>
    <n v="1"/>
    <n v="7"/>
    <n v="6"/>
    <n v="0"/>
    <n v="7"/>
  </r>
  <r>
    <n v="29"/>
    <s v="No"/>
    <s v="Travel_Rarely"/>
    <n v="1090"/>
    <s v="Sales"/>
    <n v="10"/>
    <n v="3"/>
    <s v="Marketing"/>
    <n v="4"/>
    <s v="Male"/>
    <n v="83"/>
    <n v="3"/>
    <n v="1"/>
    <s v="Sales Representative"/>
    <n v="2"/>
    <s v="Divorced"/>
    <n v="2297"/>
    <n v="17967"/>
    <n v="1"/>
    <s v="No"/>
    <n v="14"/>
    <n v="3"/>
    <n v="4"/>
    <n v="2"/>
    <n v="2"/>
    <n v="2"/>
    <n v="3"/>
    <n v="2"/>
    <n v="2"/>
    <n v="2"/>
    <n v="2"/>
  </r>
  <r>
    <n v="53"/>
    <s v="No"/>
    <s v="Travel_Rarely"/>
    <n v="346"/>
    <s v="Research &amp; Development"/>
    <n v="6"/>
    <n v="3"/>
    <s v="Life Sciences"/>
    <n v="4"/>
    <s v="Male"/>
    <n v="86"/>
    <n v="3"/>
    <n v="2"/>
    <s v="Laboratory Technician"/>
    <n v="4"/>
    <s v="Single"/>
    <n v="2450"/>
    <n v="10919"/>
    <n v="2"/>
    <s v="No"/>
    <n v="17"/>
    <n v="3"/>
    <n v="4"/>
    <n v="0"/>
    <n v="19"/>
    <n v="4"/>
    <n v="3"/>
    <n v="2"/>
    <n v="2"/>
    <n v="2"/>
    <n v="2"/>
  </r>
  <r>
    <n v="35"/>
    <s v="No"/>
    <s v="Non-Travel"/>
    <n v="1225"/>
    <s v="Research &amp; Development"/>
    <n v="2"/>
    <n v="4"/>
    <s v="Life Sciences"/>
    <n v="4"/>
    <s v="Female"/>
    <n v="61"/>
    <n v="3"/>
    <n v="2"/>
    <s v="Healthcare Representative"/>
    <n v="1"/>
    <s v="Divorced"/>
    <n v="5093"/>
    <n v="4761"/>
    <n v="2"/>
    <s v="No"/>
    <n v="11"/>
    <n v="3"/>
    <n v="1"/>
    <n v="1"/>
    <n v="16"/>
    <n v="2"/>
    <n v="4"/>
    <n v="1"/>
    <n v="0"/>
    <n v="0"/>
    <n v="0"/>
  </r>
  <r>
    <n v="32"/>
    <s v="No"/>
    <s v="Travel_Frequently"/>
    <n v="430"/>
    <s v="Research &amp; Development"/>
    <n v="24"/>
    <n v="4"/>
    <s v="Life Sciences"/>
    <n v="1"/>
    <s v="Male"/>
    <n v="80"/>
    <n v="3"/>
    <n v="2"/>
    <s v="Laboratory Technician"/>
    <n v="4"/>
    <s v="Married"/>
    <n v="5309"/>
    <n v="21146"/>
    <n v="1"/>
    <s v="No"/>
    <n v="15"/>
    <n v="3"/>
    <n v="4"/>
    <n v="2"/>
    <n v="10"/>
    <n v="2"/>
    <n v="3"/>
    <n v="10"/>
    <n v="8"/>
    <n v="4"/>
    <n v="7"/>
  </r>
  <r>
    <n v="38"/>
    <s v="No"/>
    <s v="Travel_Rarely"/>
    <n v="268"/>
    <s v="Research &amp; Development"/>
    <n v="2"/>
    <n v="5"/>
    <s v="Medical"/>
    <n v="4"/>
    <s v="Male"/>
    <n v="92"/>
    <n v="3"/>
    <n v="1"/>
    <s v="Research Scientist"/>
    <n v="3"/>
    <s v="Married"/>
    <n v="3057"/>
    <n v="20471"/>
    <n v="6"/>
    <s v="Yes"/>
    <n v="13"/>
    <n v="3"/>
    <n v="2"/>
    <n v="1"/>
    <n v="6"/>
    <n v="0"/>
    <n v="1"/>
    <n v="1"/>
    <n v="0"/>
    <n v="0"/>
    <n v="1"/>
  </r>
  <r>
    <n v="34"/>
    <s v="No"/>
    <s v="Travel_Rarely"/>
    <n v="167"/>
    <s v="Research &amp; Development"/>
    <n v="8"/>
    <n v="5"/>
    <s v="Life Sciences"/>
    <n v="2"/>
    <s v="Female"/>
    <n v="32"/>
    <n v="3"/>
    <n v="2"/>
    <s v="Manufacturing Director"/>
    <n v="1"/>
    <s v="Divorced"/>
    <n v="5121"/>
    <n v="4187"/>
    <n v="3"/>
    <s v="No"/>
    <n v="14"/>
    <n v="3"/>
    <n v="3"/>
    <n v="1"/>
    <n v="7"/>
    <n v="3"/>
    <n v="3"/>
    <n v="0"/>
    <n v="0"/>
    <n v="0"/>
    <n v="0"/>
  </r>
  <r>
    <n v="52"/>
    <s v="No"/>
    <s v="Travel_Rarely"/>
    <n v="621"/>
    <s v="Sales"/>
    <n v="3"/>
    <n v="4"/>
    <s v="Marketing"/>
    <n v="3"/>
    <s v="Male"/>
    <n v="31"/>
    <n v="2"/>
    <n v="4"/>
    <s v="Manager"/>
    <n v="1"/>
    <s v="Married"/>
    <n v="16856"/>
    <n v="10084"/>
    <n v="1"/>
    <s v="No"/>
    <n v="11"/>
    <n v="3"/>
    <n v="1"/>
    <n v="0"/>
    <n v="34"/>
    <n v="3"/>
    <n v="4"/>
    <n v="34"/>
    <n v="6"/>
    <n v="1"/>
    <n v="16"/>
  </r>
  <r>
    <n v="33"/>
    <s v="Yes"/>
    <s v="Travel_Rarely"/>
    <n v="527"/>
    <s v="Research &amp; Development"/>
    <n v="1"/>
    <n v="4"/>
    <s v="Other"/>
    <n v="4"/>
    <s v="Male"/>
    <n v="63"/>
    <n v="3"/>
    <n v="1"/>
    <s v="Research Scientist"/>
    <n v="4"/>
    <s v="Single"/>
    <n v="2686"/>
    <n v="5207"/>
    <n v="1"/>
    <s v="Yes"/>
    <n v="13"/>
    <n v="3"/>
    <n v="3"/>
    <n v="0"/>
    <n v="10"/>
    <n v="2"/>
    <n v="2"/>
    <n v="10"/>
    <n v="9"/>
    <n v="7"/>
    <n v="8"/>
  </r>
  <r>
    <n v="25"/>
    <s v="No"/>
    <s v="Travel_Rarely"/>
    <n v="883"/>
    <s v="Sales"/>
    <n v="26"/>
    <n v="1"/>
    <s v="Medical"/>
    <n v="3"/>
    <s v="Female"/>
    <n v="32"/>
    <n v="3"/>
    <n v="2"/>
    <s v="Sales Executive"/>
    <n v="4"/>
    <s v="Single"/>
    <n v="6180"/>
    <n v="22807"/>
    <n v="1"/>
    <s v="No"/>
    <n v="23"/>
    <n v="4"/>
    <n v="2"/>
    <n v="0"/>
    <n v="6"/>
    <n v="5"/>
    <n v="2"/>
    <n v="6"/>
    <n v="5"/>
    <n v="1"/>
    <n v="4"/>
  </r>
  <r>
    <n v="45"/>
    <s v="No"/>
    <s v="Travel_Rarely"/>
    <n v="954"/>
    <s v="Sales"/>
    <n v="2"/>
    <n v="2"/>
    <s v="Technical Degree"/>
    <n v="2"/>
    <s v="Male"/>
    <n v="46"/>
    <n v="1"/>
    <n v="2"/>
    <s v="Sales Representative"/>
    <n v="3"/>
    <s v="Single"/>
    <n v="6632"/>
    <n v="12388"/>
    <n v="0"/>
    <s v="No"/>
    <n v="13"/>
    <n v="3"/>
    <n v="1"/>
    <n v="0"/>
    <n v="9"/>
    <n v="3"/>
    <n v="3"/>
    <n v="8"/>
    <n v="7"/>
    <n v="3"/>
    <n v="1"/>
  </r>
  <r>
    <n v="23"/>
    <s v="No"/>
    <s v="Travel_Rarely"/>
    <n v="310"/>
    <s v="Research &amp; Development"/>
    <n v="10"/>
    <n v="1"/>
    <s v="Medical"/>
    <n v="1"/>
    <s v="Male"/>
    <n v="79"/>
    <n v="4"/>
    <n v="1"/>
    <s v="Research Scientist"/>
    <n v="3"/>
    <s v="Single"/>
    <n v="3505"/>
    <n v="19630"/>
    <n v="1"/>
    <s v="No"/>
    <n v="18"/>
    <n v="3"/>
    <n v="4"/>
    <n v="0"/>
    <n v="2"/>
    <n v="3"/>
    <n v="3"/>
    <n v="2"/>
    <n v="2"/>
    <n v="0"/>
    <n v="2"/>
  </r>
  <r>
    <n v="47"/>
    <s v="Yes"/>
    <s v="Travel_Frequently"/>
    <n v="719"/>
    <s v="Sales"/>
    <n v="27"/>
    <n v="2"/>
    <s v="Life Sciences"/>
    <n v="2"/>
    <s v="Female"/>
    <n v="77"/>
    <n v="4"/>
    <n v="2"/>
    <s v="Sales Executive"/>
    <n v="3"/>
    <s v="Single"/>
    <n v="6397"/>
    <n v="10339"/>
    <n v="4"/>
    <s v="Yes"/>
    <n v="12"/>
    <n v="3"/>
    <n v="4"/>
    <n v="0"/>
    <n v="8"/>
    <n v="2"/>
    <n v="3"/>
    <n v="5"/>
    <n v="4"/>
    <n v="1"/>
    <n v="3"/>
  </r>
  <r>
    <n v="34"/>
    <s v="No"/>
    <s v="Travel_Rarely"/>
    <n v="304"/>
    <s v="Sales"/>
    <n v="2"/>
    <n v="3"/>
    <s v="Other"/>
    <n v="4"/>
    <s v="Male"/>
    <n v="60"/>
    <n v="3"/>
    <n v="2"/>
    <s v="Sales Executive"/>
    <n v="4"/>
    <s v="Single"/>
    <n v="6274"/>
    <n v="18686"/>
    <n v="1"/>
    <s v="No"/>
    <n v="22"/>
    <n v="4"/>
    <n v="3"/>
    <n v="0"/>
    <n v="6"/>
    <n v="5"/>
    <n v="3"/>
    <n v="6"/>
    <n v="5"/>
    <n v="1"/>
    <n v="4"/>
  </r>
  <r>
    <n v="55"/>
    <s v="Yes"/>
    <s v="Travel_Rarely"/>
    <n v="725"/>
    <s v="Research &amp; Development"/>
    <n v="2"/>
    <n v="3"/>
    <s v="Medical"/>
    <n v="4"/>
    <s v="Male"/>
    <n v="78"/>
    <n v="3"/>
    <n v="5"/>
    <s v="Manager"/>
    <n v="1"/>
    <s v="Married"/>
    <n v="19859"/>
    <n v="21199"/>
    <n v="5"/>
    <s v="Yes"/>
    <n v="13"/>
    <n v="3"/>
    <n v="4"/>
    <n v="1"/>
    <n v="24"/>
    <n v="2"/>
    <n v="3"/>
    <n v="5"/>
    <n v="2"/>
    <n v="1"/>
    <n v="4"/>
  </r>
  <r>
    <n v="36"/>
    <s v="No"/>
    <s v="Non-Travel"/>
    <n v="1434"/>
    <s v="Sales"/>
    <n v="8"/>
    <n v="4"/>
    <s v="Life Sciences"/>
    <n v="1"/>
    <s v="Male"/>
    <n v="76"/>
    <n v="2"/>
    <n v="3"/>
    <s v="Sales Executive"/>
    <n v="1"/>
    <s v="Single"/>
    <n v="7587"/>
    <n v="14229"/>
    <n v="1"/>
    <s v="No"/>
    <n v="15"/>
    <n v="3"/>
    <n v="2"/>
    <n v="0"/>
    <n v="10"/>
    <n v="1"/>
    <n v="3"/>
    <n v="10"/>
    <n v="7"/>
    <n v="0"/>
    <n v="9"/>
  </r>
  <r>
    <n v="52"/>
    <s v="No"/>
    <s v="Non-Travel"/>
    <n v="715"/>
    <s v="Research &amp; Development"/>
    <n v="19"/>
    <n v="4"/>
    <s v="Medical"/>
    <n v="4"/>
    <s v="Male"/>
    <n v="41"/>
    <n v="3"/>
    <n v="1"/>
    <s v="Research Scientist"/>
    <n v="4"/>
    <s v="Married"/>
    <n v="4258"/>
    <n v="26589"/>
    <n v="0"/>
    <s v="No"/>
    <n v="18"/>
    <n v="3"/>
    <n v="1"/>
    <n v="1"/>
    <n v="5"/>
    <n v="3"/>
    <n v="3"/>
    <n v="4"/>
    <n v="3"/>
    <n v="1"/>
    <n v="2"/>
  </r>
  <r>
    <n v="26"/>
    <s v="No"/>
    <s v="Travel_Frequently"/>
    <n v="575"/>
    <s v="Research &amp; Development"/>
    <n v="1"/>
    <n v="2"/>
    <s v="Life Sciences"/>
    <n v="1"/>
    <s v="Female"/>
    <n v="71"/>
    <n v="1"/>
    <n v="1"/>
    <s v="Laboratory Technician"/>
    <n v="4"/>
    <s v="Divorced"/>
    <n v="4364"/>
    <n v="5288"/>
    <n v="3"/>
    <s v="No"/>
    <n v="14"/>
    <n v="3"/>
    <n v="1"/>
    <n v="1"/>
    <n v="5"/>
    <n v="2"/>
    <n v="3"/>
    <n v="2"/>
    <n v="2"/>
    <n v="2"/>
    <n v="0"/>
  </r>
  <r>
    <n v="29"/>
    <s v="No"/>
    <s v="Travel_Rarely"/>
    <n v="657"/>
    <s v="Research &amp; Development"/>
    <n v="27"/>
    <n v="3"/>
    <s v="Medical"/>
    <n v="2"/>
    <s v="Female"/>
    <n v="66"/>
    <n v="3"/>
    <n v="2"/>
    <s v="Healthcare Representative"/>
    <n v="3"/>
    <s v="Married"/>
    <n v="4335"/>
    <n v="25549"/>
    <n v="4"/>
    <s v="No"/>
    <n v="12"/>
    <n v="3"/>
    <n v="1"/>
    <n v="1"/>
    <n v="11"/>
    <n v="3"/>
    <n v="2"/>
    <n v="8"/>
    <n v="7"/>
    <n v="1"/>
    <n v="1"/>
  </r>
  <r>
    <n v="26"/>
    <s v="Yes"/>
    <s v="Travel_Rarely"/>
    <n v="1146"/>
    <s v="Sales"/>
    <n v="8"/>
    <n v="3"/>
    <s v="Technical Degree"/>
    <n v="4"/>
    <s v="Male"/>
    <n v="38"/>
    <n v="2"/>
    <n v="2"/>
    <s v="Sales Executive"/>
    <n v="1"/>
    <s v="Single"/>
    <n v="5326"/>
    <n v="3064"/>
    <n v="6"/>
    <s v="No"/>
    <n v="17"/>
    <n v="3"/>
    <n v="3"/>
    <n v="0"/>
    <n v="6"/>
    <n v="2"/>
    <n v="2"/>
    <n v="4"/>
    <n v="3"/>
    <n v="1"/>
    <n v="2"/>
  </r>
  <r>
    <n v="34"/>
    <s v="No"/>
    <s v="Travel_Rarely"/>
    <n v="182"/>
    <s v="Research &amp; Development"/>
    <n v="1"/>
    <n v="4"/>
    <s v="Life Sciences"/>
    <n v="2"/>
    <s v="Female"/>
    <n v="72"/>
    <n v="4"/>
    <n v="1"/>
    <s v="Research Scientist"/>
    <n v="4"/>
    <s v="Single"/>
    <n v="3280"/>
    <n v="13551"/>
    <n v="2"/>
    <s v="No"/>
    <n v="16"/>
    <n v="3"/>
    <n v="3"/>
    <n v="0"/>
    <n v="10"/>
    <n v="2"/>
    <n v="3"/>
    <n v="4"/>
    <n v="2"/>
    <n v="1"/>
    <n v="3"/>
  </r>
  <r>
    <n v="54"/>
    <s v="No"/>
    <s v="Travel_Rarely"/>
    <n v="376"/>
    <s v="Research &amp; Development"/>
    <n v="19"/>
    <n v="4"/>
    <s v="Medical"/>
    <n v="4"/>
    <s v="Female"/>
    <n v="95"/>
    <n v="3"/>
    <n v="2"/>
    <s v="Manufacturing Director"/>
    <n v="1"/>
    <s v="Divorced"/>
    <n v="5485"/>
    <n v="22670"/>
    <n v="9"/>
    <s v="Yes"/>
    <n v="11"/>
    <n v="3"/>
    <n v="2"/>
    <n v="2"/>
    <n v="9"/>
    <n v="4"/>
    <n v="3"/>
    <n v="5"/>
    <n v="3"/>
    <n v="1"/>
    <n v="4"/>
  </r>
  <r>
    <n v="27"/>
    <s v="No"/>
    <s v="Travel_Frequently"/>
    <n v="829"/>
    <s v="Sales"/>
    <n v="8"/>
    <n v="1"/>
    <s v="Marketing"/>
    <n v="3"/>
    <s v="Male"/>
    <n v="84"/>
    <n v="3"/>
    <n v="2"/>
    <s v="Sales Executive"/>
    <n v="4"/>
    <s v="Married"/>
    <n v="4342"/>
    <n v="24008"/>
    <n v="0"/>
    <s v="No"/>
    <n v="19"/>
    <n v="3"/>
    <n v="2"/>
    <n v="1"/>
    <n v="5"/>
    <n v="3"/>
    <n v="3"/>
    <n v="4"/>
    <n v="2"/>
    <n v="1"/>
    <n v="1"/>
  </r>
  <r>
    <n v="37"/>
    <s v="No"/>
    <s v="Travel_Rarely"/>
    <n v="571"/>
    <s v="Research &amp; Development"/>
    <n v="10"/>
    <n v="1"/>
    <s v="Life Sciences"/>
    <n v="4"/>
    <s v="Female"/>
    <n v="82"/>
    <n v="3"/>
    <n v="1"/>
    <s v="Research Scientist"/>
    <n v="1"/>
    <s v="Divorced"/>
    <n v="2782"/>
    <n v="19905"/>
    <n v="0"/>
    <s v="Yes"/>
    <n v="13"/>
    <n v="3"/>
    <n v="2"/>
    <n v="2"/>
    <n v="6"/>
    <n v="3"/>
    <n v="2"/>
    <n v="5"/>
    <n v="3"/>
    <n v="4"/>
    <n v="3"/>
  </r>
  <r>
    <n v="38"/>
    <s v="No"/>
    <s v="Travel_Frequently"/>
    <n v="240"/>
    <s v="Research &amp; Development"/>
    <n v="2"/>
    <n v="4"/>
    <s v="Life Sciences"/>
    <n v="1"/>
    <s v="Female"/>
    <n v="75"/>
    <n v="4"/>
    <n v="2"/>
    <s v="Manufacturing Director"/>
    <n v="1"/>
    <s v="Single"/>
    <n v="5980"/>
    <n v="26085"/>
    <n v="6"/>
    <s v="Yes"/>
    <n v="12"/>
    <n v="3"/>
    <n v="4"/>
    <n v="0"/>
    <n v="17"/>
    <n v="2"/>
    <n v="3"/>
    <n v="15"/>
    <n v="7"/>
    <n v="4"/>
    <n v="12"/>
  </r>
  <r>
    <n v="34"/>
    <s v="No"/>
    <s v="Travel_Rarely"/>
    <n v="121"/>
    <s v="Research &amp; Development"/>
    <n v="2"/>
    <n v="4"/>
    <s v="Medical"/>
    <n v="3"/>
    <s v="Female"/>
    <n v="86"/>
    <n v="2"/>
    <n v="1"/>
    <s v="Research Scientist"/>
    <n v="1"/>
    <s v="Single"/>
    <n v="4381"/>
    <n v="7530"/>
    <n v="1"/>
    <s v="No"/>
    <n v="11"/>
    <n v="3"/>
    <n v="3"/>
    <n v="0"/>
    <n v="6"/>
    <n v="3"/>
    <n v="3"/>
    <n v="6"/>
    <n v="5"/>
    <n v="1"/>
    <n v="3"/>
  </r>
  <r>
    <n v="35"/>
    <s v="No"/>
    <s v="Travel_Rarely"/>
    <n v="384"/>
    <s v="Sales"/>
    <n v="8"/>
    <n v="4"/>
    <s v="Life Sciences"/>
    <n v="1"/>
    <s v="Female"/>
    <n v="72"/>
    <n v="3"/>
    <n v="1"/>
    <s v="Sales Representative"/>
    <n v="4"/>
    <s v="Married"/>
    <n v="2572"/>
    <n v="20317"/>
    <n v="1"/>
    <s v="No"/>
    <n v="16"/>
    <n v="3"/>
    <n v="2"/>
    <n v="1"/>
    <n v="3"/>
    <n v="1"/>
    <n v="2"/>
    <n v="3"/>
    <n v="2"/>
    <n v="0"/>
    <n v="2"/>
  </r>
  <r>
    <n v="30"/>
    <s v="No"/>
    <s v="Travel_Rarely"/>
    <n v="921"/>
    <s v="Research &amp; Development"/>
    <n v="1"/>
    <n v="3"/>
    <s v="Life Sciences"/>
    <n v="4"/>
    <s v="Male"/>
    <n v="38"/>
    <n v="1"/>
    <n v="1"/>
    <s v="Laboratory Technician"/>
    <n v="3"/>
    <s v="Married"/>
    <n v="3833"/>
    <n v="24375"/>
    <n v="3"/>
    <s v="No"/>
    <n v="21"/>
    <n v="4"/>
    <n v="3"/>
    <n v="2"/>
    <n v="7"/>
    <n v="2"/>
    <n v="3"/>
    <n v="2"/>
    <n v="2"/>
    <n v="0"/>
    <n v="2"/>
  </r>
  <r>
    <n v="40"/>
    <s v="No"/>
    <s v="Travel_Frequently"/>
    <n v="791"/>
    <s v="Research &amp; Development"/>
    <n v="2"/>
    <n v="2"/>
    <s v="Medical"/>
    <n v="3"/>
    <s v="Female"/>
    <n v="38"/>
    <n v="4"/>
    <n v="2"/>
    <s v="Healthcare Representative"/>
    <n v="2"/>
    <s v="Married"/>
    <n v="4244"/>
    <n v="9931"/>
    <n v="1"/>
    <s v="No"/>
    <n v="24"/>
    <n v="4"/>
    <n v="4"/>
    <n v="1"/>
    <n v="8"/>
    <n v="2"/>
    <n v="3"/>
    <n v="8"/>
    <n v="7"/>
    <n v="3"/>
    <n v="7"/>
  </r>
  <r>
    <n v="34"/>
    <s v="No"/>
    <s v="Travel_Rarely"/>
    <n v="1111"/>
    <s v="Sales"/>
    <n v="8"/>
    <n v="2"/>
    <s v="Life Sciences"/>
    <n v="3"/>
    <s v="Female"/>
    <n v="93"/>
    <n v="3"/>
    <n v="2"/>
    <s v="Sales Executive"/>
    <n v="1"/>
    <s v="Married"/>
    <n v="6500"/>
    <n v="13305"/>
    <n v="5"/>
    <s v="No"/>
    <n v="17"/>
    <n v="3"/>
    <n v="2"/>
    <n v="1"/>
    <n v="6"/>
    <n v="1"/>
    <n v="3"/>
    <n v="3"/>
    <n v="2"/>
    <n v="1"/>
    <n v="2"/>
  </r>
  <r>
    <n v="42"/>
    <s v="No"/>
    <s v="Travel_Frequently"/>
    <n v="570"/>
    <s v="Research &amp; Development"/>
    <n v="8"/>
    <n v="3"/>
    <s v="Life Sciences"/>
    <n v="2"/>
    <s v="Male"/>
    <n v="66"/>
    <n v="3"/>
    <n v="5"/>
    <s v="Manager"/>
    <n v="4"/>
    <s v="Divorced"/>
    <n v="18430"/>
    <n v="16225"/>
    <n v="1"/>
    <s v="No"/>
    <n v="13"/>
    <n v="3"/>
    <n v="2"/>
    <n v="1"/>
    <n v="24"/>
    <n v="4"/>
    <n v="2"/>
    <n v="24"/>
    <n v="7"/>
    <n v="14"/>
    <n v="9"/>
  </r>
  <r>
    <n v="23"/>
    <s v="Yes"/>
    <s v="Travel_Rarely"/>
    <n v="1243"/>
    <s v="Research &amp; Development"/>
    <n v="6"/>
    <n v="3"/>
    <s v="Life Sciences"/>
    <n v="3"/>
    <s v="Male"/>
    <n v="63"/>
    <n v="4"/>
    <n v="1"/>
    <s v="Laboratory Technician"/>
    <n v="1"/>
    <s v="Married"/>
    <n v="1601"/>
    <n v="3445"/>
    <n v="1"/>
    <s v="Yes"/>
    <n v="21"/>
    <n v="4"/>
    <n v="3"/>
    <n v="2"/>
    <n v="1"/>
    <n v="2"/>
    <n v="3"/>
    <n v="0"/>
    <n v="0"/>
    <n v="0"/>
    <n v="0"/>
  </r>
  <r>
    <n v="24"/>
    <s v="No"/>
    <s v="Non-Travel"/>
    <n v="1092"/>
    <s v="Research &amp; Development"/>
    <n v="9"/>
    <n v="3"/>
    <s v="Life Sciences"/>
    <n v="3"/>
    <s v="Male"/>
    <n v="60"/>
    <n v="2"/>
    <n v="1"/>
    <s v="Laboratory Technician"/>
    <n v="2"/>
    <s v="Divorced"/>
    <n v="2694"/>
    <n v="26551"/>
    <n v="1"/>
    <s v="No"/>
    <n v="11"/>
    <n v="3"/>
    <n v="3"/>
    <n v="3"/>
    <n v="1"/>
    <n v="4"/>
    <n v="3"/>
    <n v="1"/>
    <n v="0"/>
    <n v="0"/>
    <n v="0"/>
  </r>
  <r>
    <n v="52"/>
    <s v="No"/>
    <s v="Travel_Rarely"/>
    <n v="1325"/>
    <s v="Research &amp; Development"/>
    <n v="11"/>
    <n v="4"/>
    <s v="Life Sciences"/>
    <n v="4"/>
    <s v="Female"/>
    <n v="82"/>
    <n v="3"/>
    <n v="2"/>
    <s v="Laboratory Technician"/>
    <n v="3"/>
    <s v="Married"/>
    <n v="3149"/>
    <n v="21821"/>
    <n v="8"/>
    <s v="No"/>
    <n v="20"/>
    <n v="4"/>
    <n v="2"/>
    <n v="1"/>
    <n v="9"/>
    <n v="3"/>
    <n v="3"/>
    <n v="5"/>
    <n v="2"/>
    <n v="1"/>
    <n v="4"/>
  </r>
  <r>
    <n v="50"/>
    <s v="No"/>
    <s v="Travel_Rarely"/>
    <n v="691"/>
    <s v="Research &amp; Development"/>
    <n v="2"/>
    <n v="3"/>
    <s v="Medical"/>
    <n v="3"/>
    <s v="Male"/>
    <n v="64"/>
    <n v="3"/>
    <n v="4"/>
    <s v="Research Director"/>
    <n v="3"/>
    <s v="Married"/>
    <n v="17639"/>
    <n v="6881"/>
    <n v="5"/>
    <s v="No"/>
    <n v="16"/>
    <n v="3"/>
    <n v="4"/>
    <n v="0"/>
    <n v="30"/>
    <n v="3"/>
    <n v="3"/>
    <n v="4"/>
    <n v="3"/>
    <n v="0"/>
    <n v="3"/>
  </r>
  <r>
    <n v="29"/>
    <s v="Yes"/>
    <s v="Travel_Rarely"/>
    <n v="805"/>
    <s v="Research &amp; Development"/>
    <n v="1"/>
    <n v="2"/>
    <s v="Life Sciences"/>
    <n v="2"/>
    <s v="Female"/>
    <n v="36"/>
    <n v="2"/>
    <n v="1"/>
    <s v="Laboratory Technician"/>
    <n v="1"/>
    <s v="Married"/>
    <n v="2319"/>
    <n v="6689"/>
    <n v="1"/>
    <s v="Yes"/>
    <n v="11"/>
    <n v="3"/>
    <n v="4"/>
    <n v="1"/>
    <n v="1"/>
    <n v="1"/>
    <n v="3"/>
    <n v="1"/>
    <n v="0"/>
    <n v="0"/>
    <n v="0"/>
  </r>
  <r>
    <n v="33"/>
    <s v="No"/>
    <s v="Travel_Rarely"/>
    <n v="213"/>
    <s v="Research &amp; Development"/>
    <n v="7"/>
    <n v="3"/>
    <s v="Medical"/>
    <n v="3"/>
    <s v="Male"/>
    <n v="49"/>
    <n v="3"/>
    <n v="3"/>
    <s v="Research Director"/>
    <n v="3"/>
    <s v="Married"/>
    <n v="11691"/>
    <n v="25995"/>
    <n v="0"/>
    <s v="No"/>
    <n v="11"/>
    <n v="3"/>
    <n v="4"/>
    <n v="0"/>
    <n v="14"/>
    <n v="3"/>
    <n v="4"/>
    <n v="13"/>
    <n v="9"/>
    <n v="3"/>
    <n v="7"/>
  </r>
  <r>
    <n v="33"/>
    <s v="Yes"/>
    <s v="Travel_Rarely"/>
    <n v="118"/>
    <s v="Sales"/>
    <n v="16"/>
    <n v="3"/>
    <s v="Marketing"/>
    <n v="1"/>
    <s v="Female"/>
    <n v="69"/>
    <n v="3"/>
    <n v="2"/>
    <s v="Sales Executive"/>
    <n v="1"/>
    <s v="Single"/>
    <n v="5324"/>
    <n v="26507"/>
    <n v="5"/>
    <s v="No"/>
    <n v="15"/>
    <n v="3"/>
    <n v="3"/>
    <n v="0"/>
    <n v="6"/>
    <n v="3"/>
    <n v="3"/>
    <n v="3"/>
    <n v="2"/>
    <n v="0"/>
    <n v="2"/>
  </r>
  <r>
    <n v="47"/>
    <s v="No"/>
    <s v="Travel_Rarely"/>
    <n v="202"/>
    <s v="Research &amp; Development"/>
    <n v="2"/>
    <n v="2"/>
    <s v="Other"/>
    <n v="3"/>
    <s v="Female"/>
    <n v="33"/>
    <n v="3"/>
    <n v="4"/>
    <s v="Manager"/>
    <n v="4"/>
    <s v="Married"/>
    <n v="16752"/>
    <n v="12982"/>
    <n v="1"/>
    <s v="Yes"/>
    <n v="11"/>
    <n v="3"/>
    <n v="3"/>
    <n v="1"/>
    <n v="26"/>
    <n v="3"/>
    <n v="2"/>
    <n v="26"/>
    <n v="14"/>
    <n v="3"/>
    <n v="0"/>
  </r>
  <r>
    <n v="36"/>
    <s v="No"/>
    <s v="Travel_Rarely"/>
    <n v="676"/>
    <s v="Research &amp; Development"/>
    <n v="1"/>
    <n v="3"/>
    <s v="Other"/>
    <n v="3"/>
    <s v="Female"/>
    <n v="35"/>
    <n v="3"/>
    <n v="2"/>
    <s v="Manufacturing Director"/>
    <n v="2"/>
    <s v="Married"/>
    <n v="5228"/>
    <n v="23361"/>
    <n v="0"/>
    <s v="No"/>
    <n v="15"/>
    <n v="3"/>
    <n v="1"/>
    <n v="1"/>
    <n v="10"/>
    <n v="2"/>
    <n v="3"/>
    <n v="9"/>
    <n v="7"/>
    <n v="0"/>
    <n v="5"/>
  </r>
  <r>
    <n v="29"/>
    <s v="No"/>
    <s v="Travel_Rarely"/>
    <n v="1252"/>
    <s v="Research &amp; Development"/>
    <n v="23"/>
    <n v="2"/>
    <s v="Life Sciences"/>
    <n v="3"/>
    <s v="Male"/>
    <n v="81"/>
    <n v="4"/>
    <n v="1"/>
    <s v="Research Scientist"/>
    <n v="3"/>
    <s v="Married"/>
    <n v="2700"/>
    <n v="23779"/>
    <n v="1"/>
    <s v="No"/>
    <n v="24"/>
    <n v="4"/>
    <n v="3"/>
    <n v="1"/>
    <n v="10"/>
    <n v="3"/>
    <n v="3"/>
    <n v="10"/>
    <n v="7"/>
    <n v="0"/>
    <n v="7"/>
  </r>
  <r>
    <n v="58"/>
    <s v="Yes"/>
    <s v="Travel_Rarely"/>
    <n v="286"/>
    <s v="Research &amp; Development"/>
    <n v="2"/>
    <n v="4"/>
    <s v="Life Sciences"/>
    <n v="4"/>
    <s v="Male"/>
    <n v="31"/>
    <n v="3"/>
    <n v="5"/>
    <s v="Research Director"/>
    <n v="2"/>
    <s v="Single"/>
    <n v="19246"/>
    <n v="25761"/>
    <n v="7"/>
    <s v="Yes"/>
    <n v="12"/>
    <n v="3"/>
    <n v="4"/>
    <n v="0"/>
    <n v="40"/>
    <n v="2"/>
    <n v="3"/>
    <n v="31"/>
    <n v="15"/>
    <n v="13"/>
    <n v="8"/>
  </r>
  <r>
    <n v="35"/>
    <s v="No"/>
    <s v="Travel_Rarely"/>
    <n v="1258"/>
    <s v="Research &amp; Development"/>
    <n v="1"/>
    <n v="4"/>
    <s v="Life Sciences"/>
    <n v="4"/>
    <s v="Female"/>
    <n v="40"/>
    <n v="4"/>
    <n v="1"/>
    <s v="Research Scientist"/>
    <n v="3"/>
    <s v="Single"/>
    <n v="2506"/>
    <n v="13301"/>
    <n v="3"/>
    <s v="No"/>
    <n v="13"/>
    <n v="3"/>
    <n v="3"/>
    <n v="0"/>
    <n v="7"/>
    <n v="0"/>
    <n v="3"/>
    <n v="2"/>
    <n v="2"/>
    <n v="2"/>
    <n v="2"/>
  </r>
  <r>
    <n v="42"/>
    <s v="No"/>
    <s v="Travel_Rarely"/>
    <n v="932"/>
    <s v="Research &amp; Development"/>
    <n v="1"/>
    <n v="2"/>
    <s v="Life Sciences"/>
    <n v="4"/>
    <s v="Female"/>
    <n v="43"/>
    <n v="2"/>
    <n v="2"/>
    <s v="Manufacturing Director"/>
    <n v="4"/>
    <s v="Married"/>
    <n v="6062"/>
    <n v="4051"/>
    <n v="9"/>
    <s v="Yes"/>
    <n v="13"/>
    <n v="3"/>
    <n v="4"/>
    <n v="1"/>
    <n v="8"/>
    <n v="4"/>
    <n v="3"/>
    <n v="4"/>
    <n v="3"/>
    <n v="0"/>
    <n v="2"/>
  </r>
  <r>
    <n v="28"/>
    <s v="Yes"/>
    <s v="Travel_Rarely"/>
    <n v="890"/>
    <s v="Research &amp; Development"/>
    <n v="2"/>
    <n v="4"/>
    <s v="Medical"/>
    <n v="3"/>
    <s v="Male"/>
    <n v="46"/>
    <n v="3"/>
    <n v="1"/>
    <s v="Research Scientist"/>
    <n v="3"/>
    <s v="Single"/>
    <n v="4382"/>
    <n v="16374"/>
    <n v="6"/>
    <s v="No"/>
    <n v="17"/>
    <n v="3"/>
    <n v="4"/>
    <n v="0"/>
    <n v="5"/>
    <n v="3"/>
    <n v="2"/>
    <n v="2"/>
    <n v="2"/>
    <n v="2"/>
    <n v="1"/>
  </r>
  <r>
    <n v="36"/>
    <s v="No"/>
    <s v="Travel_Rarely"/>
    <n v="1041"/>
    <s v="Human Resources"/>
    <n v="13"/>
    <n v="3"/>
    <s v="Human Resources"/>
    <n v="3"/>
    <s v="Male"/>
    <n v="36"/>
    <n v="3"/>
    <n v="1"/>
    <s v="Human Resources"/>
    <n v="2"/>
    <s v="Married"/>
    <n v="2143"/>
    <n v="25527"/>
    <n v="4"/>
    <s v="No"/>
    <n v="13"/>
    <n v="3"/>
    <n v="2"/>
    <n v="1"/>
    <n v="8"/>
    <n v="2"/>
    <n v="3"/>
    <n v="5"/>
    <n v="2"/>
    <n v="0"/>
    <n v="4"/>
  </r>
  <r>
    <n v="32"/>
    <s v="No"/>
    <s v="Travel_Rarely"/>
    <n v="859"/>
    <s v="Research &amp; Development"/>
    <n v="4"/>
    <n v="3"/>
    <s v="Life Sciences"/>
    <n v="3"/>
    <s v="Female"/>
    <n v="98"/>
    <n v="2"/>
    <n v="2"/>
    <s v="Manufacturing Director"/>
    <n v="3"/>
    <s v="Married"/>
    <n v="6162"/>
    <n v="19124"/>
    <n v="1"/>
    <s v="No"/>
    <n v="12"/>
    <n v="3"/>
    <n v="3"/>
    <n v="1"/>
    <n v="14"/>
    <n v="3"/>
    <n v="3"/>
    <n v="14"/>
    <n v="13"/>
    <n v="6"/>
    <n v="8"/>
  </r>
  <r>
    <n v="40"/>
    <s v="No"/>
    <s v="Travel_Frequently"/>
    <n v="720"/>
    <s v="Research &amp; Development"/>
    <n v="16"/>
    <n v="4"/>
    <s v="Medical"/>
    <n v="1"/>
    <s v="Male"/>
    <n v="51"/>
    <n v="2"/>
    <n v="2"/>
    <s v="Laboratory Technician"/>
    <n v="3"/>
    <s v="Single"/>
    <n v="5094"/>
    <n v="11983"/>
    <n v="6"/>
    <s v="No"/>
    <n v="14"/>
    <n v="3"/>
    <n v="4"/>
    <n v="0"/>
    <n v="10"/>
    <n v="6"/>
    <n v="3"/>
    <n v="1"/>
    <n v="0"/>
    <n v="0"/>
    <n v="0"/>
  </r>
  <r>
    <n v="30"/>
    <s v="No"/>
    <s v="Travel_Rarely"/>
    <n v="946"/>
    <s v="Research &amp; Development"/>
    <n v="2"/>
    <n v="3"/>
    <s v="Medical"/>
    <n v="3"/>
    <s v="Female"/>
    <n v="52"/>
    <n v="2"/>
    <n v="2"/>
    <s v="Manufacturing Director"/>
    <n v="4"/>
    <s v="Single"/>
    <n v="6877"/>
    <n v="20234"/>
    <n v="5"/>
    <s v="Yes"/>
    <n v="24"/>
    <n v="4"/>
    <n v="2"/>
    <n v="0"/>
    <n v="12"/>
    <n v="4"/>
    <n v="2"/>
    <n v="0"/>
    <n v="0"/>
    <n v="0"/>
    <n v="0"/>
  </r>
  <r>
    <n v="45"/>
    <s v="No"/>
    <s v="Travel_Rarely"/>
    <n v="252"/>
    <s v="Research &amp; Development"/>
    <n v="2"/>
    <n v="3"/>
    <s v="Life Sciences"/>
    <n v="2"/>
    <s v="Female"/>
    <n v="95"/>
    <n v="2"/>
    <n v="1"/>
    <s v="Research Scientist"/>
    <n v="3"/>
    <s v="Single"/>
    <n v="2274"/>
    <n v="6153"/>
    <n v="1"/>
    <s v="No"/>
    <n v="14"/>
    <n v="3"/>
    <n v="4"/>
    <n v="0"/>
    <n v="1"/>
    <n v="3"/>
    <n v="3"/>
    <n v="1"/>
    <n v="0"/>
    <n v="0"/>
    <n v="0"/>
  </r>
  <r>
    <n v="42"/>
    <s v="No"/>
    <s v="Travel_Rarely"/>
    <n v="933"/>
    <s v="Research &amp; Development"/>
    <n v="29"/>
    <n v="3"/>
    <s v="Life Sciences"/>
    <n v="2"/>
    <s v="Male"/>
    <n v="98"/>
    <n v="3"/>
    <n v="2"/>
    <s v="Manufacturing Director"/>
    <n v="2"/>
    <s v="Married"/>
    <n v="4434"/>
    <n v="11806"/>
    <n v="1"/>
    <s v="No"/>
    <n v="13"/>
    <n v="3"/>
    <n v="4"/>
    <n v="1"/>
    <n v="10"/>
    <n v="3"/>
    <n v="2"/>
    <n v="9"/>
    <n v="8"/>
    <n v="7"/>
    <n v="8"/>
  </r>
  <r>
    <n v="38"/>
    <s v="No"/>
    <s v="Travel_Frequently"/>
    <n v="471"/>
    <s v="Research &amp; Development"/>
    <n v="12"/>
    <n v="3"/>
    <s v="Life Sciences"/>
    <n v="1"/>
    <s v="Male"/>
    <n v="45"/>
    <n v="2"/>
    <n v="2"/>
    <s v="Healthcare Representative"/>
    <n v="1"/>
    <s v="Divorced"/>
    <n v="6288"/>
    <n v="4284"/>
    <n v="2"/>
    <s v="No"/>
    <n v="15"/>
    <n v="3"/>
    <n v="3"/>
    <n v="1"/>
    <n v="13"/>
    <n v="3"/>
    <n v="2"/>
    <n v="4"/>
    <n v="3"/>
    <n v="1"/>
    <n v="2"/>
  </r>
  <r>
    <n v="34"/>
    <s v="No"/>
    <s v="Travel_Frequently"/>
    <n v="702"/>
    <s v="Research &amp; Development"/>
    <n v="16"/>
    <n v="4"/>
    <s v="Life Sciences"/>
    <n v="3"/>
    <s v="Female"/>
    <n v="100"/>
    <n v="2"/>
    <n v="1"/>
    <s v="Research Scientist"/>
    <n v="4"/>
    <s v="Single"/>
    <n v="2553"/>
    <n v="8306"/>
    <n v="1"/>
    <s v="No"/>
    <n v="16"/>
    <n v="3"/>
    <n v="3"/>
    <n v="0"/>
    <n v="6"/>
    <n v="3"/>
    <n v="3"/>
    <n v="5"/>
    <n v="2"/>
    <n v="1"/>
    <n v="3"/>
  </r>
  <r>
    <n v="49"/>
    <s v="Yes"/>
    <s v="Travel_Rarely"/>
    <n v="1184"/>
    <s v="Sales"/>
    <n v="11"/>
    <n v="3"/>
    <s v="Marketing"/>
    <n v="3"/>
    <s v="Female"/>
    <n v="43"/>
    <n v="3"/>
    <n v="3"/>
    <s v="Sales Executive"/>
    <n v="4"/>
    <s v="Married"/>
    <n v="7654"/>
    <n v="5860"/>
    <n v="1"/>
    <s v="No"/>
    <n v="18"/>
    <n v="3"/>
    <n v="1"/>
    <n v="2"/>
    <n v="9"/>
    <n v="3"/>
    <n v="4"/>
    <n v="9"/>
    <n v="8"/>
    <n v="7"/>
    <n v="7"/>
  </r>
  <r>
    <n v="55"/>
    <s v="Yes"/>
    <s v="Travel_Rarely"/>
    <n v="436"/>
    <s v="Sales"/>
    <n v="2"/>
    <n v="1"/>
    <s v="Medical"/>
    <n v="3"/>
    <s v="Male"/>
    <n v="37"/>
    <n v="3"/>
    <n v="2"/>
    <s v="Sales Executive"/>
    <n v="4"/>
    <s v="Single"/>
    <n v="5160"/>
    <n v="21519"/>
    <n v="4"/>
    <s v="No"/>
    <n v="16"/>
    <n v="3"/>
    <n v="3"/>
    <n v="0"/>
    <n v="12"/>
    <n v="3"/>
    <n v="2"/>
    <n v="9"/>
    <n v="7"/>
    <n v="7"/>
    <n v="3"/>
  </r>
  <r>
    <n v="43"/>
    <s v="No"/>
    <s v="Travel_Rarely"/>
    <n v="589"/>
    <s v="Research &amp; Development"/>
    <n v="14"/>
    <n v="2"/>
    <s v="Life Sciences"/>
    <n v="2"/>
    <s v="Male"/>
    <n v="94"/>
    <n v="3"/>
    <n v="4"/>
    <s v="Research Director"/>
    <n v="1"/>
    <s v="Married"/>
    <n v="17159"/>
    <n v="5200"/>
    <n v="6"/>
    <s v="No"/>
    <n v="24"/>
    <n v="4"/>
    <n v="3"/>
    <n v="1"/>
    <n v="22"/>
    <n v="3"/>
    <n v="3"/>
    <n v="4"/>
    <n v="1"/>
    <n v="1"/>
    <n v="0"/>
  </r>
  <r>
    <n v="27"/>
    <s v="No"/>
    <s v="Travel_Rarely"/>
    <n v="269"/>
    <s v="Research &amp; Development"/>
    <n v="5"/>
    <n v="1"/>
    <s v="Technical Degree"/>
    <n v="3"/>
    <s v="Male"/>
    <n v="42"/>
    <n v="2"/>
    <n v="3"/>
    <s v="Research Director"/>
    <n v="4"/>
    <s v="Divorced"/>
    <n v="12808"/>
    <n v="8842"/>
    <n v="1"/>
    <s v="Yes"/>
    <n v="16"/>
    <n v="3"/>
    <n v="2"/>
    <n v="1"/>
    <n v="9"/>
    <n v="3"/>
    <n v="3"/>
    <n v="9"/>
    <n v="8"/>
    <n v="0"/>
    <n v="8"/>
  </r>
  <r>
    <n v="35"/>
    <s v="No"/>
    <s v="Travel_Rarely"/>
    <n v="950"/>
    <s v="Research &amp; Development"/>
    <n v="7"/>
    <n v="3"/>
    <s v="Other"/>
    <n v="3"/>
    <s v="Male"/>
    <n v="59"/>
    <n v="3"/>
    <n v="3"/>
    <s v="Manufacturing Director"/>
    <n v="3"/>
    <s v="Single"/>
    <n v="10221"/>
    <n v="18869"/>
    <n v="3"/>
    <s v="No"/>
    <n v="21"/>
    <n v="4"/>
    <n v="2"/>
    <n v="0"/>
    <n v="17"/>
    <n v="3"/>
    <n v="4"/>
    <n v="8"/>
    <n v="5"/>
    <n v="1"/>
    <n v="6"/>
  </r>
  <r>
    <n v="28"/>
    <s v="No"/>
    <s v="Travel_Rarely"/>
    <n v="760"/>
    <s v="Sales"/>
    <n v="2"/>
    <n v="4"/>
    <s v="Marketing"/>
    <n v="2"/>
    <s v="Female"/>
    <n v="81"/>
    <n v="3"/>
    <n v="2"/>
    <s v="Sales Executive"/>
    <n v="2"/>
    <s v="Married"/>
    <n v="4779"/>
    <n v="3698"/>
    <n v="1"/>
    <s v="Yes"/>
    <n v="20"/>
    <n v="4"/>
    <n v="1"/>
    <n v="0"/>
    <n v="8"/>
    <n v="2"/>
    <n v="3"/>
    <n v="8"/>
    <n v="7"/>
    <n v="7"/>
    <n v="5"/>
  </r>
  <r>
    <n v="34"/>
    <s v="No"/>
    <s v="Travel_Rarely"/>
    <n v="829"/>
    <s v="Human Resources"/>
    <n v="3"/>
    <n v="2"/>
    <s v="Human Resources"/>
    <n v="3"/>
    <s v="Male"/>
    <n v="88"/>
    <n v="3"/>
    <n v="1"/>
    <s v="Human Resources"/>
    <n v="4"/>
    <s v="Married"/>
    <n v="3737"/>
    <n v="2243"/>
    <n v="0"/>
    <s v="No"/>
    <n v="19"/>
    <n v="3"/>
    <n v="3"/>
    <n v="1"/>
    <n v="4"/>
    <n v="1"/>
    <n v="1"/>
    <n v="3"/>
    <n v="2"/>
    <n v="0"/>
    <n v="2"/>
  </r>
  <r>
    <n v="26"/>
    <s v="Yes"/>
    <s v="Travel_Frequently"/>
    <n v="887"/>
    <s v="Research &amp; Development"/>
    <n v="5"/>
    <n v="2"/>
    <s v="Medical"/>
    <n v="3"/>
    <s v="Female"/>
    <n v="88"/>
    <n v="2"/>
    <n v="1"/>
    <s v="Research Scientist"/>
    <n v="3"/>
    <s v="Married"/>
    <n v="2366"/>
    <n v="20898"/>
    <n v="1"/>
    <s v="Yes"/>
    <n v="14"/>
    <n v="3"/>
    <n v="1"/>
    <n v="1"/>
    <n v="8"/>
    <n v="2"/>
    <n v="3"/>
    <n v="8"/>
    <n v="7"/>
    <n v="1"/>
    <n v="7"/>
  </r>
  <r>
    <n v="27"/>
    <s v="No"/>
    <s v="Non-Travel"/>
    <n v="443"/>
    <s v="Research &amp; Development"/>
    <n v="3"/>
    <n v="3"/>
    <s v="Medical"/>
    <n v="4"/>
    <s v="Male"/>
    <n v="50"/>
    <n v="3"/>
    <n v="1"/>
    <s v="Research Scientist"/>
    <n v="4"/>
    <s v="Married"/>
    <n v="1706"/>
    <n v="16571"/>
    <n v="1"/>
    <s v="No"/>
    <n v="11"/>
    <n v="3"/>
    <n v="3"/>
    <n v="3"/>
    <n v="0"/>
    <n v="6"/>
    <n v="2"/>
    <n v="0"/>
    <n v="0"/>
    <n v="0"/>
    <n v="0"/>
  </r>
  <r>
    <n v="51"/>
    <s v="No"/>
    <s v="Travel_Rarely"/>
    <n v="1318"/>
    <s v="Sales"/>
    <n v="26"/>
    <n v="4"/>
    <s v="Marketing"/>
    <n v="1"/>
    <s v="Female"/>
    <n v="66"/>
    <n v="3"/>
    <n v="4"/>
    <s v="Manager"/>
    <n v="3"/>
    <s v="Married"/>
    <n v="16307"/>
    <n v="5594"/>
    <n v="2"/>
    <s v="No"/>
    <n v="14"/>
    <n v="3"/>
    <n v="3"/>
    <n v="1"/>
    <n v="29"/>
    <n v="2"/>
    <n v="2"/>
    <n v="20"/>
    <n v="6"/>
    <n v="4"/>
    <n v="17"/>
  </r>
  <r>
    <n v="44"/>
    <s v="No"/>
    <s v="Travel_Rarely"/>
    <n v="625"/>
    <s v="Research &amp; Development"/>
    <n v="4"/>
    <n v="3"/>
    <s v="Medical"/>
    <n v="4"/>
    <s v="Male"/>
    <n v="50"/>
    <n v="3"/>
    <n v="2"/>
    <s v="Healthcare Representative"/>
    <n v="2"/>
    <s v="Single"/>
    <n v="5933"/>
    <n v="5197"/>
    <n v="9"/>
    <s v="No"/>
    <n v="12"/>
    <n v="3"/>
    <n v="4"/>
    <n v="0"/>
    <n v="10"/>
    <n v="2"/>
    <n v="2"/>
    <n v="5"/>
    <n v="2"/>
    <n v="2"/>
    <n v="3"/>
  </r>
  <r>
    <n v="25"/>
    <s v="No"/>
    <s v="Travel_Rarely"/>
    <n v="180"/>
    <s v="Research &amp; Development"/>
    <n v="2"/>
    <n v="1"/>
    <s v="Medical"/>
    <n v="1"/>
    <s v="Male"/>
    <n v="65"/>
    <n v="4"/>
    <n v="1"/>
    <s v="Research Scientist"/>
    <n v="1"/>
    <s v="Single"/>
    <n v="3424"/>
    <n v="21632"/>
    <n v="7"/>
    <s v="No"/>
    <n v="13"/>
    <n v="3"/>
    <n v="3"/>
    <n v="0"/>
    <n v="6"/>
    <n v="3"/>
    <n v="2"/>
    <n v="4"/>
    <n v="3"/>
    <n v="0"/>
    <n v="1"/>
  </r>
  <r>
    <n v="33"/>
    <s v="No"/>
    <s v="Travel_Rarely"/>
    <n v="586"/>
    <s v="Sales"/>
    <n v="1"/>
    <n v="3"/>
    <s v="Medical"/>
    <n v="1"/>
    <s v="Male"/>
    <n v="48"/>
    <n v="4"/>
    <n v="2"/>
    <s v="Sales Executive"/>
    <n v="1"/>
    <s v="Divorced"/>
    <n v="4037"/>
    <n v="21816"/>
    <n v="1"/>
    <s v="No"/>
    <n v="22"/>
    <n v="4"/>
    <n v="1"/>
    <n v="1"/>
    <n v="9"/>
    <n v="5"/>
    <n v="3"/>
    <n v="9"/>
    <n v="8"/>
    <n v="0"/>
    <n v="8"/>
  </r>
  <r>
    <n v="35"/>
    <s v="No"/>
    <s v="Travel_Rarely"/>
    <n v="1343"/>
    <s v="Research &amp; Development"/>
    <n v="27"/>
    <n v="1"/>
    <s v="Medical"/>
    <n v="3"/>
    <s v="Female"/>
    <n v="53"/>
    <n v="2"/>
    <n v="1"/>
    <s v="Research Scientist"/>
    <n v="1"/>
    <s v="Single"/>
    <n v="2559"/>
    <n v="17852"/>
    <n v="1"/>
    <s v="No"/>
    <n v="11"/>
    <n v="3"/>
    <n v="4"/>
    <n v="0"/>
    <n v="6"/>
    <n v="3"/>
    <n v="2"/>
    <n v="6"/>
    <n v="5"/>
    <n v="1"/>
    <n v="1"/>
  </r>
  <r>
    <n v="36"/>
    <s v="No"/>
    <s v="Travel_Rarely"/>
    <n v="928"/>
    <s v="Sales"/>
    <n v="1"/>
    <n v="2"/>
    <s v="Life Sciences"/>
    <n v="2"/>
    <s v="Male"/>
    <n v="56"/>
    <n v="3"/>
    <n v="2"/>
    <s v="Sales Executive"/>
    <n v="4"/>
    <s v="Married"/>
    <n v="6201"/>
    <n v="2823"/>
    <n v="1"/>
    <s v="Yes"/>
    <n v="14"/>
    <n v="3"/>
    <n v="4"/>
    <n v="1"/>
    <n v="18"/>
    <n v="1"/>
    <n v="2"/>
    <n v="18"/>
    <n v="14"/>
    <n v="4"/>
    <n v="11"/>
  </r>
  <r>
    <n v="32"/>
    <s v="No"/>
    <s v="Travel_Rarely"/>
    <n v="117"/>
    <s v="Sales"/>
    <n v="13"/>
    <n v="4"/>
    <s v="Life Sciences"/>
    <n v="2"/>
    <s v="Male"/>
    <n v="73"/>
    <n v="3"/>
    <n v="2"/>
    <s v="Sales Executive"/>
    <n v="4"/>
    <s v="Divorced"/>
    <n v="4403"/>
    <n v="9250"/>
    <n v="2"/>
    <s v="No"/>
    <n v="11"/>
    <n v="3"/>
    <n v="3"/>
    <n v="1"/>
    <n v="8"/>
    <n v="3"/>
    <n v="2"/>
    <n v="5"/>
    <n v="2"/>
    <n v="0"/>
    <n v="3"/>
  </r>
  <r>
    <n v="30"/>
    <s v="No"/>
    <s v="Travel_Frequently"/>
    <n v="1012"/>
    <s v="Research &amp; Development"/>
    <n v="5"/>
    <n v="4"/>
    <s v="Life Sciences"/>
    <n v="2"/>
    <s v="Male"/>
    <n v="75"/>
    <n v="2"/>
    <n v="1"/>
    <s v="Research Scientist"/>
    <n v="4"/>
    <s v="Divorced"/>
    <n v="3761"/>
    <n v="2373"/>
    <n v="9"/>
    <s v="No"/>
    <n v="12"/>
    <n v="3"/>
    <n v="2"/>
    <n v="1"/>
    <n v="10"/>
    <n v="3"/>
    <n v="2"/>
    <n v="5"/>
    <n v="4"/>
    <n v="0"/>
    <n v="3"/>
  </r>
  <r>
    <n v="53"/>
    <s v="No"/>
    <s v="Travel_Rarely"/>
    <n v="661"/>
    <s v="Sales"/>
    <n v="7"/>
    <n v="2"/>
    <s v="Marketing"/>
    <n v="1"/>
    <s v="Female"/>
    <n v="78"/>
    <n v="2"/>
    <n v="3"/>
    <s v="Sales Executive"/>
    <n v="4"/>
    <s v="Married"/>
    <n v="10934"/>
    <n v="20715"/>
    <n v="7"/>
    <s v="Yes"/>
    <n v="18"/>
    <n v="3"/>
    <n v="4"/>
    <n v="1"/>
    <n v="35"/>
    <n v="3"/>
    <n v="3"/>
    <n v="5"/>
    <n v="2"/>
    <n v="0"/>
    <n v="4"/>
  </r>
  <r>
    <n v="45"/>
    <s v="No"/>
    <s v="Travel_Rarely"/>
    <n v="930"/>
    <s v="Sales"/>
    <n v="9"/>
    <n v="3"/>
    <s v="Marketing"/>
    <n v="4"/>
    <s v="Male"/>
    <n v="74"/>
    <n v="3"/>
    <n v="3"/>
    <s v="Sales Executive"/>
    <n v="1"/>
    <s v="Divorced"/>
    <n v="10761"/>
    <n v="19239"/>
    <n v="4"/>
    <s v="Yes"/>
    <n v="12"/>
    <n v="3"/>
    <n v="3"/>
    <n v="1"/>
    <n v="18"/>
    <n v="2"/>
    <n v="3"/>
    <n v="5"/>
    <n v="4"/>
    <n v="0"/>
    <n v="2"/>
  </r>
  <r>
    <n v="32"/>
    <s v="No"/>
    <s v="Travel_Rarely"/>
    <n v="638"/>
    <s v="Research &amp; Development"/>
    <n v="8"/>
    <n v="2"/>
    <s v="Medical"/>
    <n v="3"/>
    <s v="Female"/>
    <n v="91"/>
    <n v="4"/>
    <n v="2"/>
    <s v="Research Scientist"/>
    <n v="3"/>
    <s v="Married"/>
    <n v="5175"/>
    <n v="22162"/>
    <n v="5"/>
    <s v="No"/>
    <n v="12"/>
    <n v="3"/>
    <n v="3"/>
    <n v="1"/>
    <n v="9"/>
    <n v="3"/>
    <n v="2"/>
    <n v="5"/>
    <n v="3"/>
    <n v="1"/>
    <n v="3"/>
  </r>
  <r>
    <n v="52"/>
    <s v="No"/>
    <s v="Travel_Frequently"/>
    <n v="890"/>
    <s v="Research &amp; Development"/>
    <n v="25"/>
    <n v="4"/>
    <s v="Medical"/>
    <n v="3"/>
    <s v="Female"/>
    <n v="81"/>
    <n v="2"/>
    <n v="4"/>
    <s v="Manufacturing Director"/>
    <n v="4"/>
    <s v="Married"/>
    <n v="13826"/>
    <n v="19028"/>
    <n v="3"/>
    <s v="No"/>
    <n v="22"/>
    <n v="4"/>
    <n v="3"/>
    <n v="0"/>
    <n v="31"/>
    <n v="3"/>
    <n v="3"/>
    <n v="9"/>
    <n v="8"/>
    <n v="0"/>
    <n v="0"/>
  </r>
  <r>
    <n v="37"/>
    <s v="No"/>
    <s v="Travel_Rarely"/>
    <n v="342"/>
    <s v="Sales"/>
    <n v="16"/>
    <n v="4"/>
    <s v="Marketing"/>
    <n v="4"/>
    <s v="Male"/>
    <n v="66"/>
    <n v="2"/>
    <n v="2"/>
    <s v="Sales Executive"/>
    <n v="3"/>
    <s v="Divorced"/>
    <n v="6334"/>
    <n v="24558"/>
    <n v="4"/>
    <s v="No"/>
    <n v="19"/>
    <n v="3"/>
    <n v="4"/>
    <n v="2"/>
    <n v="9"/>
    <n v="2"/>
    <n v="3"/>
    <n v="1"/>
    <n v="0"/>
    <n v="0"/>
    <n v="0"/>
  </r>
  <r>
    <n v="28"/>
    <s v="No"/>
    <s v="Travel_Rarely"/>
    <n v="1169"/>
    <s v="Human Resources"/>
    <n v="8"/>
    <n v="2"/>
    <s v="Medical"/>
    <n v="2"/>
    <s v="Male"/>
    <n v="63"/>
    <n v="2"/>
    <n v="1"/>
    <s v="Human Resources"/>
    <n v="4"/>
    <s v="Divorced"/>
    <n v="4936"/>
    <n v="23965"/>
    <n v="1"/>
    <s v="No"/>
    <n v="13"/>
    <n v="3"/>
    <n v="4"/>
    <n v="1"/>
    <n v="6"/>
    <n v="6"/>
    <n v="3"/>
    <n v="5"/>
    <n v="1"/>
    <n v="0"/>
    <n v="4"/>
  </r>
  <r>
    <n v="22"/>
    <s v="No"/>
    <s v="Travel_Rarely"/>
    <n v="1230"/>
    <s v="Research &amp; Development"/>
    <n v="1"/>
    <n v="2"/>
    <s v="Life Sciences"/>
    <n v="4"/>
    <s v="Male"/>
    <n v="33"/>
    <n v="2"/>
    <n v="2"/>
    <s v="Manufacturing Director"/>
    <n v="4"/>
    <s v="Married"/>
    <n v="4775"/>
    <n v="19146"/>
    <n v="6"/>
    <s v="No"/>
    <n v="22"/>
    <n v="4"/>
    <n v="1"/>
    <n v="2"/>
    <n v="4"/>
    <n v="2"/>
    <n v="1"/>
    <n v="2"/>
    <n v="2"/>
    <n v="2"/>
    <n v="2"/>
  </r>
  <r>
    <n v="44"/>
    <s v="No"/>
    <s v="Travel_Rarely"/>
    <n v="986"/>
    <s v="Research &amp; Development"/>
    <n v="8"/>
    <n v="4"/>
    <s v="Life Sciences"/>
    <n v="1"/>
    <s v="Male"/>
    <n v="62"/>
    <n v="4"/>
    <n v="1"/>
    <s v="Laboratory Technician"/>
    <n v="4"/>
    <s v="Married"/>
    <n v="2818"/>
    <n v="5044"/>
    <n v="2"/>
    <s v="Yes"/>
    <n v="24"/>
    <n v="4"/>
    <n v="3"/>
    <n v="1"/>
    <n v="10"/>
    <n v="2"/>
    <n v="2"/>
    <n v="3"/>
    <n v="2"/>
    <n v="0"/>
    <n v="2"/>
  </r>
  <r>
    <n v="42"/>
    <s v="No"/>
    <s v="Travel_Frequently"/>
    <n v="1271"/>
    <s v="Research &amp; Development"/>
    <n v="2"/>
    <n v="1"/>
    <s v="Medical"/>
    <n v="2"/>
    <s v="Male"/>
    <n v="35"/>
    <n v="3"/>
    <n v="1"/>
    <s v="Research Scientist"/>
    <n v="4"/>
    <s v="Single"/>
    <n v="2515"/>
    <n v="9068"/>
    <n v="5"/>
    <s v="Yes"/>
    <n v="14"/>
    <n v="3"/>
    <n v="4"/>
    <n v="0"/>
    <n v="8"/>
    <n v="2"/>
    <n v="3"/>
    <n v="2"/>
    <n v="1"/>
    <n v="2"/>
    <n v="2"/>
  </r>
  <r>
    <n v="36"/>
    <s v="No"/>
    <s v="Travel_Rarely"/>
    <n v="1278"/>
    <s v="Human Resources"/>
    <n v="8"/>
    <n v="3"/>
    <s v="Life Sciences"/>
    <n v="1"/>
    <s v="Male"/>
    <n v="77"/>
    <n v="2"/>
    <n v="1"/>
    <s v="Human Resources"/>
    <n v="1"/>
    <s v="Married"/>
    <n v="2342"/>
    <n v="8635"/>
    <n v="0"/>
    <s v="No"/>
    <n v="21"/>
    <n v="4"/>
    <n v="3"/>
    <n v="0"/>
    <n v="6"/>
    <n v="3"/>
    <n v="3"/>
    <n v="5"/>
    <n v="4"/>
    <n v="0"/>
    <n v="3"/>
  </r>
  <r>
    <n v="25"/>
    <s v="No"/>
    <s v="Travel_Rarely"/>
    <n v="141"/>
    <s v="Sales"/>
    <n v="3"/>
    <n v="1"/>
    <s v="Other"/>
    <n v="3"/>
    <s v="Male"/>
    <n v="98"/>
    <n v="3"/>
    <n v="2"/>
    <s v="Sales Executive"/>
    <n v="1"/>
    <s v="Married"/>
    <n v="4194"/>
    <n v="14363"/>
    <n v="1"/>
    <s v="Yes"/>
    <n v="18"/>
    <n v="3"/>
    <n v="4"/>
    <n v="0"/>
    <n v="5"/>
    <n v="3"/>
    <n v="3"/>
    <n v="5"/>
    <n v="3"/>
    <n v="0"/>
    <n v="3"/>
  </r>
  <r>
    <n v="35"/>
    <s v="No"/>
    <s v="Travel_Rarely"/>
    <n v="607"/>
    <s v="Research &amp; Development"/>
    <n v="9"/>
    <n v="3"/>
    <s v="Life Sciences"/>
    <n v="4"/>
    <s v="Female"/>
    <n v="66"/>
    <n v="2"/>
    <n v="3"/>
    <s v="Manufacturing Director"/>
    <n v="3"/>
    <s v="Married"/>
    <n v="10685"/>
    <n v="23457"/>
    <n v="1"/>
    <s v="Yes"/>
    <n v="20"/>
    <n v="4"/>
    <n v="2"/>
    <n v="1"/>
    <n v="17"/>
    <n v="2"/>
    <n v="3"/>
    <n v="17"/>
    <n v="14"/>
    <n v="5"/>
    <n v="15"/>
  </r>
  <r>
    <n v="35"/>
    <s v="Yes"/>
    <s v="Travel_Frequently"/>
    <n v="130"/>
    <s v="Research &amp; Development"/>
    <n v="25"/>
    <n v="4"/>
    <s v="Life Sciences"/>
    <n v="4"/>
    <s v="Female"/>
    <n v="96"/>
    <n v="3"/>
    <n v="1"/>
    <s v="Research Scientist"/>
    <n v="2"/>
    <s v="Divorced"/>
    <n v="2022"/>
    <n v="16612"/>
    <n v="1"/>
    <s v="Yes"/>
    <n v="19"/>
    <n v="3"/>
    <n v="1"/>
    <n v="1"/>
    <n v="10"/>
    <n v="3"/>
    <n v="2"/>
    <n v="10"/>
    <n v="2"/>
    <n v="7"/>
    <n v="8"/>
  </r>
  <r>
    <n v="32"/>
    <s v="No"/>
    <s v="Non-Travel"/>
    <n v="300"/>
    <s v="Research &amp; Development"/>
    <n v="1"/>
    <n v="3"/>
    <s v="Life Sciences"/>
    <n v="4"/>
    <s v="Male"/>
    <n v="61"/>
    <n v="3"/>
    <n v="1"/>
    <s v="Laboratory Technician"/>
    <n v="4"/>
    <s v="Divorced"/>
    <n v="2314"/>
    <n v="9148"/>
    <n v="0"/>
    <s v="No"/>
    <n v="12"/>
    <n v="3"/>
    <n v="2"/>
    <n v="1"/>
    <n v="4"/>
    <n v="2"/>
    <n v="3"/>
    <n v="3"/>
    <n v="0"/>
    <n v="0"/>
    <n v="2"/>
  </r>
  <r>
    <n v="25"/>
    <s v="No"/>
    <s v="Travel_Rarely"/>
    <n v="583"/>
    <s v="Sales"/>
    <n v="4"/>
    <n v="1"/>
    <s v="Marketing"/>
    <n v="3"/>
    <s v="Male"/>
    <n v="87"/>
    <n v="2"/>
    <n v="2"/>
    <s v="Sales Executive"/>
    <n v="1"/>
    <s v="Married"/>
    <n v="4256"/>
    <n v="18154"/>
    <n v="1"/>
    <s v="No"/>
    <n v="12"/>
    <n v="3"/>
    <n v="1"/>
    <n v="0"/>
    <n v="5"/>
    <n v="1"/>
    <n v="4"/>
    <n v="5"/>
    <n v="2"/>
    <n v="0"/>
    <n v="3"/>
  </r>
  <r>
    <n v="49"/>
    <s v="No"/>
    <s v="Travel_Rarely"/>
    <n v="1418"/>
    <s v="Research &amp; Development"/>
    <n v="1"/>
    <n v="3"/>
    <s v="Technical Degree"/>
    <n v="3"/>
    <s v="Female"/>
    <n v="36"/>
    <n v="3"/>
    <n v="1"/>
    <s v="Research Scientist"/>
    <n v="1"/>
    <s v="Married"/>
    <n v="3580"/>
    <n v="10554"/>
    <n v="2"/>
    <s v="No"/>
    <n v="16"/>
    <n v="3"/>
    <n v="2"/>
    <n v="1"/>
    <n v="7"/>
    <n v="2"/>
    <n v="3"/>
    <n v="4"/>
    <n v="2"/>
    <n v="0"/>
    <n v="2"/>
  </r>
  <r>
    <n v="24"/>
    <s v="No"/>
    <s v="Non-Travel"/>
    <n v="1269"/>
    <s v="Research &amp; Development"/>
    <n v="4"/>
    <n v="1"/>
    <s v="Life Sciences"/>
    <n v="1"/>
    <s v="Male"/>
    <n v="46"/>
    <n v="2"/>
    <n v="1"/>
    <s v="Laboratory Technician"/>
    <n v="4"/>
    <s v="Married"/>
    <n v="3162"/>
    <n v="10778"/>
    <n v="0"/>
    <s v="No"/>
    <n v="17"/>
    <n v="3"/>
    <n v="4"/>
    <n v="0"/>
    <n v="6"/>
    <n v="2"/>
    <n v="2"/>
    <n v="5"/>
    <n v="2"/>
    <n v="3"/>
    <n v="4"/>
  </r>
  <r>
    <n v="32"/>
    <s v="No"/>
    <s v="Travel_Frequently"/>
    <n v="379"/>
    <s v="Sales"/>
    <n v="5"/>
    <n v="2"/>
    <s v="Life Sciences"/>
    <n v="2"/>
    <s v="Male"/>
    <n v="48"/>
    <n v="3"/>
    <n v="2"/>
    <s v="Sales Executive"/>
    <n v="2"/>
    <s v="Married"/>
    <n v="6524"/>
    <n v="8891"/>
    <n v="1"/>
    <s v="No"/>
    <n v="14"/>
    <n v="3"/>
    <n v="4"/>
    <n v="1"/>
    <n v="10"/>
    <n v="3"/>
    <n v="3"/>
    <n v="10"/>
    <n v="8"/>
    <n v="5"/>
    <n v="3"/>
  </r>
  <r>
    <n v="38"/>
    <s v="No"/>
    <s v="Travel_Rarely"/>
    <n v="395"/>
    <s v="Sales"/>
    <n v="9"/>
    <n v="3"/>
    <s v="Marketing"/>
    <n v="2"/>
    <s v="Male"/>
    <n v="98"/>
    <n v="2"/>
    <n v="1"/>
    <s v="Sales Representative"/>
    <n v="2"/>
    <s v="Married"/>
    <n v="2899"/>
    <n v="12102"/>
    <n v="0"/>
    <s v="No"/>
    <n v="19"/>
    <n v="3"/>
    <n v="4"/>
    <n v="1"/>
    <n v="3"/>
    <n v="3"/>
    <n v="3"/>
    <n v="2"/>
    <n v="2"/>
    <n v="1"/>
    <n v="2"/>
  </r>
  <r>
    <n v="42"/>
    <s v="No"/>
    <s v="Travel_Rarely"/>
    <n v="1265"/>
    <s v="Research &amp; Development"/>
    <n v="3"/>
    <n v="3"/>
    <s v="Life Sciences"/>
    <n v="3"/>
    <s v="Female"/>
    <n v="95"/>
    <n v="4"/>
    <n v="2"/>
    <s v="Laboratory Technician"/>
    <n v="4"/>
    <s v="Married"/>
    <n v="5231"/>
    <n v="23726"/>
    <n v="2"/>
    <s v="Yes"/>
    <n v="13"/>
    <n v="3"/>
    <n v="2"/>
    <n v="1"/>
    <n v="17"/>
    <n v="1"/>
    <n v="2"/>
    <n v="5"/>
    <n v="3"/>
    <n v="1"/>
    <n v="3"/>
  </r>
  <r>
    <n v="31"/>
    <s v="No"/>
    <s v="Travel_Rarely"/>
    <n v="1222"/>
    <s v="Research &amp; Development"/>
    <n v="11"/>
    <n v="4"/>
    <s v="Life Sciences"/>
    <n v="4"/>
    <s v="Male"/>
    <n v="48"/>
    <n v="3"/>
    <n v="1"/>
    <s v="Research Scientist"/>
    <n v="4"/>
    <s v="Married"/>
    <n v="2356"/>
    <n v="14871"/>
    <n v="3"/>
    <s v="Yes"/>
    <n v="19"/>
    <n v="3"/>
    <n v="2"/>
    <n v="1"/>
    <n v="8"/>
    <n v="2"/>
    <n v="3"/>
    <n v="6"/>
    <n v="4"/>
    <n v="0"/>
    <n v="2"/>
  </r>
  <r>
    <n v="29"/>
    <s v="Yes"/>
    <s v="Travel_Rarely"/>
    <n v="341"/>
    <s v="Sales"/>
    <n v="1"/>
    <n v="3"/>
    <s v="Medical"/>
    <n v="2"/>
    <s v="Female"/>
    <n v="48"/>
    <n v="2"/>
    <n v="1"/>
    <s v="Sales Representative"/>
    <n v="3"/>
    <s v="Divorced"/>
    <n v="2800"/>
    <n v="23522"/>
    <n v="6"/>
    <s v="Yes"/>
    <n v="19"/>
    <n v="3"/>
    <n v="3"/>
    <n v="3"/>
    <n v="5"/>
    <n v="3"/>
    <n v="3"/>
    <n v="3"/>
    <n v="2"/>
    <n v="0"/>
    <n v="2"/>
  </r>
  <r>
    <n v="53"/>
    <s v="No"/>
    <s v="Travel_Rarely"/>
    <n v="868"/>
    <s v="Sales"/>
    <n v="8"/>
    <n v="3"/>
    <s v="Marketing"/>
    <n v="1"/>
    <s v="Male"/>
    <n v="73"/>
    <n v="3"/>
    <n v="4"/>
    <s v="Sales Executive"/>
    <n v="4"/>
    <s v="Married"/>
    <n v="11836"/>
    <n v="22789"/>
    <n v="5"/>
    <s v="No"/>
    <n v="14"/>
    <n v="3"/>
    <n v="3"/>
    <n v="1"/>
    <n v="28"/>
    <n v="3"/>
    <n v="3"/>
    <n v="2"/>
    <n v="0"/>
    <n v="2"/>
    <n v="2"/>
  </r>
  <r>
    <n v="35"/>
    <s v="No"/>
    <s v="Travel_Rarely"/>
    <n v="672"/>
    <s v="Research &amp; Development"/>
    <n v="25"/>
    <n v="3"/>
    <s v="Technical Degree"/>
    <n v="4"/>
    <s v="Male"/>
    <n v="78"/>
    <n v="2"/>
    <n v="3"/>
    <s v="Manufacturing Director"/>
    <n v="2"/>
    <s v="Married"/>
    <n v="10903"/>
    <n v="9129"/>
    <n v="3"/>
    <s v="No"/>
    <n v="16"/>
    <n v="3"/>
    <n v="1"/>
    <n v="0"/>
    <n v="16"/>
    <n v="2"/>
    <n v="3"/>
    <n v="13"/>
    <n v="10"/>
    <n v="4"/>
    <n v="8"/>
  </r>
  <r>
    <n v="37"/>
    <s v="No"/>
    <s v="Travel_Frequently"/>
    <n v="1231"/>
    <s v="Sales"/>
    <n v="21"/>
    <n v="2"/>
    <s v="Medical"/>
    <n v="3"/>
    <s v="Female"/>
    <n v="54"/>
    <n v="3"/>
    <n v="1"/>
    <s v="Sales Representative"/>
    <n v="4"/>
    <s v="Married"/>
    <n v="2973"/>
    <n v="21222"/>
    <n v="5"/>
    <s v="No"/>
    <n v="15"/>
    <n v="3"/>
    <n v="2"/>
    <n v="1"/>
    <n v="10"/>
    <n v="3"/>
    <n v="3"/>
    <n v="5"/>
    <n v="4"/>
    <n v="0"/>
    <n v="0"/>
  </r>
  <r>
    <n v="53"/>
    <s v="No"/>
    <s v="Travel_Rarely"/>
    <n v="102"/>
    <s v="Research &amp; Development"/>
    <n v="23"/>
    <n v="4"/>
    <s v="Life Sciences"/>
    <n v="4"/>
    <s v="Female"/>
    <n v="72"/>
    <n v="3"/>
    <n v="4"/>
    <s v="Research Director"/>
    <n v="4"/>
    <s v="Single"/>
    <n v="14275"/>
    <n v="20206"/>
    <n v="6"/>
    <s v="No"/>
    <n v="18"/>
    <n v="3"/>
    <n v="3"/>
    <n v="0"/>
    <n v="33"/>
    <n v="0"/>
    <n v="3"/>
    <n v="12"/>
    <n v="9"/>
    <n v="3"/>
    <n v="8"/>
  </r>
  <r>
    <n v="43"/>
    <s v="No"/>
    <s v="Travel_Frequently"/>
    <n v="422"/>
    <s v="Research &amp; Development"/>
    <n v="1"/>
    <n v="3"/>
    <s v="Life Sciences"/>
    <n v="4"/>
    <s v="Female"/>
    <n v="33"/>
    <n v="3"/>
    <n v="2"/>
    <s v="Healthcare Representative"/>
    <n v="4"/>
    <s v="Married"/>
    <n v="5562"/>
    <n v="21782"/>
    <n v="4"/>
    <s v="No"/>
    <n v="13"/>
    <n v="3"/>
    <n v="2"/>
    <n v="1"/>
    <n v="12"/>
    <n v="2"/>
    <n v="2"/>
    <n v="5"/>
    <n v="2"/>
    <n v="2"/>
    <n v="2"/>
  </r>
  <r>
    <n v="47"/>
    <s v="No"/>
    <s v="Travel_Rarely"/>
    <n v="249"/>
    <s v="Sales"/>
    <n v="2"/>
    <n v="2"/>
    <s v="Marketing"/>
    <n v="3"/>
    <s v="Female"/>
    <n v="35"/>
    <n v="3"/>
    <n v="2"/>
    <s v="Sales Executive"/>
    <n v="4"/>
    <s v="Married"/>
    <n v="4537"/>
    <n v="17783"/>
    <n v="0"/>
    <s v="Yes"/>
    <n v="22"/>
    <n v="4"/>
    <n v="1"/>
    <n v="1"/>
    <n v="8"/>
    <n v="2"/>
    <n v="3"/>
    <n v="7"/>
    <n v="6"/>
    <n v="7"/>
    <n v="7"/>
  </r>
  <r>
    <n v="37"/>
    <s v="No"/>
    <s v="Non-Travel"/>
    <n v="1252"/>
    <s v="Sales"/>
    <n v="19"/>
    <n v="2"/>
    <s v="Medical"/>
    <n v="1"/>
    <s v="Male"/>
    <n v="32"/>
    <n v="3"/>
    <n v="3"/>
    <s v="Sales Executive"/>
    <n v="2"/>
    <s v="Single"/>
    <n v="7642"/>
    <n v="4814"/>
    <n v="1"/>
    <s v="Yes"/>
    <n v="13"/>
    <n v="3"/>
    <n v="4"/>
    <n v="0"/>
    <n v="10"/>
    <n v="2"/>
    <n v="3"/>
    <n v="10"/>
    <n v="0"/>
    <n v="0"/>
    <n v="9"/>
  </r>
  <r>
    <n v="50"/>
    <s v="No"/>
    <s v="Non-Travel"/>
    <n v="881"/>
    <s v="Research &amp; Development"/>
    <n v="2"/>
    <n v="4"/>
    <s v="Life Sciences"/>
    <n v="1"/>
    <s v="Male"/>
    <n v="98"/>
    <n v="3"/>
    <n v="4"/>
    <s v="Manager"/>
    <n v="1"/>
    <s v="Divorced"/>
    <n v="17924"/>
    <n v="4544"/>
    <n v="1"/>
    <s v="No"/>
    <n v="11"/>
    <n v="3"/>
    <n v="4"/>
    <n v="1"/>
    <n v="31"/>
    <n v="3"/>
    <n v="3"/>
    <n v="31"/>
    <n v="6"/>
    <n v="14"/>
    <n v="7"/>
  </r>
  <r>
    <n v="39"/>
    <s v="No"/>
    <s v="Travel_Rarely"/>
    <n v="1383"/>
    <s v="Human Resources"/>
    <n v="2"/>
    <n v="3"/>
    <s v="Life Sciences"/>
    <n v="4"/>
    <s v="Female"/>
    <n v="42"/>
    <n v="2"/>
    <n v="2"/>
    <s v="Human Resources"/>
    <n v="4"/>
    <s v="Married"/>
    <n v="5204"/>
    <n v="7790"/>
    <n v="8"/>
    <s v="No"/>
    <n v="11"/>
    <n v="3"/>
    <n v="3"/>
    <n v="2"/>
    <n v="13"/>
    <n v="2"/>
    <n v="3"/>
    <n v="5"/>
    <n v="4"/>
    <n v="0"/>
    <n v="4"/>
  </r>
  <r>
    <n v="33"/>
    <s v="No"/>
    <s v="Travel_Rarely"/>
    <n v="1075"/>
    <s v="Human Resources"/>
    <n v="3"/>
    <n v="2"/>
    <s v="Human Resources"/>
    <n v="4"/>
    <s v="Male"/>
    <n v="57"/>
    <n v="3"/>
    <n v="1"/>
    <s v="Human Resources"/>
    <n v="2"/>
    <s v="Divorced"/>
    <n v="2277"/>
    <n v="22650"/>
    <n v="3"/>
    <s v="Yes"/>
    <n v="11"/>
    <n v="3"/>
    <n v="3"/>
    <n v="1"/>
    <n v="7"/>
    <n v="4"/>
    <n v="4"/>
    <n v="4"/>
    <n v="3"/>
    <n v="0"/>
    <n v="3"/>
  </r>
  <r>
    <n v="32"/>
    <s v="Yes"/>
    <s v="Travel_Rarely"/>
    <n v="374"/>
    <s v="Research &amp; Development"/>
    <n v="25"/>
    <n v="4"/>
    <s v="Life Sciences"/>
    <n v="1"/>
    <s v="Male"/>
    <n v="87"/>
    <n v="3"/>
    <n v="1"/>
    <s v="Laboratory Technician"/>
    <n v="4"/>
    <s v="Single"/>
    <n v="2795"/>
    <n v="18016"/>
    <n v="1"/>
    <s v="Yes"/>
    <n v="24"/>
    <n v="4"/>
    <n v="3"/>
    <n v="0"/>
    <n v="1"/>
    <n v="2"/>
    <n v="1"/>
    <n v="1"/>
    <n v="0"/>
    <n v="0"/>
    <n v="1"/>
  </r>
  <r>
    <n v="29"/>
    <s v="No"/>
    <s v="Travel_Rarely"/>
    <n v="1086"/>
    <s v="Research &amp; Development"/>
    <n v="7"/>
    <n v="1"/>
    <s v="Medical"/>
    <n v="1"/>
    <s v="Female"/>
    <n v="62"/>
    <n v="2"/>
    <n v="1"/>
    <s v="Laboratory Technician"/>
    <n v="4"/>
    <s v="Divorced"/>
    <n v="2532"/>
    <n v="6054"/>
    <n v="6"/>
    <s v="No"/>
    <n v="14"/>
    <n v="3"/>
    <n v="3"/>
    <n v="3"/>
    <n v="8"/>
    <n v="5"/>
    <n v="3"/>
    <n v="4"/>
    <n v="3"/>
    <n v="0"/>
    <n v="3"/>
  </r>
  <r>
    <n v="44"/>
    <s v="No"/>
    <s v="Travel_Rarely"/>
    <n v="661"/>
    <s v="Research &amp; Development"/>
    <n v="9"/>
    <n v="2"/>
    <s v="Life Sciences"/>
    <n v="2"/>
    <s v="Male"/>
    <n v="61"/>
    <n v="3"/>
    <n v="1"/>
    <s v="Research Scientist"/>
    <n v="1"/>
    <s v="Married"/>
    <n v="2559"/>
    <n v="7508"/>
    <n v="1"/>
    <s v="Yes"/>
    <n v="13"/>
    <n v="3"/>
    <n v="4"/>
    <n v="0"/>
    <n v="8"/>
    <n v="0"/>
    <n v="3"/>
    <n v="8"/>
    <n v="7"/>
    <n v="7"/>
    <n v="1"/>
  </r>
  <r>
    <n v="28"/>
    <s v="No"/>
    <s v="Travel_Rarely"/>
    <n v="821"/>
    <s v="Sales"/>
    <n v="5"/>
    <n v="4"/>
    <s v="Medical"/>
    <n v="1"/>
    <s v="Male"/>
    <n v="98"/>
    <n v="3"/>
    <n v="2"/>
    <s v="Sales Executive"/>
    <n v="4"/>
    <s v="Single"/>
    <n v="4908"/>
    <n v="24252"/>
    <n v="1"/>
    <s v="No"/>
    <n v="14"/>
    <n v="3"/>
    <n v="2"/>
    <n v="0"/>
    <n v="4"/>
    <n v="3"/>
    <n v="3"/>
    <n v="4"/>
    <n v="2"/>
    <n v="0"/>
    <n v="2"/>
  </r>
  <r>
    <n v="58"/>
    <s v="Yes"/>
    <s v="Travel_Frequently"/>
    <n v="781"/>
    <s v="Research &amp; Development"/>
    <n v="2"/>
    <n v="1"/>
    <s v="Life Sciences"/>
    <n v="4"/>
    <s v="Male"/>
    <n v="57"/>
    <n v="2"/>
    <n v="1"/>
    <s v="Laboratory Technician"/>
    <n v="4"/>
    <s v="Divorced"/>
    <n v="2380"/>
    <n v="13384"/>
    <n v="9"/>
    <s v="Yes"/>
    <n v="14"/>
    <n v="3"/>
    <n v="4"/>
    <n v="1"/>
    <n v="3"/>
    <n v="3"/>
    <n v="2"/>
    <n v="1"/>
    <n v="0"/>
    <n v="0"/>
    <n v="0"/>
  </r>
  <r>
    <n v="43"/>
    <s v="No"/>
    <s v="Travel_Rarely"/>
    <n v="177"/>
    <s v="Research &amp; Development"/>
    <n v="8"/>
    <n v="3"/>
    <s v="Life Sciences"/>
    <n v="1"/>
    <s v="Female"/>
    <n v="55"/>
    <n v="3"/>
    <n v="2"/>
    <s v="Manufacturing Director"/>
    <n v="2"/>
    <s v="Divorced"/>
    <n v="4765"/>
    <n v="23814"/>
    <n v="4"/>
    <s v="No"/>
    <n v="21"/>
    <n v="4"/>
    <n v="3"/>
    <n v="1"/>
    <n v="4"/>
    <n v="2"/>
    <n v="4"/>
    <n v="1"/>
    <n v="0"/>
    <n v="0"/>
    <n v="0"/>
  </r>
  <r>
    <n v="20"/>
    <s v="Yes"/>
    <s v="Travel_Rarely"/>
    <n v="500"/>
    <s v="Sales"/>
    <n v="2"/>
    <n v="3"/>
    <s v="Medical"/>
    <n v="3"/>
    <s v="Female"/>
    <n v="49"/>
    <n v="2"/>
    <n v="1"/>
    <s v="Sales Representative"/>
    <n v="3"/>
    <s v="Single"/>
    <n v="2044"/>
    <n v="22052"/>
    <n v="1"/>
    <s v="No"/>
    <n v="13"/>
    <n v="3"/>
    <n v="4"/>
    <n v="0"/>
    <n v="2"/>
    <n v="3"/>
    <n v="2"/>
    <n v="2"/>
    <n v="2"/>
    <n v="0"/>
    <n v="2"/>
  </r>
  <r>
    <n v="21"/>
    <s v="Yes"/>
    <s v="Travel_Rarely"/>
    <n v="1427"/>
    <s v="Research &amp; Development"/>
    <n v="18"/>
    <n v="1"/>
    <s v="Other"/>
    <n v="4"/>
    <s v="Female"/>
    <n v="65"/>
    <n v="3"/>
    <n v="1"/>
    <s v="Research Scientist"/>
    <n v="4"/>
    <s v="Single"/>
    <n v="2693"/>
    <n v="8870"/>
    <n v="1"/>
    <s v="No"/>
    <n v="19"/>
    <n v="3"/>
    <n v="1"/>
    <n v="0"/>
    <n v="1"/>
    <n v="3"/>
    <n v="2"/>
    <n v="1"/>
    <n v="0"/>
    <n v="0"/>
    <n v="0"/>
  </r>
  <r>
    <n v="36"/>
    <s v="No"/>
    <s v="Travel_Rarely"/>
    <n v="1425"/>
    <s v="Research &amp; Development"/>
    <n v="14"/>
    <n v="1"/>
    <s v="Life Sciences"/>
    <n v="3"/>
    <s v="Male"/>
    <n v="68"/>
    <n v="3"/>
    <n v="2"/>
    <s v="Healthcare Representative"/>
    <n v="4"/>
    <s v="Married"/>
    <n v="6586"/>
    <n v="4821"/>
    <n v="0"/>
    <s v="Yes"/>
    <n v="17"/>
    <n v="3"/>
    <n v="1"/>
    <n v="1"/>
    <n v="17"/>
    <n v="2"/>
    <n v="2"/>
    <n v="16"/>
    <n v="8"/>
    <n v="4"/>
    <n v="11"/>
  </r>
  <r>
    <n v="47"/>
    <s v="No"/>
    <s v="Travel_Rarely"/>
    <n v="1454"/>
    <s v="Sales"/>
    <n v="2"/>
    <n v="4"/>
    <s v="Life Sciences"/>
    <n v="4"/>
    <s v="Female"/>
    <n v="65"/>
    <n v="2"/>
    <n v="1"/>
    <s v="Sales Representative"/>
    <n v="4"/>
    <s v="Single"/>
    <n v="3294"/>
    <n v="13137"/>
    <n v="1"/>
    <s v="Yes"/>
    <n v="18"/>
    <n v="3"/>
    <n v="1"/>
    <n v="0"/>
    <n v="3"/>
    <n v="3"/>
    <n v="2"/>
    <n v="3"/>
    <n v="2"/>
    <n v="1"/>
    <n v="2"/>
  </r>
  <r>
    <n v="22"/>
    <s v="Yes"/>
    <s v="Travel_Rarely"/>
    <n v="617"/>
    <s v="Research &amp; Development"/>
    <n v="3"/>
    <n v="1"/>
    <s v="Life Sciences"/>
    <n v="2"/>
    <s v="Female"/>
    <n v="34"/>
    <n v="3"/>
    <n v="2"/>
    <s v="Manufacturing Director"/>
    <n v="3"/>
    <s v="Married"/>
    <n v="4171"/>
    <n v="10022"/>
    <n v="0"/>
    <s v="Yes"/>
    <n v="19"/>
    <n v="3"/>
    <n v="1"/>
    <n v="1"/>
    <n v="4"/>
    <n v="3"/>
    <n v="4"/>
    <n v="3"/>
    <n v="2"/>
    <n v="0"/>
    <n v="2"/>
  </r>
  <r>
    <n v="41"/>
    <s v="Yes"/>
    <s v="Travel_Rarely"/>
    <n v="1085"/>
    <s v="Research &amp; Development"/>
    <n v="2"/>
    <n v="4"/>
    <s v="Life Sciences"/>
    <n v="2"/>
    <s v="Female"/>
    <n v="57"/>
    <n v="1"/>
    <n v="1"/>
    <s v="Laboratory Technician"/>
    <n v="4"/>
    <s v="Divorced"/>
    <n v="2778"/>
    <n v="17725"/>
    <n v="4"/>
    <s v="Yes"/>
    <n v="13"/>
    <n v="3"/>
    <n v="3"/>
    <n v="1"/>
    <n v="10"/>
    <n v="1"/>
    <n v="2"/>
    <n v="7"/>
    <n v="7"/>
    <n v="1"/>
    <n v="0"/>
  </r>
  <r>
    <n v="28"/>
    <s v="No"/>
    <s v="Travel_Rarely"/>
    <n v="995"/>
    <s v="Research &amp; Development"/>
    <n v="9"/>
    <n v="3"/>
    <s v="Medical"/>
    <n v="3"/>
    <s v="Female"/>
    <n v="77"/>
    <n v="3"/>
    <n v="1"/>
    <s v="Research Scientist"/>
    <n v="3"/>
    <s v="Divorced"/>
    <n v="2377"/>
    <n v="9834"/>
    <n v="5"/>
    <s v="No"/>
    <n v="18"/>
    <n v="3"/>
    <n v="2"/>
    <n v="1"/>
    <n v="6"/>
    <n v="2"/>
    <n v="3"/>
    <n v="2"/>
    <n v="2"/>
    <n v="2"/>
    <n v="2"/>
  </r>
  <r>
    <n v="39"/>
    <s v="Yes"/>
    <s v="Travel_Rarely"/>
    <n v="1122"/>
    <s v="Research &amp; Development"/>
    <n v="6"/>
    <n v="3"/>
    <s v="Medical"/>
    <n v="4"/>
    <s v="Male"/>
    <n v="70"/>
    <n v="3"/>
    <n v="1"/>
    <s v="Laboratory Technician"/>
    <n v="1"/>
    <s v="Married"/>
    <n v="2404"/>
    <n v="4303"/>
    <n v="7"/>
    <s v="Yes"/>
    <n v="21"/>
    <n v="4"/>
    <n v="4"/>
    <n v="0"/>
    <n v="8"/>
    <n v="2"/>
    <n v="1"/>
    <n v="2"/>
    <n v="2"/>
    <n v="2"/>
    <n v="2"/>
  </r>
  <r>
    <n v="27"/>
    <s v="No"/>
    <s v="Travel_Rarely"/>
    <n v="618"/>
    <s v="Research &amp; Development"/>
    <n v="4"/>
    <n v="3"/>
    <s v="Life Sciences"/>
    <n v="2"/>
    <s v="Female"/>
    <n v="76"/>
    <n v="3"/>
    <n v="1"/>
    <s v="Research Scientist"/>
    <n v="3"/>
    <s v="Single"/>
    <n v="2318"/>
    <n v="17808"/>
    <n v="1"/>
    <s v="No"/>
    <n v="19"/>
    <n v="3"/>
    <n v="3"/>
    <n v="0"/>
    <n v="1"/>
    <n v="2"/>
    <n v="3"/>
    <n v="1"/>
    <n v="1"/>
    <n v="0"/>
    <n v="0"/>
  </r>
  <r>
    <n v="34"/>
    <s v="No"/>
    <s v="Travel_Rarely"/>
    <n v="546"/>
    <s v="Research &amp; Development"/>
    <n v="10"/>
    <n v="3"/>
    <s v="Life Sciences"/>
    <n v="2"/>
    <s v="Male"/>
    <n v="83"/>
    <n v="3"/>
    <n v="1"/>
    <s v="Laboratory Technician"/>
    <n v="2"/>
    <s v="Divorced"/>
    <n v="2008"/>
    <n v="6896"/>
    <n v="1"/>
    <s v="No"/>
    <n v="14"/>
    <n v="3"/>
    <n v="2"/>
    <n v="2"/>
    <n v="1"/>
    <n v="3"/>
    <n v="3"/>
    <n v="1"/>
    <n v="0"/>
    <n v="1"/>
    <n v="0"/>
  </r>
  <r>
    <n v="42"/>
    <s v="No"/>
    <s v="Travel_Rarely"/>
    <n v="462"/>
    <s v="Sales"/>
    <n v="14"/>
    <n v="2"/>
    <s v="Medical"/>
    <n v="3"/>
    <s v="Female"/>
    <n v="68"/>
    <n v="2"/>
    <n v="2"/>
    <s v="Sales Executive"/>
    <n v="3"/>
    <s v="Single"/>
    <n v="6244"/>
    <n v="7824"/>
    <n v="7"/>
    <s v="No"/>
    <n v="17"/>
    <n v="3"/>
    <n v="1"/>
    <n v="0"/>
    <n v="10"/>
    <n v="6"/>
    <n v="3"/>
    <n v="5"/>
    <n v="4"/>
    <n v="0"/>
    <n v="3"/>
  </r>
  <r>
    <n v="33"/>
    <s v="No"/>
    <s v="Travel_Rarely"/>
    <n v="1198"/>
    <s v="Research &amp; Development"/>
    <n v="1"/>
    <n v="4"/>
    <s v="Other"/>
    <n v="3"/>
    <s v="Male"/>
    <n v="100"/>
    <n v="2"/>
    <n v="1"/>
    <s v="Research Scientist"/>
    <n v="1"/>
    <s v="Single"/>
    <n v="2799"/>
    <n v="3339"/>
    <n v="3"/>
    <s v="Yes"/>
    <n v="11"/>
    <n v="3"/>
    <n v="2"/>
    <n v="0"/>
    <n v="6"/>
    <n v="1"/>
    <n v="3"/>
    <n v="3"/>
    <n v="2"/>
    <n v="0"/>
    <n v="2"/>
  </r>
  <r>
    <n v="58"/>
    <s v="No"/>
    <s v="Travel_Rarely"/>
    <n v="1272"/>
    <s v="Research &amp; Development"/>
    <n v="5"/>
    <n v="3"/>
    <s v="Technical Degree"/>
    <n v="3"/>
    <s v="Female"/>
    <n v="37"/>
    <n v="2"/>
    <n v="3"/>
    <s v="Healthcare Representative"/>
    <n v="2"/>
    <s v="Divorced"/>
    <n v="10552"/>
    <n v="9255"/>
    <n v="2"/>
    <s v="Yes"/>
    <n v="13"/>
    <n v="3"/>
    <n v="4"/>
    <n v="1"/>
    <n v="24"/>
    <n v="3"/>
    <n v="3"/>
    <n v="6"/>
    <n v="0"/>
    <n v="0"/>
    <n v="4"/>
  </r>
  <r>
    <n v="31"/>
    <s v="No"/>
    <s v="Travel_Rarely"/>
    <n v="154"/>
    <s v="Sales"/>
    <n v="7"/>
    <n v="4"/>
    <s v="Life Sciences"/>
    <n v="2"/>
    <s v="Male"/>
    <n v="41"/>
    <n v="2"/>
    <n v="1"/>
    <s v="Sales Representative"/>
    <n v="3"/>
    <s v="Married"/>
    <n v="2329"/>
    <n v="11737"/>
    <n v="3"/>
    <s v="No"/>
    <n v="15"/>
    <n v="3"/>
    <n v="2"/>
    <n v="0"/>
    <n v="13"/>
    <n v="2"/>
    <n v="4"/>
    <n v="7"/>
    <n v="7"/>
    <n v="5"/>
    <n v="2"/>
  </r>
  <r>
    <n v="35"/>
    <s v="No"/>
    <s v="Travel_Rarely"/>
    <n v="1137"/>
    <s v="Research &amp; Development"/>
    <n v="21"/>
    <n v="1"/>
    <s v="Life Sciences"/>
    <n v="4"/>
    <s v="Female"/>
    <n v="51"/>
    <n v="3"/>
    <n v="2"/>
    <s v="Healthcare Representative"/>
    <n v="4"/>
    <s v="Married"/>
    <n v="4014"/>
    <n v="19170"/>
    <n v="1"/>
    <s v="Yes"/>
    <n v="25"/>
    <n v="4"/>
    <n v="4"/>
    <n v="1"/>
    <n v="10"/>
    <n v="2"/>
    <n v="1"/>
    <n v="10"/>
    <n v="6"/>
    <n v="0"/>
    <n v="7"/>
  </r>
  <r>
    <n v="49"/>
    <s v="No"/>
    <s v="Travel_Rarely"/>
    <n v="527"/>
    <s v="Research &amp; Development"/>
    <n v="8"/>
    <n v="2"/>
    <s v="Other"/>
    <n v="1"/>
    <s v="Female"/>
    <n v="51"/>
    <n v="3"/>
    <n v="3"/>
    <s v="Laboratory Technician"/>
    <n v="2"/>
    <s v="Married"/>
    <n v="7403"/>
    <n v="22477"/>
    <n v="4"/>
    <s v="No"/>
    <n v="11"/>
    <n v="3"/>
    <n v="3"/>
    <n v="1"/>
    <n v="29"/>
    <n v="3"/>
    <n v="2"/>
    <n v="26"/>
    <n v="9"/>
    <n v="1"/>
    <n v="7"/>
  </r>
  <r>
    <n v="48"/>
    <s v="No"/>
    <s v="Travel_Rarely"/>
    <n v="1469"/>
    <s v="Research &amp; Development"/>
    <n v="20"/>
    <n v="4"/>
    <s v="Medical"/>
    <n v="4"/>
    <s v="Male"/>
    <n v="51"/>
    <n v="3"/>
    <n v="1"/>
    <s v="Research Scientist"/>
    <n v="3"/>
    <s v="Married"/>
    <n v="2259"/>
    <n v="5543"/>
    <n v="4"/>
    <s v="No"/>
    <n v="17"/>
    <n v="3"/>
    <n v="1"/>
    <n v="2"/>
    <n v="13"/>
    <n v="2"/>
    <n v="2"/>
    <n v="0"/>
    <n v="0"/>
    <n v="0"/>
    <n v="0"/>
  </r>
  <r>
    <n v="31"/>
    <s v="No"/>
    <s v="Non-Travel"/>
    <n v="1188"/>
    <s v="Sales"/>
    <n v="20"/>
    <n v="2"/>
    <s v="Marketing"/>
    <n v="4"/>
    <s v="Female"/>
    <n v="45"/>
    <n v="3"/>
    <n v="2"/>
    <s v="Sales Executive"/>
    <n v="3"/>
    <s v="Married"/>
    <n v="6932"/>
    <n v="24406"/>
    <n v="1"/>
    <s v="No"/>
    <n v="13"/>
    <n v="3"/>
    <n v="4"/>
    <n v="1"/>
    <n v="9"/>
    <n v="2"/>
    <n v="2"/>
    <n v="9"/>
    <n v="8"/>
    <n v="0"/>
    <n v="0"/>
  </r>
  <r>
    <n v="36"/>
    <s v="No"/>
    <s v="Travel_Rarely"/>
    <n v="188"/>
    <s v="Research &amp; Development"/>
    <n v="7"/>
    <n v="4"/>
    <s v="Other"/>
    <n v="2"/>
    <s v="Male"/>
    <n v="65"/>
    <n v="3"/>
    <n v="1"/>
    <s v="Research Scientist"/>
    <n v="4"/>
    <s v="Single"/>
    <n v="4678"/>
    <n v="23293"/>
    <n v="2"/>
    <s v="No"/>
    <n v="18"/>
    <n v="3"/>
    <n v="3"/>
    <n v="0"/>
    <n v="8"/>
    <n v="6"/>
    <n v="3"/>
    <n v="6"/>
    <n v="2"/>
    <n v="0"/>
    <n v="1"/>
  </r>
  <r>
    <n v="38"/>
    <s v="No"/>
    <s v="Travel_Rarely"/>
    <n v="1333"/>
    <s v="Research &amp; Development"/>
    <n v="1"/>
    <n v="3"/>
    <s v="Technical Degree"/>
    <n v="4"/>
    <s v="Female"/>
    <n v="80"/>
    <n v="3"/>
    <n v="3"/>
    <s v="Research Director"/>
    <n v="1"/>
    <s v="Married"/>
    <n v="13582"/>
    <n v="16292"/>
    <n v="1"/>
    <s v="No"/>
    <n v="13"/>
    <n v="3"/>
    <n v="2"/>
    <n v="1"/>
    <n v="15"/>
    <n v="3"/>
    <n v="3"/>
    <n v="15"/>
    <n v="12"/>
    <n v="5"/>
    <n v="11"/>
  </r>
  <r>
    <n v="32"/>
    <s v="No"/>
    <s v="Non-Travel"/>
    <n v="1184"/>
    <s v="Research &amp; Development"/>
    <n v="1"/>
    <n v="3"/>
    <s v="Life Sciences"/>
    <n v="3"/>
    <s v="Female"/>
    <n v="70"/>
    <n v="2"/>
    <n v="1"/>
    <s v="Laboratory Technician"/>
    <n v="2"/>
    <s v="Married"/>
    <n v="2332"/>
    <n v="3974"/>
    <n v="6"/>
    <s v="No"/>
    <n v="20"/>
    <n v="4"/>
    <n v="3"/>
    <n v="0"/>
    <n v="5"/>
    <n v="3"/>
    <n v="3"/>
    <n v="3"/>
    <n v="0"/>
    <n v="0"/>
    <n v="2"/>
  </r>
  <r>
    <n v="25"/>
    <s v="Yes"/>
    <s v="Travel_Rarely"/>
    <n v="867"/>
    <s v="Sales"/>
    <n v="19"/>
    <n v="2"/>
    <s v="Marketing"/>
    <n v="3"/>
    <s v="Male"/>
    <n v="36"/>
    <n v="2"/>
    <n v="1"/>
    <s v="Sales Representative"/>
    <n v="2"/>
    <s v="Married"/>
    <n v="2413"/>
    <n v="18798"/>
    <n v="1"/>
    <s v="Yes"/>
    <n v="18"/>
    <n v="3"/>
    <n v="3"/>
    <n v="3"/>
    <n v="1"/>
    <n v="2"/>
    <n v="3"/>
    <n v="1"/>
    <n v="0"/>
    <n v="0"/>
    <n v="0"/>
  </r>
  <r>
    <n v="40"/>
    <s v="No"/>
    <s v="Travel_Rarely"/>
    <n v="658"/>
    <s v="Sales"/>
    <n v="10"/>
    <n v="4"/>
    <s v="Marketing"/>
    <n v="1"/>
    <s v="Male"/>
    <n v="67"/>
    <n v="2"/>
    <n v="3"/>
    <s v="Sales Executive"/>
    <n v="2"/>
    <s v="Divorced"/>
    <n v="9705"/>
    <n v="20652"/>
    <n v="2"/>
    <s v="No"/>
    <n v="12"/>
    <n v="3"/>
    <n v="2"/>
    <n v="1"/>
    <n v="11"/>
    <n v="2"/>
    <n v="2"/>
    <n v="1"/>
    <n v="0"/>
    <n v="0"/>
    <n v="0"/>
  </r>
  <r>
    <n v="26"/>
    <s v="No"/>
    <s v="Travel_Frequently"/>
    <n v="1283"/>
    <s v="Sales"/>
    <n v="1"/>
    <n v="3"/>
    <s v="Medical"/>
    <n v="3"/>
    <s v="Male"/>
    <n v="52"/>
    <n v="2"/>
    <n v="2"/>
    <s v="Sales Executive"/>
    <n v="1"/>
    <s v="Single"/>
    <n v="4294"/>
    <n v="11148"/>
    <n v="1"/>
    <s v="No"/>
    <n v="12"/>
    <n v="3"/>
    <n v="2"/>
    <n v="0"/>
    <n v="7"/>
    <n v="2"/>
    <n v="3"/>
    <n v="7"/>
    <n v="7"/>
    <n v="0"/>
    <n v="7"/>
  </r>
  <r>
    <n v="41"/>
    <s v="No"/>
    <s v="Travel_Rarely"/>
    <n v="263"/>
    <s v="Research &amp; Development"/>
    <n v="6"/>
    <n v="3"/>
    <s v="Medical"/>
    <n v="4"/>
    <s v="Male"/>
    <n v="59"/>
    <n v="3"/>
    <n v="1"/>
    <s v="Laboratory Technician"/>
    <n v="1"/>
    <s v="Single"/>
    <n v="4721"/>
    <n v="3119"/>
    <n v="2"/>
    <s v="Yes"/>
    <n v="13"/>
    <n v="3"/>
    <n v="3"/>
    <n v="0"/>
    <n v="20"/>
    <n v="3"/>
    <n v="3"/>
    <n v="18"/>
    <n v="13"/>
    <n v="2"/>
    <n v="17"/>
  </r>
  <r>
    <n v="36"/>
    <s v="No"/>
    <s v="Travel_Rarely"/>
    <n v="938"/>
    <s v="Research &amp; Development"/>
    <n v="2"/>
    <n v="4"/>
    <s v="Medical"/>
    <n v="3"/>
    <s v="Male"/>
    <n v="79"/>
    <n v="3"/>
    <n v="1"/>
    <s v="Laboratory Technician"/>
    <n v="3"/>
    <s v="Single"/>
    <n v="2519"/>
    <n v="12287"/>
    <n v="4"/>
    <s v="No"/>
    <n v="21"/>
    <n v="4"/>
    <n v="3"/>
    <n v="0"/>
    <n v="16"/>
    <n v="6"/>
    <n v="3"/>
    <n v="11"/>
    <n v="8"/>
    <n v="3"/>
    <n v="9"/>
  </r>
  <r>
    <n v="19"/>
    <s v="Yes"/>
    <s v="Travel_Rarely"/>
    <n v="419"/>
    <s v="Sales"/>
    <n v="21"/>
    <n v="3"/>
    <s v="Other"/>
    <n v="4"/>
    <s v="Male"/>
    <n v="37"/>
    <n v="2"/>
    <n v="1"/>
    <s v="Sales Representative"/>
    <n v="2"/>
    <s v="Single"/>
    <n v="2121"/>
    <n v="9947"/>
    <n v="1"/>
    <s v="Yes"/>
    <n v="13"/>
    <n v="3"/>
    <n v="2"/>
    <n v="0"/>
    <n v="1"/>
    <n v="3"/>
    <n v="4"/>
    <n v="1"/>
    <n v="0"/>
    <n v="0"/>
    <n v="0"/>
  </r>
  <r>
    <n v="20"/>
    <s v="Yes"/>
    <s v="Travel_Rarely"/>
    <n v="129"/>
    <s v="Research &amp; Development"/>
    <n v="4"/>
    <n v="3"/>
    <s v="Technical Degree"/>
    <n v="1"/>
    <s v="Male"/>
    <n v="84"/>
    <n v="3"/>
    <n v="1"/>
    <s v="Laboratory Technician"/>
    <n v="1"/>
    <s v="Single"/>
    <n v="2973"/>
    <n v="13008"/>
    <n v="1"/>
    <s v="No"/>
    <n v="19"/>
    <n v="3"/>
    <n v="2"/>
    <n v="0"/>
    <n v="1"/>
    <n v="2"/>
    <n v="3"/>
    <n v="1"/>
    <n v="0"/>
    <n v="0"/>
    <n v="0"/>
  </r>
  <r>
    <n v="31"/>
    <s v="No"/>
    <s v="Travel_Rarely"/>
    <n v="616"/>
    <s v="Research &amp; Development"/>
    <n v="12"/>
    <n v="3"/>
    <s v="Medical"/>
    <n v="4"/>
    <s v="Female"/>
    <n v="41"/>
    <n v="3"/>
    <n v="2"/>
    <s v="Healthcare Representative"/>
    <n v="4"/>
    <s v="Married"/>
    <n v="5855"/>
    <n v="17369"/>
    <n v="0"/>
    <s v="Yes"/>
    <n v="11"/>
    <n v="3"/>
    <n v="3"/>
    <n v="2"/>
    <n v="10"/>
    <n v="2"/>
    <n v="1"/>
    <n v="9"/>
    <n v="7"/>
    <n v="8"/>
    <n v="5"/>
  </r>
  <r>
    <n v="40"/>
    <s v="No"/>
    <s v="Travel_Frequently"/>
    <n v="1469"/>
    <s v="Research &amp; Development"/>
    <n v="9"/>
    <n v="4"/>
    <s v="Medical"/>
    <n v="4"/>
    <s v="Male"/>
    <n v="35"/>
    <n v="3"/>
    <n v="1"/>
    <s v="Research Scientist"/>
    <n v="2"/>
    <s v="Divorced"/>
    <n v="3617"/>
    <n v="25063"/>
    <n v="8"/>
    <s v="Yes"/>
    <n v="14"/>
    <n v="3"/>
    <n v="4"/>
    <n v="1"/>
    <n v="3"/>
    <n v="2"/>
    <n v="3"/>
    <n v="1"/>
    <n v="1"/>
    <n v="0"/>
    <n v="0"/>
  </r>
  <r>
    <n v="32"/>
    <s v="No"/>
    <s v="Travel_Rarely"/>
    <n v="498"/>
    <s v="Research &amp; Development"/>
    <n v="3"/>
    <n v="4"/>
    <s v="Medical"/>
    <n v="3"/>
    <s v="Female"/>
    <n v="93"/>
    <n v="3"/>
    <n v="2"/>
    <s v="Manufacturing Director"/>
    <n v="1"/>
    <s v="Married"/>
    <n v="6725"/>
    <n v="13554"/>
    <n v="1"/>
    <s v="No"/>
    <n v="12"/>
    <n v="3"/>
    <n v="3"/>
    <n v="1"/>
    <n v="8"/>
    <n v="2"/>
    <n v="4"/>
    <n v="8"/>
    <n v="7"/>
    <n v="6"/>
    <n v="3"/>
  </r>
  <r>
    <n v="36"/>
    <s v="Yes"/>
    <s v="Travel_Rarely"/>
    <n v="530"/>
    <s v="Sales"/>
    <n v="3"/>
    <n v="1"/>
    <s v="Life Sciences"/>
    <n v="3"/>
    <s v="Male"/>
    <n v="51"/>
    <n v="2"/>
    <n v="3"/>
    <s v="Sales Executive"/>
    <n v="4"/>
    <s v="Married"/>
    <n v="10325"/>
    <n v="5518"/>
    <n v="1"/>
    <s v="Yes"/>
    <n v="11"/>
    <n v="3"/>
    <n v="1"/>
    <n v="1"/>
    <n v="16"/>
    <n v="6"/>
    <n v="3"/>
    <n v="16"/>
    <n v="7"/>
    <n v="3"/>
    <n v="7"/>
  </r>
  <r>
    <n v="33"/>
    <s v="No"/>
    <s v="Travel_Rarely"/>
    <n v="1069"/>
    <s v="Research &amp; Development"/>
    <n v="1"/>
    <n v="3"/>
    <s v="Life Sciences"/>
    <n v="2"/>
    <s v="Female"/>
    <n v="42"/>
    <n v="2"/>
    <n v="2"/>
    <s v="Healthcare Representative"/>
    <n v="4"/>
    <s v="Single"/>
    <n v="6949"/>
    <n v="12291"/>
    <n v="0"/>
    <s v="No"/>
    <n v="14"/>
    <n v="3"/>
    <n v="1"/>
    <n v="0"/>
    <n v="6"/>
    <n v="3"/>
    <n v="3"/>
    <n v="5"/>
    <n v="0"/>
    <n v="1"/>
    <n v="4"/>
  </r>
  <r>
    <n v="37"/>
    <s v="Yes"/>
    <s v="Travel_Rarely"/>
    <n v="625"/>
    <s v="Sales"/>
    <n v="1"/>
    <n v="4"/>
    <s v="Life Sciences"/>
    <n v="1"/>
    <s v="Male"/>
    <n v="46"/>
    <n v="2"/>
    <n v="3"/>
    <s v="Sales Executive"/>
    <n v="3"/>
    <s v="Married"/>
    <n v="10609"/>
    <n v="14922"/>
    <n v="5"/>
    <s v="No"/>
    <n v="11"/>
    <n v="3"/>
    <n v="3"/>
    <n v="0"/>
    <n v="17"/>
    <n v="2"/>
    <n v="1"/>
    <n v="14"/>
    <n v="1"/>
    <n v="11"/>
    <n v="7"/>
  </r>
  <r>
    <n v="45"/>
    <s v="No"/>
    <s v="Non-Travel"/>
    <n v="805"/>
    <s v="Research &amp; Development"/>
    <n v="4"/>
    <n v="2"/>
    <s v="Life Sciences"/>
    <n v="3"/>
    <s v="Male"/>
    <n v="57"/>
    <n v="3"/>
    <n v="2"/>
    <s v="Laboratory Technician"/>
    <n v="2"/>
    <s v="Married"/>
    <n v="4447"/>
    <n v="23163"/>
    <n v="1"/>
    <s v="No"/>
    <n v="12"/>
    <n v="3"/>
    <n v="2"/>
    <n v="0"/>
    <n v="9"/>
    <n v="5"/>
    <n v="2"/>
    <n v="9"/>
    <n v="7"/>
    <n v="0"/>
    <n v="8"/>
  </r>
  <r>
    <n v="29"/>
    <s v="No"/>
    <s v="Travel_Frequently"/>
    <n v="1404"/>
    <s v="Sales"/>
    <n v="20"/>
    <n v="3"/>
    <s v="Technical Degree"/>
    <n v="3"/>
    <s v="Female"/>
    <n v="84"/>
    <n v="3"/>
    <n v="1"/>
    <s v="Sales Representative"/>
    <n v="4"/>
    <s v="Married"/>
    <n v="2157"/>
    <n v="18203"/>
    <n v="1"/>
    <s v="No"/>
    <n v="15"/>
    <n v="3"/>
    <n v="2"/>
    <n v="1"/>
    <n v="3"/>
    <n v="5"/>
    <n v="3"/>
    <n v="3"/>
    <n v="1"/>
    <n v="0"/>
    <n v="2"/>
  </r>
  <r>
    <n v="35"/>
    <s v="No"/>
    <s v="Travel_Rarely"/>
    <n v="1219"/>
    <s v="Sales"/>
    <n v="18"/>
    <n v="3"/>
    <s v="Medical"/>
    <n v="3"/>
    <s v="Female"/>
    <n v="86"/>
    <n v="3"/>
    <n v="2"/>
    <s v="Sales Executive"/>
    <n v="3"/>
    <s v="Married"/>
    <n v="4601"/>
    <n v="6179"/>
    <n v="1"/>
    <s v="No"/>
    <n v="16"/>
    <n v="3"/>
    <n v="2"/>
    <n v="0"/>
    <n v="5"/>
    <n v="3"/>
    <n v="3"/>
    <n v="5"/>
    <n v="2"/>
    <n v="1"/>
    <n v="0"/>
  </r>
  <r>
    <n v="52"/>
    <s v="No"/>
    <s v="Travel_Rarely"/>
    <n v="1053"/>
    <s v="Research &amp; Development"/>
    <n v="1"/>
    <n v="2"/>
    <s v="Life Sciences"/>
    <n v="4"/>
    <s v="Male"/>
    <n v="70"/>
    <n v="3"/>
    <n v="4"/>
    <s v="Manager"/>
    <n v="4"/>
    <s v="Married"/>
    <n v="17099"/>
    <n v="13829"/>
    <n v="2"/>
    <s v="No"/>
    <n v="15"/>
    <n v="3"/>
    <n v="2"/>
    <n v="1"/>
    <n v="26"/>
    <n v="2"/>
    <n v="2"/>
    <n v="9"/>
    <n v="8"/>
    <n v="7"/>
    <n v="8"/>
  </r>
  <r>
    <n v="58"/>
    <s v="Yes"/>
    <s v="Travel_Rarely"/>
    <n v="289"/>
    <s v="Research &amp; Development"/>
    <n v="2"/>
    <n v="3"/>
    <s v="Technical Degree"/>
    <n v="4"/>
    <s v="Male"/>
    <n v="51"/>
    <n v="3"/>
    <n v="1"/>
    <s v="Research Scientist"/>
    <n v="3"/>
    <s v="Single"/>
    <n v="2479"/>
    <n v="26227"/>
    <n v="4"/>
    <s v="No"/>
    <n v="24"/>
    <n v="4"/>
    <n v="1"/>
    <n v="0"/>
    <n v="7"/>
    <n v="4"/>
    <n v="3"/>
    <n v="1"/>
    <n v="0"/>
    <n v="0"/>
    <n v="0"/>
  </r>
  <r>
    <n v="53"/>
    <s v="No"/>
    <s v="Travel_Rarely"/>
    <n v="1376"/>
    <s v="Sales"/>
    <n v="2"/>
    <n v="2"/>
    <s v="Medical"/>
    <n v="3"/>
    <s v="Male"/>
    <n v="45"/>
    <n v="3"/>
    <n v="4"/>
    <s v="Manager"/>
    <n v="3"/>
    <s v="Divorced"/>
    <n v="14852"/>
    <n v="13938"/>
    <n v="6"/>
    <s v="No"/>
    <n v="13"/>
    <n v="3"/>
    <n v="3"/>
    <n v="1"/>
    <n v="22"/>
    <n v="3"/>
    <n v="4"/>
    <n v="17"/>
    <n v="13"/>
    <n v="15"/>
    <n v="2"/>
  </r>
  <r>
    <n v="30"/>
    <s v="No"/>
    <s v="Travel_Rarely"/>
    <n v="231"/>
    <s v="Sales"/>
    <n v="8"/>
    <n v="2"/>
    <s v="Other"/>
    <n v="3"/>
    <s v="Male"/>
    <n v="62"/>
    <n v="3"/>
    <n v="3"/>
    <s v="Sales Executive"/>
    <n v="3"/>
    <s v="Divorced"/>
    <n v="7264"/>
    <n v="9977"/>
    <n v="5"/>
    <s v="No"/>
    <n v="11"/>
    <n v="3"/>
    <n v="1"/>
    <n v="1"/>
    <n v="10"/>
    <n v="2"/>
    <n v="4"/>
    <n v="8"/>
    <n v="4"/>
    <n v="7"/>
    <n v="7"/>
  </r>
  <r>
    <n v="38"/>
    <s v="No"/>
    <s v="Non-Travel"/>
    <n v="152"/>
    <s v="Sales"/>
    <n v="10"/>
    <n v="3"/>
    <s v="Technical Degree"/>
    <n v="3"/>
    <s v="Female"/>
    <n v="85"/>
    <n v="3"/>
    <n v="2"/>
    <s v="Sales Executive"/>
    <n v="4"/>
    <s v="Single"/>
    <n v="5666"/>
    <n v="19899"/>
    <n v="1"/>
    <s v="Yes"/>
    <n v="13"/>
    <n v="3"/>
    <n v="2"/>
    <n v="0"/>
    <n v="6"/>
    <n v="1"/>
    <n v="3"/>
    <n v="5"/>
    <n v="3"/>
    <n v="1"/>
    <n v="3"/>
  </r>
  <r>
    <n v="35"/>
    <s v="No"/>
    <s v="Travel_Rarely"/>
    <n v="882"/>
    <s v="Sales"/>
    <n v="3"/>
    <n v="4"/>
    <s v="Life Sciences"/>
    <n v="4"/>
    <s v="Male"/>
    <n v="92"/>
    <n v="3"/>
    <n v="3"/>
    <s v="Sales Executive"/>
    <n v="4"/>
    <s v="Divorced"/>
    <n v="7823"/>
    <n v="6812"/>
    <n v="6"/>
    <s v="No"/>
    <n v="13"/>
    <n v="3"/>
    <n v="2"/>
    <n v="1"/>
    <n v="12"/>
    <n v="2"/>
    <n v="3"/>
    <n v="10"/>
    <n v="9"/>
    <n v="0"/>
    <n v="8"/>
  </r>
  <r>
    <n v="39"/>
    <s v="No"/>
    <s v="Travel_Rarely"/>
    <n v="903"/>
    <s v="Sales"/>
    <n v="2"/>
    <n v="5"/>
    <s v="Life Sciences"/>
    <n v="1"/>
    <s v="Male"/>
    <n v="41"/>
    <n v="4"/>
    <n v="3"/>
    <s v="Sales Executive"/>
    <n v="3"/>
    <s v="Single"/>
    <n v="7880"/>
    <n v="2560"/>
    <n v="0"/>
    <s v="No"/>
    <n v="18"/>
    <n v="3"/>
    <n v="4"/>
    <n v="0"/>
    <n v="9"/>
    <n v="3"/>
    <n v="3"/>
    <n v="8"/>
    <n v="7"/>
    <n v="0"/>
    <n v="7"/>
  </r>
  <r>
    <n v="40"/>
    <s v="Yes"/>
    <s v="Non-Travel"/>
    <n v="1479"/>
    <s v="Sales"/>
    <n v="24"/>
    <n v="3"/>
    <s v="Life Sciences"/>
    <n v="2"/>
    <s v="Female"/>
    <n v="100"/>
    <n v="4"/>
    <n v="4"/>
    <s v="Sales Executive"/>
    <n v="2"/>
    <s v="Single"/>
    <n v="13194"/>
    <n v="17071"/>
    <n v="4"/>
    <s v="Yes"/>
    <n v="16"/>
    <n v="3"/>
    <n v="4"/>
    <n v="0"/>
    <n v="22"/>
    <n v="2"/>
    <n v="2"/>
    <n v="1"/>
    <n v="0"/>
    <n v="0"/>
    <n v="0"/>
  </r>
  <r>
    <n v="47"/>
    <s v="No"/>
    <s v="Travel_Frequently"/>
    <n v="1379"/>
    <s v="Research &amp; Development"/>
    <n v="16"/>
    <n v="4"/>
    <s v="Medical"/>
    <n v="3"/>
    <s v="Male"/>
    <n v="64"/>
    <n v="4"/>
    <n v="2"/>
    <s v="Manufacturing Director"/>
    <n v="3"/>
    <s v="Divorced"/>
    <n v="5067"/>
    <n v="6759"/>
    <n v="1"/>
    <s v="Yes"/>
    <n v="19"/>
    <n v="3"/>
    <n v="3"/>
    <n v="0"/>
    <n v="20"/>
    <n v="3"/>
    <n v="4"/>
    <n v="19"/>
    <n v="10"/>
    <n v="2"/>
    <n v="7"/>
  </r>
  <r>
    <n v="36"/>
    <s v="No"/>
    <s v="Non-Travel"/>
    <n v="1229"/>
    <s v="Sales"/>
    <n v="8"/>
    <n v="4"/>
    <s v="Technical Degree"/>
    <n v="1"/>
    <s v="Male"/>
    <n v="84"/>
    <n v="3"/>
    <n v="2"/>
    <s v="Sales Executive"/>
    <n v="4"/>
    <s v="Divorced"/>
    <n v="5079"/>
    <n v="25952"/>
    <n v="4"/>
    <s v="No"/>
    <n v="13"/>
    <n v="3"/>
    <n v="4"/>
    <n v="2"/>
    <n v="12"/>
    <n v="3"/>
    <n v="3"/>
    <n v="7"/>
    <n v="7"/>
    <n v="0"/>
    <n v="7"/>
  </r>
  <r>
    <n v="31"/>
    <s v="Yes"/>
    <s v="Non-Travel"/>
    <n v="335"/>
    <s v="Research &amp; Development"/>
    <n v="9"/>
    <n v="2"/>
    <s v="Medical"/>
    <n v="3"/>
    <s v="Male"/>
    <n v="46"/>
    <n v="2"/>
    <n v="1"/>
    <s v="Research Scientist"/>
    <n v="1"/>
    <s v="Single"/>
    <n v="2321"/>
    <n v="10322"/>
    <n v="0"/>
    <s v="Yes"/>
    <n v="22"/>
    <n v="4"/>
    <n v="1"/>
    <n v="0"/>
    <n v="4"/>
    <n v="0"/>
    <n v="3"/>
    <n v="3"/>
    <n v="2"/>
    <n v="1"/>
    <n v="2"/>
  </r>
  <r>
    <n v="33"/>
    <s v="No"/>
    <s v="Non-Travel"/>
    <n v="722"/>
    <s v="Sales"/>
    <n v="17"/>
    <n v="3"/>
    <s v="Life Sciences"/>
    <n v="4"/>
    <s v="Male"/>
    <n v="38"/>
    <n v="3"/>
    <n v="4"/>
    <s v="Manager"/>
    <n v="3"/>
    <s v="Single"/>
    <n v="17444"/>
    <n v="20489"/>
    <n v="1"/>
    <s v="No"/>
    <n v="11"/>
    <n v="3"/>
    <n v="4"/>
    <n v="0"/>
    <n v="10"/>
    <n v="2"/>
    <n v="3"/>
    <n v="10"/>
    <n v="8"/>
    <n v="6"/>
    <n v="0"/>
  </r>
  <r>
    <n v="29"/>
    <s v="Yes"/>
    <s v="Travel_Rarely"/>
    <n v="906"/>
    <s v="Research &amp; Development"/>
    <n v="10"/>
    <n v="3"/>
    <s v="Life Sciences"/>
    <n v="4"/>
    <s v="Female"/>
    <n v="92"/>
    <n v="2"/>
    <n v="1"/>
    <s v="Research Scientist"/>
    <n v="1"/>
    <s v="Single"/>
    <n v="2404"/>
    <n v="11479"/>
    <n v="6"/>
    <s v="Yes"/>
    <n v="20"/>
    <n v="4"/>
    <n v="3"/>
    <n v="0"/>
    <n v="3"/>
    <n v="5"/>
    <n v="3"/>
    <n v="0"/>
    <n v="0"/>
    <n v="0"/>
    <n v="0"/>
  </r>
  <r>
    <n v="33"/>
    <s v="No"/>
    <s v="Travel_Rarely"/>
    <n v="461"/>
    <s v="Research &amp; Development"/>
    <n v="13"/>
    <n v="1"/>
    <s v="Life Sciences"/>
    <n v="2"/>
    <s v="Female"/>
    <n v="53"/>
    <n v="3"/>
    <n v="1"/>
    <s v="Research Scientist"/>
    <n v="4"/>
    <s v="Single"/>
    <n v="3452"/>
    <n v="17241"/>
    <n v="3"/>
    <s v="No"/>
    <n v="18"/>
    <n v="3"/>
    <n v="1"/>
    <n v="0"/>
    <n v="5"/>
    <n v="4"/>
    <n v="3"/>
    <n v="3"/>
    <n v="2"/>
    <n v="0"/>
    <n v="2"/>
  </r>
  <r>
    <n v="45"/>
    <s v="No"/>
    <s v="Travel_Rarely"/>
    <n v="974"/>
    <s v="Research &amp; Development"/>
    <n v="1"/>
    <n v="4"/>
    <s v="Medical"/>
    <n v="4"/>
    <s v="Female"/>
    <n v="91"/>
    <n v="3"/>
    <n v="1"/>
    <s v="Laboratory Technician"/>
    <n v="4"/>
    <s v="Divorced"/>
    <n v="2270"/>
    <n v="11005"/>
    <n v="3"/>
    <s v="No"/>
    <n v="14"/>
    <n v="3"/>
    <n v="4"/>
    <n v="2"/>
    <n v="8"/>
    <n v="2"/>
    <n v="3"/>
    <n v="5"/>
    <n v="3"/>
    <n v="0"/>
    <n v="2"/>
  </r>
  <r>
    <n v="50"/>
    <s v="No"/>
    <s v="Travel_Rarely"/>
    <n v="1126"/>
    <s v="Research &amp; Development"/>
    <n v="1"/>
    <n v="2"/>
    <s v="Medical"/>
    <n v="4"/>
    <s v="Male"/>
    <n v="66"/>
    <n v="3"/>
    <n v="4"/>
    <s v="Research Director"/>
    <n v="4"/>
    <s v="Divorced"/>
    <n v="17399"/>
    <n v="6615"/>
    <n v="9"/>
    <s v="No"/>
    <n v="22"/>
    <n v="4"/>
    <n v="3"/>
    <n v="1"/>
    <n v="32"/>
    <n v="1"/>
    <n v="2"/>
    <n v="5"/>
    <n v="4"/>
    <n v="1"/>
    <n v="3"/>
  </r>
  <r>
    <n v="33"/>
    <s v="No"/>
    <s v="Travel_Frequently"/>
    <n v="827"/>
    <s v="Research &amp; Development"/>
    <n v="1"/>
    <n v="4"/>
    <s v="Other"/>
    <n v="3"/>
    <s v="Female"/>
    <n v="84"/>
    <n v="4"/>
    <n v="2"/>
    <s v="Healthcare Representative"/>
    <n v="2"/>
    <s v="Married"/>
    <n v="5488"/>
    <n v="20161"/>
    <n v="1"/>
    <s v="Yes"/>
    <n v="13"/>
    <n v="3"/>
    <n v="1"/>
    <n v="1"/>
    <n v="6"/>
    <n v="2"/>
    <n v="3"/>
    <n v="6"/>
    <n v="5"/>
    <n v="1"/>
    <n v="2"/>
  </r>
  <r>
    <n v="41"/>
    <s v="No"/>
    <s v="Travel_Frequently"/>
    <n v="840"/>
    <s v="Research &amp; Development"/>
    <n v="9"/>
    <n v="3"/>
    <s v="Medical"/>
    <n v="1"/>
    <s v="Male"/>
    <n v="64"/>
    <n v="3"/>
    <n v="5"/>
    <s v="Research Director"/>
    <n v="3"/>
    <s v="Divorced"/>
    <n v="19419"/>
    <n v="3735"/>
    <n v="2"/>
    <s v="No"/>
    <n v="17"/>
    <n v="3"/>
    <n v="2"/>
    <n v="1"/>
    <n v="21"/>
    <n v="2"/>
    <n v="4"/>
    <n v="18"/>
    <n v="16"/>
    <n v="0"/>
    <n v="11"/>
  </r>
  <r>
    <n v="27"/>
    <s v="No"/>
    <s v="Travel_Rarely"/>
    <n v="1134"/>
    <s v="Research &amp; Development"/>
    <n v="16"/>
    <n v="4"/>
    <s v="Technical Degree"/>
    <n v="3"/>
    <s v="Female"/>
    <n v="37"/>
    <n v="3"/>
    <n v="1"/>
    <s v="Laboratory Technician"/>
    <n v="2"/>
    <s v="Married"/>
    <n v="2811"/>
    <n v="12086"/>
    <n v="9"/>
    <s v="No"/>
    <n v="14"/>
    <n v="3"/>
    <n v="2"/>
    <n v="1"/>
    <n v="4"/>
    <n v="2"/>
    <n v="3"/>
    <n v="2"/>
    <n v="2"/>
    <n v="2"/>
    <n v="2"/>
  </r>
  <r>
    <n v="45"/>
    <s v="No"/>
    <s v="Non-Travel"/>
    <n v="248"/>
    <s v="Research &amp; Development"/>
    <n v="23"/>
    <n v="2"/>
    <s v="Life Sciences"/>
    <n v="4"/>
    <s v="Male"/>
    <n v="42"/>
    <n v="3"/>
    <n v="2"/>
    <s v="Laboratory Technician"/>
    <n v="1"/>
    <s v="Married"/>
    <n v="3633"/>
    <n v="14039"/>
    <n v="1"/>
    <s v="Yes"/>
    <n v="15"/>
    <n v="3"/>
    <n v="3"/>
    <n v="1"/>
    <n v="9"/>
    <n v="2"/>
    <n v="3"/>
    <n v="9"/>
    <n v="8"/>
    <n v="0"/>
    <n v="8"/>
  </r>
  <r>
    <n v="47"/>
    <s v="No"/>
    <s v="Travel_Rarely"/>
    <n v="955"/>
    <s v="Sales"/>
    <n v="4"/>
    <n v="2"/>
    <s v="Life Sciences"/>
    <n v="4"/>
    <s v="Female"/>
    <n v="83"/>
    <n v="3"/>
    <n v="2"/>
    <s v="Sales Executive"/>
    <n v="4"/>
    <s v="Single"/>
    <n v="4163"/>
    <n v="8571"/>
    <n v="1"/>
    <s v="Yes"/>
    <n v="17"/>
    <n v="3"/>
    <n v="3"/>
    <n v="0"/>
    <n v="9"/>
    <n v="0"/>
    <n v="3"/>
    <n v="9"/>
    <n v="0"/>
    <n v="0"/>
    <n v="7"/>
  </r>
  <r>
    <n v="30"/>
    <s v="Yes"/>
    <s v="Travel_Rarely"/>
    <n v="138"/>
    <s v="Research &amp; Development"/>
    <n v="22"/>
    <n v="3"/>
    <s v="Life Sciences"/>
    <n v="1"/>
    <s v="Female"/>
    <n v="48"/>
    <n v="3"/>
    <n v="1"/>
    <s v="Research Scientist"/>
    <n v="3"/>
    <s v="Married"/>
    <n v="2132"/>
    <n v="11539"/>
    <n v="4"/>
    <s v="Yes"/>
    <n v="11"/>
    <n v="3"/>
    <n v="2"/>
    <n v="0"/>
    <n v="7"/>
    <n v="2"/>
    <n v="3"/>
    <n v="5"/>
    <n v="2"/>
    <n v="0"/>
    <n v="1"/>
  </r>
  <r>
    <n v="50"/>
    <s v="No"/>
    <s v="Travel_Rarely"/>
    <n v="939"/>
    <s v="Research &amp; Development"/>
    <n v="24"/>
    <n v="3"/>
    <s v="Life Sciences"/>
    <n v="4"/>
    <s v="Male"/>
    <n v="95"/>
    <n v="3"/>
    <n v="4"/>
    <s v="Manufacturing Director"/>
    <n v="3"/>
    <s v="Married"/>
    <n v="13973"/>
    <n v="4161"/>
    <n v="3"/>
    <s v="Yes"/>
    <n v="18"/>
    <n v="3"/>
    <n v="4"/>
    <n v="1"/>
    <n v="22"/>
    <n v="2"/>
    <n v="3"/>
    <n v="12"/>
    <n v="11"/>
    <n v="1"/>
    <n v="5"/>
  </r>
  <r>
    <n v="38"/>
    <s v="No"/>
    <s v="Travel_Frequently"/>
    <n v="1391"/>
    <s v="Research &amp; Development"/>
    <n v="10"/>
    <n v="1"/>
    <s v="Medical"/>
    <n v="3"/>
    <s v="Male"/>
    <n v="66"/>
    <n v="3"/>
    <n v="1"/>
    <s v="Research Scientist"/>
    <n v="3"/>
    <s v="Married"/>
    <n v="2684"/>
    <n v="12127"/>
    <n v="0"/>
    <s v="No"/>
    <n v="17"/>
    <n v="3"/>
    <n v="2"/>
    <n v="1"/>
    <n v="3"/>
    <n v="0"/>
    <n v="2"/>
    <n v="2"/>
    <n v="1"/>
    <n v="0"/>
    <n v="2"/>
  </r>
  <r>
    <n v="46"/>
    <s v="No"/>
    <s v="Travel_Rarely"/>
    <n v="566"/>
    <s v="Research &amp; Development"/>
    <n v="7"/>
    <n v="2"/>
    <s v="Medical"/>
    <n v="4"/>
    <s v="Male"/>
    <n v="75"/>
    <n v="3"/>
    <n v="3"/>
    <s v="Manufacturing Director"/>
    <n v="3"/>
    <s v="Divorced"/>
    <n v="10845"/>
    <n v="24208"/>
    <n v="6"/>
    <s v="No"/>
    <n v="13"/>
    <n v="3"/>
    <n v="2"/>
    <n v="1"/>
    <n v="13"/>
    <n v="3"/>
    <n v="3"/>
    <n v="8"/>
    <n v="7"/>
    <n v="0"/>
    <n v="7"/>
  </r>
  <r>
    <n v="24"/>
    <s v="No"/>
    <s v="Travel_Rarely"/>
    <n v="1206"/>
    <s v="Research &amp; Development"/>
    <n v="17"/>
    <n v="1"/>
    <s v="Medical"/>
    <n v="4"/>
    <s v="Female"/>
    <n v="41"/>
    <n v="2"/>
    <n v="2"/>
    <s v="Manufacturing Director"/>
    <n v="3"/>
    <s v="Divorced"/>
    <n v="4377"/>
    <n v="24117"/>
    <n v="1"/>
    <s v="No"/>
    <n v="15"/>
    <n v="3"/>
    <n v="2"/>
    <n v="2"/>
    <n v="5"/>
    <n v="6"/>
    <n v="3"/>
    <n v="4"/>
    <n v="2"/>
    <n v="3"/>
    <n v="2"/>
  </r>
  <r>
    <n v="35"/>
    <s v="Yes"/>
    <s v="Travel_Rarely"/>
    <n v="622"/>
    <s v="Research &amp; Development"/>
    <n v="14"/>
    <n v="4"/>
    <s v="Other"/>
    <n v="3"/>
    <s v="Male"/>
    <n v="39"/>
    <n v="2"/>
    <n v="1"/>
    <s v="Laboratory Technician"/>
    <n v="2"/>
    <s v="Divorced"/>
    <n v="3743"/>
    <n v="10074"/>
    <n v="1"/>
    <s v="Yes"/>
    <n v="24"/>
    <n v="4"/>
    <n v="4"/>
    <n v="1"/>
    <n v="5"/>
    <n v="2"/>
    <n v="1"/>
    <n v="4"/>
    <n v="2"/>
    <n v="0"/>
    <n v="2"/>
  </r>
  <r>
    <n v="31"/>
    <s v="No"/>
    <s v="Travel_Frequently"/>
    <n v="853"/>
    <s v="Research &amp; Development"/>
    <n v="1"/>
    <n v="1"/>
    <s v="Life Sciences"/>
    <n v="3"/>
    <s v="Female"/>
    <n v="96"/>
    <n v="3"/>
    <n v="2"/>
    <s v="Manufacturing Director"/>
    <n v="1"/>
    <s v="Married"/>
    <n v="4148"/>
    <n v="11275"/>
    <n v="1"/>
    <s v="No"/>
    <n v="12"/>
    <n v="3"/>
    <n v="3"/>
    <n v="1"/>
    <n v="4"/>
    <n v="1"/>
    <n v="3"/>
    <n v="4"/>
    <n v="3"/>
    <n v="0"/>
    <n v="3"/>
  </r>
  <r>
    <n v="18"/>
    <s v="No"/>
    <s v="Non-Travel"/>
    <n v="287"/>
    <s v="Research &amp; Development"/>
    <n v="5"/>
    <n v="2"/>
    <s v="Life Sciences"/>
    <n v="2"/>
    <s v="Male"/>
    <n v="73"/>
    <n v="3"/>
    <n v="1"/>
    <s v="Research Scientist"/>
    <n v="4"/>
    <s v="Single"/>
    <n v="1051"/>
    <n v="13493"/>
    <n v="1"/>
    <s v="No"/>
    <n v="15"/>
    <n v="3"/>
    <n v="4"/>
    <n v="0"/>
    <n v="0"/>
    <n v="2"/>
    <n v="3"/>
    <n v="0"/>
    <n v="0"/>
    <n v="0"/>
    <n v="0"/>
  </r>
  <r>
    <n v="54"/>
    <s v="No"/>
    <s v="Travel_Rarely"/>
    <n v="1441"/>
    <s v="Research &amp; Development"/>
    <n v="17"/>
    <n v="3"/>
    <s v="Technical Degree"/>
    <n v="3"/>
    <s v="Female"/>
    <n v="56"/>
    <n v="3"/>
    <n v="3"/>
    <s v="Manufacturing Director"/>
    <n v="3"/>
    <s v="Married"/>
    <n v="10739"/>
    <n v="13943"/>
    <n v="8"/>
    <s v="No"/>
    <n v="11"/>
    <n v="3"/>
    <n v="3"/>
    <n v="1"/>
    <n v="22"/>
    <n v="2"/>
    <n v="3"/>
    <n v="10"/>
    <n v="7"/>
    <n v="0"/>
    <n v="8"/>
  </r>
  <r>
    <n v="35"/>
    <s v="No"/>
    <s v="Travel_Rarely"/>
    <n v="583"/>
    <s v="Research &amp; Development"/>
    <n v="25"/>
    <n v="4"/>
    <s v="Medical"/>
    <n v="3"/>
    <s v="Female"/>
    <n v="57"/>
    <n v="3"/>
    <n v="3"/>
    <s v="Healthcare Representative"/>
    <n v="3"/>
    <s v="Divorced"/>
    <n v="10388"/>
    <n v="6975"/>
    <n v="1"/>
    <s v="Yes"/>
    <n v="11"/>
    <n v="3"/>
    <n v="3"/>
    <n v="1"/>
    <n v="16"/>
    <n v="3"/>
    <n v="2"/>
    <n v="16"/>
    <n v="10"/>
    <n v="10"/>
    <n v="1"/>
  </r>
  <r>
    <n v="30"/>
    <s v="No"/>
    <s v="Travel_Rarely"/>
    <n v="153"/>
    <s v="Research &amp; Development"/>
    <n v="8"/>
    <n v="2"/>
    <s v="Life Sciences"/>
    <n v="2"/>
    <s v="Female"/>
    <n v="73"/>
    <n v="4"/>
    <n v="3"/>
    <s v="Research Director"/>
    <n v="1"/>
    <s v="Married"/>
    <n v="11416"/>
    <n v="17802"/>
    <n v="0"/>
    <s v="Yes"/>
    <n v="12"/>
    <n v="3"/>
    <n v="3"/>
    <n v="3"/>
    <n v="9"/>
    <n v="4"/>
    <n v="2"/>
    <n v="8"/>
    <n v="7"/>
    <n v="1"/>
    <n v="7"/>
  </r>
  <r>
    <n v="20"/>
    <s v="Yes"/>
    <s v="Travel_Rarely"/>
    <n v="1097"/>
    <s v="Research &amp; Development"/>
    <n v="11"/>
    <n v="3"/>
    <s v="Medical"/>
    <n v="4"/>
    <s v="Female"/>
    <n v="98"/>
    <n v="2"/>
    <n v="1"/>
    <s v="Research Scientist"/>
    <n v="1"/>
    <s v="Single"/>
    <n v="2600"/>
    <n v="18275"/>
    <n v="1"/>
    <s v="Yes"/>
    <n v="15"/>
    <n v="3"/>
    <n v="1"/>
    <n v="0"/>
    <n v="1"/>
    <n v="2"/>
    <n v="3"/>
    <n v="1"/>
    <n v="0"/>
    <n v="0"/>
    <n v="0"/>
  </r>
  <r>
    <n v="30"/>
    <s v="Yes"/>
    <s v="Travel_Frequently"/>
    <n v="109"/>
    <s v="Research &amp; Development"/>
    <n v="5"/>
    <n v="3"/>
    <s v="Medical"/>
    <n v="2"/>
    <s v="Female"/>
    <n v="60"/>
    <n v="3"/>
    <n v="1"/>
    <s v="Laboratory Technician"/>
    <n v="2"/>
    <s v="Single"/>
    <n v="2422"/>
    <n v="25725"/>
    <n v="0"/>
    <s v="No"/>
    <n v="17"/>
    <n v="3"/>
    <n v="1"/>
    <n v="0"/>
    <n v="4"/>
    <n v="3"/>
    <n v="3"/>
    <n v="3"/>
    <n v="2"/>
    <n v="1"/>
    <n v="2"/>
  </r>
  <r>
    <n v="26"/>
    <s v="No"/>
    <s v="Travel_Rarely"/>
    <n v="1066"/>
    <s v="Research &amp; Development"/>
    <n v="2"/>
    <n v="2"/>
    <s v="Medical"/>
    <n v="4"/>
    <s v="Male"/>
    <n v="32"/>
    <n v="4"/>
    <n v="2"/>
    <s v="Manufacturing Director"/>
    <n v="4"/>
    <s v="Married"/>
    <n v="5472"/>
    <n v="3334"/>
    <n v="1"/>
    <s v="No"/>
    <n v="12"/>
    <n v="3"/>
    <n v="2"/>
    <n v="0"/>
    <n v="8"/>
    <n v="2"/>
    <n v="3"/>
    <n v="8"/>
    <n v="7"/>
    <n v="1"/>
    <n v="3"/>
  </r>
  <r>
    <n v="22"/>
    <s v="No"/>
    <s v="Travel_Rarely"/>
    <n v="217"/>
    <s v="Research &amp; Development"/>
    <n v="8"/>
    <n v="1"/>
    <s v="Life Sciences"/>
    <n v="2"/>
    <s v="Male"/>
    <n v="94"/>
    <n v="1"/>
    <n v="1"/>
    <s v="Laboratory Technician"/>
    <n v="1"/>
    <s v="Married"/>
    <n v="2451"/>
    <n v="6881"/>
    <n v="1"/>
    <s v="No"/>
    <n v="15"/>
    <n v="3"/>
    <n v="1"/>
    <n v="1"/>
    <n v="4"/>
    <n v="3"/>
    <n v="2"/>
    <n v="4"/>
    <n v="3"/>
    <n v="1"/>
    <n v="1"/>
  </r>
  <r>
    <n v="48"/>
    <s v="No"/>
    <s v="Travel_Rarely"/>
    <n v="277"/>
    <s v="Research &amp; Development"/>
    <n v="6"/>
    <n v="3"/>
    <s v="Life Sciences"/>
    <n v="1"/>
    <s v="Male"/>
    <n v="97"/>
    <n v="2"/>
    <n v="2"/>
    <s v="Healthcare Representative"/>
    <n v="3"/>
    <s v="Single"/>
    <n v="4240"/>
    <n v="13119"/>
    <n v="2"/>
    <s v="No"/>
    <n v="13"/>
    <n v="3"/>
    <n v="4"/>
    <n v="0"/>
    <n v="19"/>
    <n v="0"/>
    <n v="3"/>
    <n v="2"/>
    <n v="2"/>
    <n v="2"/>
    <n v="2"/>
  </r>
  <r>
    <n v="48"/>
    <s v="No"/>
    <s v="Travel_Rarely"/>
    <n v="1355"/>
    <s v="Research &amp; Development"/>
    <n v="4"/>
    <n v="4"/>
    <s v="Life Sciences"/>
    <n v="3"/>
    <s v="Male"/>
    <n v="78"/>
    <n v="2"/>
    <n v="3"/>
    <s v="Healthcare Representative"/>
    <n v="3"/>
    <s v="Single"/>
    <n v="10999"/>
    <n v="22245"/>
    <n v="7"/>
    <s v="No"/>
    <n v="14"/>
    <n v="3"/>
    <n v="2"/>
    <n v="0"/>
    <n v="27"/>
    <n v="3"/>
    <n v="3"/>
    <n v="15"/>
    <n v="11"/>
    <n v="4"/>
    <n v="8"/>
  </r>
  <r>
    <n v="41"/>
    <s v="No"/>
    <s v="Travel_Rarely"/>
    <n v="549"/>
    <s v="Research &amp; Development"/>
    <n v="7"/>
    <n v="2"/>
    <s v="Medical"/>
    <n v="4"/>
    <s v="Female"/>
    <n v="42"/>
    <n v="3"/>
    <n v="2"/>
    <s v="Manufacturing Director"/>
    <n v="3"/>
    <s v="Single"/>
    <n v="5003"/>
    <n v="23371"/>
    <n v="6"/>
    <s v="No"/>
    <n v="14"/>
    <n v="3"/>
    <n v="2"/>
    <n v="0"/>
    <n v="8"/>
    <n v="6"/>
    <n v="3"/>
    <n v="2"/>
    <n v="2"/>
    <n v="2"/>
    <n v="1"/>
  </r>
  <r>
    <n v="39"/>
    <s v="No"/>
    <s v="Travel_Rarely"/>
    <n v="466"/>
    <s v="Research &amp; Development"/>
    <n v="1"/>
    <n v="1"/>
    <s v="Life Sciences"/>
    <n v="4"/>
    <s v="Female"/>
    <n v="65"/>
    <n v="2"/>
    <n v="4"/>
    <s v="Manufacturing Director"/>
    <n v="4"/>
    <s v="Married"/>
    <n v="12742"/>
    <n v="7060"/>
    <n v="1"/>
    <s v="No"/>
    <n v="16"/>
    <n v="3"/>
    <n v="3"/>
    <n v="1"/>
    <n v="21"/>
    <n v="3"/>
    <n v="3"/>
    <n v="21"/>
    <n v="6"/>
    <n v="11"/>
    <n v="8"/>
  </r>
  <r>
    <n v="27"/>
    <s v="No"/>
    <s v="Travel_Rarely"/>
    <n v="1055"/>
    <s v="Research &amp; Development"/>
    <n v="2"/>
    <n v="4"/>
    <s v="Life Sciences"/>
    <n v="1"/>
    <s v="Female"/>
    <n v="47"/>
    <n v="3"/>
    <n v="2"/>
    <s v="Manufacturing Director"/>
    <n v="4"/>
    <s v="Married"/>
    <n v="4227"/>
    <n v="4658"/>
    <n v="0"/>
    <s v="No"/>
    <n v="18"/>
    <n v="3"/>
    <n v="2"/>
    <n v="1"/>
    <n v="4"/>
    <n v="2"/>
    <n v="3"/>
    <n v="3"/>
    <n v="2"/>
    <n v="2"/>
    <n v="2"/>
  </r>
  <r>
    <n v="35"/>
    <s v="No"/>
    <s v="Travel_Rarely"/>
    <n v="802"/>
    <s v="Research &amp; Development"/>
    <n v="10"/>
    <n v="3"/>
    <s v="Other"/>
    <n v="2"/>
    <s v="Male"/>
    <n v="45"/>
    <n v="3"/>
    <n v="1"/>
    <s v="Laboratory Technician"/>
    <n v="4"/>
    <s v="Divorced"/>
    <n v="3917"/>
    <n v="9541"/>
    <n v="1"/>
    <s v="No"/>
    <n v="20"/>
    <n v="4"/>
    <n v="1"/>
    <n v="1"/>
    <n v="3"/>
    <n v="4"/>
    <n v="2"/>
    <n v="3"/>
    <n v="2"/>
    <n v="1"/>
    <n v="2"/>
  </r>
  <r>
    <n v="42"/>
    <s v="No"/>
    <s v="Travel_Rarely"/>
    <n v="265"/>
    <s v="Sales"/>
    <n v="5"/>
    <n v="2"/>
    <s v="Marketing"/>
    <n v="4"/>
    <s v="Male"/>
    <n v="90"/>
    <n v="3"/>
    <n v="5"/>
    <s v="Manager"/>
    <n v="3"/>
    <s v="Married"/>
    <n v="18303"/>
    <n v="7770"/>
    <n v="6"/>
    <s v="No"/>
    <n v="13"/>
    <n v="3"/>
    <n v="2"/>
    <n v="0"/>
    <n v="21"/>
    <n v="3"/>
    <n v="4"/>
    <n v="1"/>
    <n v="0"/>
    <n v="0"/>
    <n v="0"/>
  </r>
  <r>
    <n v="50"/>
    <s v="No"/>
    <s v="Travel_Rarely"/>
    <n v="804"/>
    <s v="Research &amp; Development"/>
    <n v="9"/>
    <n v="3"/>
    <s v="Life Sciences"/>
    <n v="1"/>
    <s v="Male"/>
    <n v="64"/>
    <n v="3"/>
    <n v="1"/>
    <s v="Laboratory Technician"/>
    <n v="4"/>
    <s v="Married"/>
    <n v="2380"/>
    <n v="20165"/>
    <n v="4"/>
    <s v="No"/>
    <n v="18"/>
    <n v="3"/>
    <n v="2"/>
    <n v="0"/>
    <n v="8"/>
    <n v="5"/>
    <n v="3"/>
    <n v="1"/>
    <n v="0"/>
    <n v="0"/>
    <n v="0"/>
  </r>
  <r>
    <n v="59"/>
    <s v="No"/>
    <s v="Travel_Rarely"/>
    <n v="715"/>
    <s v="Research &amp; Development"/>
    <n v="2"/>
    <n v="3"/>
    <s v="Life Sciences"/>
    <n v="3"/>
    <s v="Female"/>
    <n v="69"/>
    <n v="2"/>
    <n v="4"/>
    <s v="Manufacturing Director"/>
    <n v="4"/>
    <s v="Single"/>
    <n v="13726"/>
    <n v="21829"/>
    <n v="3"/>
    <s v="Yes"/>
    <n v="13"/>
    <n v="3"/>
    <n v="1"/>
    <n v="0"/>
    <n v="30"/>
    <n v="4"/>
    <n v="3"/>
    <n v="5"/>
    <n v="3"/>
    <n v="4"/>
    <n v="3"/>
  </r>
  <r>
    <n v="37"/>
    <s v="Yes"/>
    <s v="Travel_Rarely"/>
    <n v="1141"/>
    <s v="Research &amp; Development"/>
    <n v="11"/>
    <n v="2"/>
    <s v="Medical"/>
    <n v="1"/>
    <s v="Female"/>
    <n v="61"/>
    <n v="1"/>
    <n v="2"/>
    <s v="Healthcare Representative"/>
    <n v="2"/>
    <s v="Married"/>
    <n v="4777"/>
    <n v="14382"/>
    <n v="5"/>
    <s v="No"/>
    <n v="15"/>
    <n v="3"/>
    <n v="1"/>
    <n v="0"/>
    <n v="15"/>
    <n v="2"/>
    <n v="1"/>
    <n v="1"/>
    <n v="0"/>
    <n v="0"/>
    <n v="0"/>
  </r>
  <r>
    <n v="55"/>
    <s v="No"/>
    <s v="Travel_Frequently"/>
    <n v="135"/>
    <s v="Research &amp; Development"/>
    <n v="18"/>
    <n v="4"/>
    <s v="Medical"/>
    <n v="3"/>
    <s v="Male"/>
    <n v="62"/>
    <n v="3"/>
    <n v="2"/>
    <s v="Healthcare Representative"/>
    <n v="2"/>
    <s v="Married"/>
    <n v="6385"/>
    <n v="12992"/>
    <n v="3"/>
    <s v="Yes"/>
    <n v="14"/>
    <n v="3"/>
    <n v="4"/>
    <n v="2"/>
    <n v="17"/>
    <n v="3"/>
    <n v="3"/>
    <n v="8"/>
    <n v="7"/>
    <n v="6"/>
    <n v="7"/>
  </r>
  <r>
    <n v="41"/>
    <s v="No"/>
    <s v="Non-Travel"/>
    <n v="247"/>
    <s v="Research &amp; Development"/>
    <n v="7"/>
    <n v="1"/>
    <s v="Life Sciences"/>
    <n v="2"/>
    <s v="Female"/>
    <n v="55"/>
    <n v="1"/>
    <n v="5"/>
    <s v="Research Director"/>
    <n v="3"/>
    <s v="Divorced"/>
    <n v="19973"/>
    <n v="20284"/>
    <n v="1"/>
    <s v="No"/>
    <n v="22"/>
    <n v="4"/>
    <n v="2"/>
    <n v="2"/>
    <n v="21"/>
    <n v="3"/>
    <n v="3"/>
    <n v="21"/>
    <n v="16"/>
    <n v="5"/>
    <n v="10"/>
  </r>
  <r>
    <n v="38"/>
    <s v="No"/>
    <s v="Travel_Rarely"/>
    <n v="1035"/>
    <s v="Sales"/>
    <n v="3"/>
    <n v="4"/>
    <s v="Life Sciences"/>
    <n v="2"/>
    <s v="Male"/>
    <n v="42"/>
    <n v="3"/>
    <n v="2"/>
    <s v="Sales Executive"/>
    <n v="4"/>
    <s v="Single"/>
    <n v="6861"/>
    <n v="4981"/>
    <n v="8"/>
    <s v="Yes"/>
    <n v="12"/>
    <n v="3"/>
    <n v="3"/>
    <n v="0"/>
    <n v="19"/>
    <n v="1"/>
    <n v="3"/>
    <n v="1"/>
    <n v="0"/>
    <n v="0"/>
    <n v="0"/>
  </r>
  <r>
    <n v="26"/>
    <s v="Yes"/>
    <s v="Non-Travel"/>
    <n v="265"/>
    <s v="Sales"/>
    <n v="29"/>
    <n v="2"/>
    <s v="Medical"/>
    <n v="2"/>
    <s v="Male"/>
    <n v="79"/>
    <n v="1"/>
    <n v="2"/>
    <s v="Sales Executive"/>
    <n v="1"/>
    <s v="Single"/>
    <n v="4969"/>
    <n v="21813"/>
    <n v="8"/>
    <s v="No"/>
    <n v="18"/>
    <n v="3"/>
    <n v="4"/>
    <n v="0"/>
    <n v="7"/>
    <n v="6"/>
    <n v="3"/>
    <n v="2"/>
    <n v="2"/>
    <n v="2"/>
    <n v="2"/>
  </r>
  <r>
    <n v="52"/>
    <s v="Yes"/>
    <s v="Travel_Rarely"/>
    <n v="266"/>
    <s v="Sales"/>
    <n v="2"/>
    <n v="1"/>
    <s v="Marketing"/>
    <n v="1"/>
    <s v="Female"/>
    <n v="57"/>
    <n v="1"/>
    <n v="5"/>
    <s v="Manager"/>
    <n v="4"/>
    <s v="Married"/>
    <n v="19845"/>
    <n v="25846"/>
    <n v="1"/>
    <s v="No"/>
    <n v="15"/>
    <n v="3"/>
    <n v="4"/>
    <n v="1"/>
    <n v="33"/>
    <n v="3"/>
    <n v="3"/>
    <n v="32"/>
    <n v="14"/>
    <n v="6"/>
    <n v="9"/>
  </r>
  <r>
    <n v="44"/>
    <s v="No"/>
    <s v="Travel_Rarely"/>
    <n v="1448"/>
    <s v="Sales"/>
    <n v="28"/>
    <n v="3"/>
    <s v="Medical"/>
    <n v="4"/>
    <s v="Female"/>
    <n v="53"/>
    <n v="4"/>
    <n v="4"/>
    <s v="Sales Executive"/>
    <n v="4"/>
    <s v="Married"/>
    <n v="13320"/>
    <n v="11737"/>
    <n v="3"/>
    <s v="Yes"/>
    <n v="18"/>
    <n v="3"/>
    <n v="3"/>
    <n v="1"/>
    <n v="23"/>
    <n v="2"/>
    <n v="3"/>
    <n v="12"/>
    <n v="11"/>
    <n v="11"/>
    <n v="11"/>
  </r>
  <r>
    <n v="50"/>
    <s v="No"/>
    <s v="Non-Travel"/>
    <n v="145"/>
    <s v="Sales"/>
    <n v="1"/>
    <n v="3"/>
    <s v="Life Sciences"/>
    <n v="4"/>
    <s v="Female"/>
    <n v="95"/>
    <n v="3"/>
    <n v="2"/>
    <s v="Sales Executive"/>
    <n v="3"/>
    <s v="Married"/>
    <n v="6347"/>
    <n v="24920"/>
    <n v="0"/>
    <s v="No"/>
    <n v="12"/>
    <n v="3"/>
    <n v="1"/>
    <n v="1"/>
    <n v="19"/>
    <n v="3"/>
    <n v="3"/>
    <n v="18"/>
    <n v="7"/>
    <n v="0"/>
    <n v="13"/>
  </r>
  <r>
    <n v="36"/>
    <s v="Yes"/>
    <s v="Travel_Rarely"/>
    <n v="885"/>
    <s v="Research &amp; Development"/>
    <n v="16"/>
    <n v="4"/>
    <s v="Life Sciences"/>
    <n v="3"/>
    <s v="Female"/>
    <n v="43"/>
    <n v="4"/>
    <n v="1"/>
    <s v="Laboratory Technician"/>
    <n v="1"/>
    <s v="Single"/>
    <n v="2743"/>
    <n v="8269"/>
    <n v="1"/>
    <s v="No"/>
    <n v="16"/>
    <n v="3"/>
    <n v="3"/>
    <n v="0"/>
    <n v="18"/>
    <n v="1"/>
    <n v="3"/>
    <n v="17"/>
    <n v="13"/>
    <n v="15"/>
    <n v="14"/>
  </r>
  <r>
    <n v="39"/>
    <s v="No"/>
    <s v="Travel_Frequently"/>
    <n v="945"/>
    <s v="Research &amp; Development"/>
    <n v="22"/>
    <n v="3"/>
    <s v="Medical"/>
    <n v="4"/>
    <s v="Female"/>
    <n v="82"/>
    <n v="3"/>
    <n v="3"/>
    <s v="Manufacturing Director"/>
    <n v="1"/>
    <s v="Single"/>
    <n v="10880"/>
    <n v="5083"/>
    <n v="1"/>
    <s v="Yes"/>
    <n v="13"/>
    <n v="3"/>
    <n v="3"/>
    <n v="0"/>
    <n v="21"/>
    <n v="2"/>
    <n v="3"/>
    <n v="21"/>
    <n v="6"/>
    <n v="2"/>
    <n v="8"/>
  </r>
  <r>
    <n v="33"/>
    <s v="No"/>
    <s v="Non-Travel"/>
    <n v="1038"/>
    <s v="Sales"/>
    <n v="8"/>
    <n v="1"/>
    <s v="Life Sciences"/>
    <n v="2"/>
    <s v="Female"/>
    <n v="88"/>
    <n v="2"/>
    <n v="1"/>
    <s v="Sales Representative"/>
    <n v="4"/>
    <s v="Single"/>
    <n v="2342"/>
    <n v="21437"/>
    <n v="0"/>
    <s v="No"/>
    <n v="19"/>
    <n v="3"/>
    <n v="4"/>
    <n v="0"/>
    <n v="3"/>
    <n v="2"/>
    <n v="2"/>
    <n v="2"/>
    <n v="2"/>
    <n v="2"/>
    <n v="2"/>
  </r>
  <r>
    <n v="45"/>
    <s v="No"/>
    <s v="Travel_Rarely"/>
    <n v="1234"/>
    <s v="Sales"/>
    <n v="11"/>
    <n v="2"/>
    <s v="Life Sciences"/>
    <n v="4"/>
    <s v="Female"/>
    <n v="90"/>
    <n v="3"/>
    <n v="4"/>
    <s v="Manager"/>
    <n v="4"/>
    <s v="Married"/>
    <n v="17650"/>
    <n v="5404"/>
    <n v="3"/>
    <s v="No"/>
    <n v="13"/>
    <n v="3"/>
    <n v="2"/>
    <n v="1"/>
    <n v="26"/>
    <n v="4"/>
    <n v="4"/>
    <n v="9"/>
    <n v="3"/>
    <n v="1"/>
    <n v="1"/>
  </r>
  <r>
    <n v="32"/>
    <s v="No"/>
    <s v="Non-Travel"/>
    <n v="1109"/>
    <s v="Research &amp; Development"/>
    <n v="29"/>
    <n v="4"/>
    <s v="Medical"/>
    <n v="4"/>
    <s v="Female"/>
    <n v="69"/>
    <n v="3"/>
    <n v="1"/>
    <s v="Laboratory Technician"/>
    <n v="3"/>
    <s v="Single"/>
    <n v="4025"/>
    <n v="11135"/>
    <n v="9"/>
    <s v="No"/>
    <n v="12"/>
    <n v="3"/>
    <n v="2"/>
    <n v="0"/>
    <n v="10"/>
    <n v="2"/>
    <n v="3"/>
    <n v="8"/>
    <n v="7"/>
    <n v="7"/>
    <n v="7"/>
  </r>
  <r>
    <n v="34"/>
    <s v="No"/>
    <s v="Travel_Rarely"/>
    <n v="216"/>
    <s v="Sales"/>
    <n v="1"/>
    <n v="4"/>
    <s v="Marketing"/>
    <n v="2"/>
    <s v="Male"/>
    <n v="75"/>
    <n v="4"/>
    <n v="2"/>
    <s v="Sales Executive"/>
    <n v="4"/>
    <s v="Divorced"/>
    <n v="9725"/>
    <n v="12278"/>
    <n v="0"/>
    <s v="No"/>
    <n v="11"/>
    <n v="3"/>
    <n v="4"/>
    <n v="1"/>
    <n v="16"/>
    <n v="2"/>
    <n v="2"/>
    <n v="15"/>
    <n v="1"/>
    <n v="0"/>
    <n v="9"/>
  </r>
  <r>
    <n v="59"/>
    <s v="No"/>
    <s v="Travel_Rarely"/>
    <n v="1089"/>
    <s v="Sales"/>
    <n v="1"/>
    <n v="2"/>
    <s v="Technical Degree"/>
    <n v="2"/>
    <s v="Male"/>
    <n v="66"/>
    <n v="3"/>
    <n v="3"/>
    <s v="Manager"/>
    <n v="4"/>
    <s v="Married"/>
    <n v="11904"/>
    <n v="11038"/>
    <n v="3"/>
    <s v="Yes"/>
    <n v="14"/>
    <n v="3"/>
    <n v="3"/>
    <n v="1"/>
    <n v="14"/>
    <n v="1"/>
    <n v="1"/>
    <n v="6"/>
    <n v="4"/>
    <n v="0"/>
    <n v="4"/>
  </r>
  <r>
    <n v="45"/>
    <s v="No"/>
    <s v="Travel_Rarely"/>
    <n v="788"/>
    <s v="Human Resources"/>
    <n v="24"/>
    <n v="4"/>
    <s v="Medical"/>
    <n v="2"/>
    <s v="Male"/>
    <n v="36"/>
    <n v="3"/>
    <n v="1"/>
    <s v="Human Resources"/>
    <n v="2"/>
    <s v="Single"/>
    <n v="2177"/>
    <n v="8318"/>
    <n v="1"/>
    <s v="No"/>
    <n v="16"/>
    <n v="3"/>
    <n v="1"/>
    <n v="0"/>
    <n v="6"/>
    <n v="3"/>
    <n v="3"/>
    <n v="6"/>
    <n v="3"/>
    <n v="0"/>
    <n v="4"/>
  </r>
  <r>
    <n v="53"/>
    <s v="No"/>
    <s v="Travel_Frequently"/>
    <n v="124"/>
    <s v="Sales"/>
    <n v="2"/>
    <n v="3"/>
    <s v="Marketing"/>
    <n v="3"/>
    <s v="Female"/>
    <n v="38"/>
    <n v="2"/>
    <n v="3"/>
    <s v="Sales Executive"/>
    <n v="2"/>
    <s v="Married"/>
    <n v="7525"/>
    <n v="23537"/>
    <n v="2"/>
    <s v="No"/>
    <n v="12"/>
    <n v="3"/>
    <n v="1"/>
    <n v="1"/>
    <n v="30"/>
    <n v="2"/>
    <n v="3"/>
    <n v="15"/>
    <n v="7"/>
    <n v="6"/>
    <n v="12"/>
  </r>
  <r>
    <n v="36"/>
    <s v="Yes"/>
    <s v="Travel_Rarely"/>
    <n v="660"/>
    <s v="Research &amp; Development"/>
    <n v="15"/>
    <n v="3"/>
    <s v="Other"/>
    <n v="1"/>
    <s v="Male"/>
    <n v="81"/>
    <n v="3"/>
    <n v="2"/>
    <s v="Laboratory Technician"/>
    <n v="3"/>
    <s v="Divorced"/>
    <n v="4834"/>
    <n v="7858"/>
    <n v="7"/>
    <s v="No"/>
    <n v="14"/>
    <n v="3"/>
    <n v="2"/>
    <n v="1"/>
    <n v="9"/>
    <n v="3"/>
    <n v="2"/>
    <n v="1"/>
    <n v="0"/>
    <n v="0"/>
    <n v="0"/>
  </r>
  <r>
    <n v="26"/>
    <s v="Yes"/>
    <s v="Travel_Frequently"/>
    <n v="342"/>
    <s v="Research &amp; Development"/>
    <n v="2"/>
    <n v="3"/>
    <s v="Life Sciences"/>
    <n v="1"/>
    <s v="Male"/>
    <n v="57"/>
    <n v="3"/>
    <n v="1"/>
    <s v="Research Scientist"/>
    <n v="1"/>
    <s v="Married"/>
    <n v="2042"/>
    <n v="15346"/>
    <n v="6"/>
    <s v="Yes"/>
    <n v="14"/>
    <n v="3"/>
    <n v="2"/>
    <n v="1"/>
    <n v="6"/>
    <n v="2"/>
    <n v="3"/>
    <n v="3"/>
    <n v="2"/>
    <n v="1"/>
    <n v="2"/>
  </r>
  <r>
    <n v="34"/>
    <s v="No"/>
    <s v="Travel_Rarely"/>
    <n v="1333"/>
    <s v="Sales"/>
    <n v="10"/>
    <n v="4"/>
    <s v="Life Sciences"/>
    <n v="3"/>
    <s v="Female"/>
    <n v="87"/>
    <n v="3"/>
    <n v="1"/>
    <s v="Sales Representative"/>
    <n v="3"/>
    <s v="Married"/>
    <n v="2220"/>
    <n v="18410"/>
    <n v="1"/>
    <s v="Yes"/>
    <n v="19"/>
    <n v="3"/>
    <n v="4"/>
    <n v="1"/>
    <n v="1"/>
    <n v="2"/>
    <n v="3"/>
    <n v="1"/>
    <n v="1"/>
    <n v="0"/>
    <n v="0"/>
  </r>
  <r>
    <n v="28"/>
    <s v="No"/>
    <s v="Travel_Rarely"/>
    <n v="1144"/>
    <s v="Sales"/>
    <n v="10"/>
    <n v="1"/>
    <s v="Medical"/>
    <n v="4"/>
    <s v="Male"/>
    <n v="74"/>
    <n v="3"/>
    <n v="1"/>
    <s v="Sales Representative"/>
    <n v="2"/>
    <s v="Married"/>
    <n v="1052"/>
    <n v="23384"/>
    <n v="1"/>
    <s v="No"/>
    <n v="22"/>
    <n v="4"/>
    <n v="2"/>
    <n v="0"/>
    <n v="1"/>
    <n v="5"/>
    <n v="3"/>
    <n v="1"/>
    <n v="0"/>
    <n v="0"/>
    <n v="0"/>
  </r>
  <r>
    <n v="38"/>
    <s v="No"/>
    <s v="Travel_Frequently"/>
    <n v="1186"/>
    <s v="Research &amp; Development"/>
    <n v="3"/>
    <n v="4"/>
    <s v="Other"/>
    <n v="3"/>
    <s v="Male"/>
    <n v="44"/>
    <n v="3"/>
    <n v="1"/>
    <s v="Research Scientist"/>
    <n v="3"/>
    <s v="Married"/>
    <n v="2821"/>
    <n v="2997"/>
    <n v="3"/>
    <s v="No"/>
    <n v="16"/>
    <n v="3"/>
    <n v="1"/>
    <n v="1"/>
    <n v="8"/>
    <n v="2"/>
    <n v="3"/>
    <n v="2"/>
    <n v="2"/>
    <n v="2"/>
    <n v="2"/>
  </r>
  <r>
    <n v="50"/>
    <s v="No"/>
    <s v="Travel_Rarely"/>
    <n v="1464"/>
    <s v="Research &amp; Development"/>
    <n v="2"/>
    <n v="4"/>
    <s v="Medical"/>
    <n v="2"/>
    <s v="Male"/>
    <n v="62"/>
    <n v="3"/>
    <n v="5"/>
    <s v="Research Director"/>
    <n v="3"/>
    <s v="Married"/>
    <n v="19237"/>
    <n v="12853"/>
    <n v="2"/>
    <s v="Yes"/>
    <n v="11"/>
    <n v="3"/>
    <n v="4"/>
    <n v="1"/>
    <n v="29"/>
    <n v="2"/>
    <n v="2"/>
    <n v="8"/>
    <n v="1"/>
    <n v="7"/>
    <n v="7"/>
  </r>
  <r>
    <n v="37"/>
    <s v="No"/>
    <s v="Travel_Rarely"/>
    <n v="124"/>
    <s v="Research &amp; Development"/>
    <n v="3"/>
    <n v="3"/>
    <s v="Other"/>
    <n v="4"/>
    <s v="Female"/>
    <n v="35"/>
    <n v="3"/>
    <n v="2"/>
    <s v="Healthcare Representative"/>
    <n v="2"/>
    <s v="Single"/>
    <n v="4107"/>
    <n v="13848"/>
    <n v="3"/>
    <s v="No"/>
    <n v="15"/>
    <n v="3"/>
    <n v="1"/>
    <n v="0"/>
    <n v="8"/>
    <n v="3"/>
    <n v="2"/>
    <n v="4"/>
    <n v="3"/>
    <n v="0"/>
    <n v="1"/>
  </r>
  <r>
    <n v="40"/>
    <s v="No"/>
    <s v="Travel_Rarely"/>
    <n v="300"/>
    <s v="Sales"/>
    <n v="26"/>
    <n v="3"/>
    <s v="Marketing"/>
    <n v="3"/>
    <s v="Male"/>
    <n v="74"/>
    <n v="3"/>
    <n v="2"/>
    <s v="Sales Executive"/>
    <n v="1"/>
    <s v="Married"/>
    <n v="8396"/>
    <n v="22217"/>
    <n v="1"/>
    <s v="No"/>
    <n v="14"/>
    <n v="3"/>
    <n v="2"/>
    <n v="1"/>
    <n v="8"/>
    <n v="3"/>
    <n v="2"/>
    <n v="7"/>
    <n v="7"/>
    <n v="7"/>
    <n v="5"/>
  </r>
  <r>
    <n v="26"/>
    <s v="No"/>
    <s v="Travel_Frequently"/>
    <n v="921"/>
    <s v="Research &amp; Development"/>
    <n v="1"/>
    <n v="1"/>
    <s v="Medical"/>
    <n v="1"/>
    <s v="Female"/>
    <n v="66"/>
    <n v="2"/>
    <n v="1"/>
    <s v="Research Scientist"/>
    <n v="3"/>
    <s v="Divorced"/>
    <n v="2007"/>
    <n v="25265"/>
    <n v="1"/>
    <s v="No"/>
    <n v="13"/>
    <n v="3"/>
    <n v="3"/>
    <n v="2"/>
    <n v="5"/>
    <n v="5"/>
    <n v="3"/>
    <n v="5"/>
    <n v="3"/>
    <n v="1"/>
    <n v="3"/>
  </r>
  <r>
    <n v="46"/>
    <s v="No"/>
    <s v="Travel_Rarely"/>
    <n v="430"/>
    <s v="Research &amp; Development"/>
    <n v="1"/>
    <n v="4"/>
    <s v="Medical"/>
    <n v="4"/>
    <s v="Male"/>
    <n v="40"/>
    <n v="3"/>
    <n v="5"/>
    <s v="Research Director"/>
    <n v="4"/>
    <s v="Divorced"/>
    <n v="19627"/>
    <n v="21445"/>
    <n v="9"/>
    <s v="No"/>
    <n v="17"/>
    <n v="3"/>
    <n v="4"/>
    <n v="2"/>
    <n v="23"/>
    <n v="0"/>
    <n v="3"/>
    <n v="2"/>
    <n v="2"/>
    <n v="2"/>
    <n v="2"/>
  </r>
  <r>
    <n v="54"/>
    <s v="No"/>
    <s v="Travel_Rarely"/>
    <n v="1082"/>
    <s v="Sales"/>
    <n v="2"/>
    <n v="4"/>
    <s v="Life Sciences"/>
    <n v="3"/>
    <s v="Female"/>
    <n v="41"/>
    <n v="2"/>
    <n v="3"/>
    <s v="Sales Executive"/>
    <n v="3"/>
    <s v="Married"/>
    <n v="10686"/>
    <n v="8392"/>
    <n v="6"/>
    <s v="No"/>
    <n v="11"/>
    <n v="3"/>
    <n v="2"/>
    <n v="1"/>
    <n v="13"/>
    <n v="4"/>
    <n v="3"/>
    <n v="9"/>
    <n v="4"/>
    <n v="7"/>
    <n v="0"/>
  </r>
  <r>
    <n v="56"/>
    <s v="No"/>
    <s v="Travel_Frequently"/>
    <n v="1240"/>
    <s v="Research &amp; Development"/>
    <n v="9"/>
    <n v="3"/>
    <s v="Medical"/>
    <n v="1"/>
    <s v="Female"/>
    <n v="63"/>
    <n v="3"/>
    <n v="1"/>
    <s v="Research Scientist"/>
    <n v="3"/>
    <s v="Married"/>
    <n v="2942"/>
    <n v="12154"/>
    <n v="2"/>
    <s v="No"/>
    <n v="19"/>
    <n v="3"/>
    <n v="2"/>
    <n v="1"/>
    <n v="18"/>
    <n v="4"/>
    <n v="3"/>
    <n v="5"/>
    <n v="4"/>
    <n v="0"/>
    <n v="3"/>
  </r>
  <r>
    <n v="36"/>
    <s v="No"/>
    <s v="Travel_Rarely"/>
    <n v="796"/>
    <s v="Research &amp; Development"/>
    <n v="12"/>
    <n v="5"/>
    <s v="Medical"/>
    <n v="4"/>
    <s v="Female"/>
    <n v="51"/>
    <n v="2"/>
    <n v="3"/>
    <s v="Manufacturing Director"/>
    <n v="4"/>
    <s v="Single"/>
    <n v="8858"/>
    <n v="15669"/>
    <n v="0"/>
    <s v="No"/>
    <n v="11"/>
    <n v="3"/>
    <n v="2"/>
    <n v="0"/>
    <n v="15"/>
    <n v="2"/>
    <n v="2"/>
    <n v="14"/>
    <n v="8"/>
    <n v="7"/>
    <n v="8"/>
  </r>
  <r>
    <n v="55"/>
    <s v="No"/>
    <s v="Non-Travel"/>
    <n v="444"/>
    <s v="Research &amp; Development"/>
    <n v="2"/>
    <n v="1"/>
    <s v="Medical"/>
    <n v="3"/>
    <s v="Male"/>
    <n v="40"/>
    <n v="2"/>
    <n v="4"/>
    <s v="Manager"/>
    <n v="1"/>
    <s v="Single"/>
    <n v="16756"/>
    <n v="17323"/>
    <n v="7"/>
    <s v="No"/>
    <n v="15"/>
    <n v="3"/>
    <n v="2"/>
    <n v="0"/>
    <n v="31"/>
    <n v="3"/>
    <n v="4"/>
    <n v="9"/>
    <n v="7"/>
    <n v="6"/>
    <n v="2"/>
  </r>
  <r>
    <n v="43"/>
    <s v="No"/>
    <s v="Travel_Rarely"/>
    <n v="415"/>
    <s v="Sales"/>
    <n v="25"/>
    <n v="3"/>
    <s v="Medical"/>
    <n v="3"/>
    <s v="Male"/>
    <n v="79"/>
    <n v="2"/>
    <n v="3"/>
    <s v="Sales Executive"/>
    <n v="4"/>
    <s v="Divorced"/>
    <n v="10798"/>
    <n v="5268"/>
    <n v="5"/>
    <s v="No"/>
    <n v="13"/>
    <n v="3"/>
    <n v="3"/>
    <n v="1"/>
    <n v="18"/>
    <n v="5"/>
    <n v="3"/>
    <n v="1"/>
    <n v="0"/>
    <n v="0"/>
    <n v="0"/>
  </r>
  <r>
    <n v="20"/>
    <s v="Yes"/>
    <s v="Travel_Frequently"/>
    <n v="769"/>
    <s v="Sales"/>
    <n v="9"/>
    <n v="3"/>
    <s v="Marketing"/>
    <n v="4"/>
    <s v="Female"/>
    <n v="54"/>
    <n v="3"/>
    <n v="1"/>
    <s v="Sales Representative"/>
    <n v="4"/>
    <s v="Single"/>
    <n v="2323"/>
    <n v="17205"/>
    <n v="1"/>
    <s v="Yes"/>
    <n v="14"/>
    <n v="3"/>
    <n v="2"/>
    <n v="0"/>
    <n v="2"/>
    <n v="3"/>
    <n v="3"/>
    <n v="2"/>
    <n v="2"/>
    <n v="0"/>
    <n v="2"/>
  </r>
  <r>
    <n v="21"/>
    <s v="Yes"/>
    <s v="Travel_Rarely"/>
    <n v="1334"/>
    <s v="Research &amp; Development"/>
    <n v="10"/>
    <n v="3"/>
    <s v="Life Sciences"/>
    <n v="3"/>
    <s v="Female"/>
    <n v="36"/>
    <n v="2"/>
    <n v="1"/>
    <s v="Laboratory Technician"/>
    <n v="1"/>
    <s v="Single"/>
    <n v="1416"/>
    <n v="17258"/>
    <n v="1"/>
    <s v="No"/>
    <n v="13"/>
    <n v="3"/>
    <n v="1"/>
    <n v="0"/>
    <n v="1"/>
    <n v="6"/>
    <n v="2"/>
    <n v="1"/>
    <n v="0"/>
    <n v="1"/>
    <n v="0"/>
  </r>
  <r>
    <n v="46"/>
    <s v="No"/>
    <s v="Travel_Rarely"/>
    <n v="1003"/>
    <s v="Research &amp; Development"/>
    <n v="8"/>
    <n v="4"/>
    <s v="Life Sciences"/>
    <n v="4"/>
    <s v="Female"/>
    <n v="74"/>
    <n v="2"/>
    <n v="2"/>
    <s v="Research Scientist"/>
    <n v="1"/>
    <s v="Divorced"/>
    <n v="4615"/>
    <n v="21029"/>
    <n v="8"/>
    <s v="Yes"/>
    <n v="23"/>
    <n v="4"/>
    <n v="1"/>
    <n v="3"/>
    <n v="19"/>
    <n v="2"/>
    <n v="3"/>
    <n v="16"/>
    <n v="13"/>
    <n v="1"/>
    <n v="7"/>
  </r>
  <r>
    <n v="51"/>
    <s v="Yes"/>
    <s v="Travel_Rarely"/>
    <n v="1323"/>
    <s v="Research &amp; Development"/>
    <n v="4"/>
    <n v="4"/>
    <s v="Life Sciences"/>
    <n v="1"/>
    <s v="Male"/>
    <n v="34"/>
    <n v="3"/>
    <n v="1"/>
    <s v="Research Scientist"/>
    <n v="3"/>
    <s v="Married"/>
    <n v="2461"/>
    <n v="10332"/>
    <n v="9"/>
    <s v="Yes"/>
    <n v="12"/>
    <n v="3"/>
    <n v="3"/>
    <n v="3"/>
    <n v="18"/>
    <n v="2"/>
    <n v="4"/>
    <n v="10"/>
    <n v="0"/>
    <n v="2"/>
    <n v="7"/>
  </r>
  <r>
    <n v="28"/>
    <s v="Yes"/>
    <s v="Non-Travel"/>
    <n v="1366"/>
    <s v="Research &amp; Development"/>
    <n v="24"/>
    <n v="2"/>
    <s v="Technical Degree"/>
    <n v="2"/>
    <s v="Male"/>
    <n v="72"/>
    <n v="2"/>
    <n v="3"/>
    <s v="Healthcare Representative"/>
    <n v="1"/>
    <s v="Single"/>
    <n v="8722"/>
    <n v="12355"/>
    <n v="1"/>
    <s v="No"/>
    <n v="12"/>
    <n v="3"/>
    <n v="1"/>
    <n v="0"/>
    <n v="10"/>
    <n v="2"/>
    <n v="2"/>
    <n v="10"/>
    <n v="7"/>
    <n v="1"/>
    <n v="9"/>
  </r>
  <r>
    <n v="26"/>
    <s v="No"/>
    <s v="Travel_Rarely"/>
    <n v="192"/>
    <s v="Research &amp; Development"/>
    <n v="1"/>
    <n v="2"/>
    <s v="Medical"/>
    <n v="1"/>
    <s v="Male"/>
    <n v="59"/>
    <n v="2"/>
    <n v="1"/>
    <s v="Laboratory Technician"/>
    <n v="1"/>
    <s v="Married"/>
    <n v="3955"/>
    <n v="11141"/>
    <n v="1"/>
    <s v="No"/>
    <n v="16"/>
    <n v="3"/>
    <n v="1"/>
    <n v="2"/>
    <n v="6"/>
    <n v="2"/>
    <n v="3"/>
    <n v="5"/>
    <n v="3"/>
    <n v="1"/>
    <n v="3"/>
  </r>
  <r>
    <n v="30"/>
    <s v="No"/>
    <s v="Travel_Rarely"/>
    <n v="1176"/>
    <s v="Research &amp; Development"/>
    <n v="20"/>
    <n v="3"/>
    <s v="Other"/>
    <n v="3"/>
    <s v="Male"/>
    <n v="85"/>
    <n v="3"/>
    <n v="2"/>
    <s v="Manufacturing Director"/>
    <n v="1"/>
    <s v="Married"/>
    <n v="9957"/>
    <n v="9096"/>
    <n v="0"/>
    <s v="No"/>
    <n v="15"/>
    <n v="3"/>
    <n v="3"/>
    <n v="1"/>
    <n v="7"/>
    <n v="1"/>
    <n v="2"/>
    <n v="6"/>
    <n v="2"/>
    <n v="0"/>
    <n v="2"/>
  </r>
  <r>
    <n v="41"/>
    <s v="No"/>
    <s v="Travel_Rarely"/>
    <n v="509"/>
    <s v="Research &amp; Development"/>
    <n v="7"/>
    <n v="2"/>
    <s v="Technical Degree"/>
    <n v="2"/>
    <s v="Female"/>
    <n v="43"/>
    <n v="4"/>
    <n v="1"/>
    <s v="Research Scientist"/>
    <n v="3"/>
    <s v="Married"/>
    <n v="3376"/>
    <n v="18863"/>
    <n v="1"/>
    <s v="No"/>
    <n v="13"/>
    <n v="3"/>
    <n v="3"/>
    <n v="0"/>
    <n v="10"/>
    <n v="3"/>
    <n v="3"/>
    <n v="10"/>
    <n v="6"/>
    <n v="0"/>
    <n v="8"/>
  </r>
  <r>
    <n v="38"/>
    <s v="No"/>
    <s v="Travel_Rarely"/>
    <n v="330"/>
    <s v="Research &amp; Development"/>
    <n v="17"/>
    <n v="1"/>
    <s v="Life Sciences"/>
    <n v="3"/>
    <s v="Female"/>
    <n v="65"/>
    <n v="2"/>
    <n v="3"/>
    <s v="Healthcare Representative"/>
    <n v="3"/>
    <s v="Married"/>
    <n v="8823"/>
    <n v="24608"/>
    <n v="0"/>
    <s v="No"/>
    <n v="18"/>
    <n v="3"/>
    <n v="1"/>
    <n v="1"/>
    <n v="20"/>
    <n v="4"/>
    <n v="2"/>
    <n v="19"/>
    <n v="9"/>
    <n v="1"/>
    <n v="9"/>
  </r>
  <r>
    <n v="40"/>
    <s v="No"/>
    <s v="Travel_Rarely"/>
    <n v="1492"/>
    <s v="Research &amp; Development"/>
    <n v="20"/>
    <n v="4"/>
    <s v="Technical Degree"/>
    <n v="1"/>
    <s v="Male"/>
    <n v="61"/>
    <n v="3"/>
    <n v="3"/>
    <s v="Healthcare Representative"/>
    <n v="4"/>
    <s v="Married"/>
    <n v="10322"/>
    <n v="26542"/>
    <n v="4"/>
    <s v="No"/>
    <n v="20"/>
    <n v="4"/>
    <n v="4"/>
    <n v="1"/>
    <n v="14"/>
    <n v="6"/>
    <n v="3"/>
    <n v="11"/>
    <n v="10"/>
    <n v="11"/>
    <n v="1"/>
  </r>
  <r>
    <n v="27"/>
    <s v="No"/>
    <s v="Non-Travel"/>
    <n v="1277"/>
    <s v="Research &amp; Development"/>
    <n v="8"/>
    <n v="5"/>
    <s v="Life Sciences"/>
    <n v="1"/>
    <s v="Male"/>
    <n v="87"/>
    <n v="1"/>
    <n v="1"/>
    <s v="Laboratory Technician"/>
    <n v="3"/>
    <s v="Married"/>
    <n v="4621"/>
    <n v="5869"/>
    <n v="1"/>
    <s v="No"/>
    <n v="19"/>
    <n v="3"/>
    <n v="4"/>
    <n v="3"/>
    <n v="3"/>
    <n v="4"/>
    <n v="3"/>
    <n v="3"/>
    <n v="2"/>
    <n v="1"/>
    <n v="2"/>
  </r>
  <r>
    <n v="55"/>
    <s v="No"/>
    <s v="Travel_Frequently"/>
    <n v="1091"/>
    <s v="Research &amp; Development"/>
    <n v="2"/>
    <n v="1"/>
    <s v="Life Sciences"/>
    <n v="4"/>
    <s v="Male"/>
    <n v="65"/>
    <n v="3"/>
    <n v="3"/>
    <s v="Manufacturing Director"/>
    <n v="2"/>
    <s v="Married"/>
    <n v="10976"/>
    <n v="15813"/>
    <n v="3"/>
    <s v="No"/>
    <n v="18"/>
    <n v="3"/>
    <n v="2"/>
    <n v="1"/>
    <n v="23"/>
    <n v="4"/>
    <n v="3"/>
    <n v="3"/>
    <n v="2"/>
    <n v="1"/>
    <n v="2"/>
  </r>
  <r>
    <n v="28"/>
    <s v="No"/>
    <s v="Travel_Rarely"/>
    <n v="857"/>
    <s v="Research &amp; Development"/>
    <n v="10"/>
    <n v="3"/>
    <s v="Other"/>
    <n v="3"/>
    <s v="Female"/>
    <n v="59"/>
    <n v="3"/>
    <n v="2"/>
    <s v="Research Scientist"/>
    <n v="3"/>
    <s v="Single"/>
    <n v="3660"/>
    <n v="7909"/>
    <n v="3"/>
    <s v="No"/>
    <n v="13"/>
    <n v="3"/>
    <n v="4"/>
    <n v="0"/>
    <n v="10"/>
    <n v="4"/>
    <n v="4"/>
    <n v="8"/>
    <n v="7"/>
    <n v="1"/>
    <n v="7"/>
  </r>
  <r>
    <n v="44"/>
    <s v="Yes"/>
    <s v="Travel_Rarely"/>
    <n v="1376"/>
    <s v="Human Resources"/>
    <n v="1"/>
    <n v="2"/>
    <s v="Medical"/>
    <n v="2"/>
    <s v="Male"/>
    <n v="91"/>
    <n v="2"/>
    <n v="3"/>
    <s v="Human Resources"/>
    <n v="1"/>
    <s v="Married"/>
    <n v="10482"/>
    <n v="2326"/>
    <n v="9"/>
    <s v="No"/>
    <n v="14"/>
    <n v="3"/>
    <n v="4"/>
    <n v="1"/>
    <n v="24"/>
    <n v="1"/>
    <n v="3"/>
    <n v="20"/>
    <n v="6"/>
    <n v="3"/>
    <n v="6"/>
  </r>
  <r>
    <n v="33"/>
    <s v="No"/>
    <s v="Travel_Rarely"/>
    <n v="654"/>
    <s v="Research &amp; Development"/>
    <n v="5"/>
    <n v="3"/>
    <s v="Life Sciences"/>
    <n v="4"/>
    <s v="Male"/>
    <n v="34"/>
    <n v="2"/>
    <n v="3"/>
    <s v="Healthcare Representative"/>
    <n v="4"/>
    <s v="Divorced"/>
    <n v="7119"/>
    <n v="21214"/>
    <n v="4"/>
    <s v="No"/>
    <n v="15"/>
    <n v="3"/>
    <n v="3"/>
    <n v="1"/>
    <n v="9"/>
    <n v="2"/>
    <n v="3"/>
    <n v="3"/>
    <n v="2"/>
    <n v="1"/>
    <n v="2"/>
  </r>
  <r>
    <n v="35"/>
    <s v="Yes"/>
    <s v="Travel_Rarely"/>
    <n v="1204"/>
    <s v="Sales"/>
    <n v="4"/>
    <n v="3"/>
    <s v="Technical Degree"/>
    <n v="4"/>
    <s v="Male"/>
    <n v="86"/>
    <n v="3"/>
    <n v="3"/>
    <s v="Sales Executive"/>
    <n v="1"/>
    <s v="Single"/>
    <n v="9582"/>
    <n v="10333"/>
    <n v="0"/>
    <s v="Yes"/>
    <n v="22"/>
    <n v="4"/>
    <n v="1"/>
    <n v="0"/>
    <n v="9"/>
    <n v="2"/>
    <n v="3"/>
    <n v="8"/>
    <n v="7"/>
    <n v="4"/>
    <n v="7"/>
  </r>
  <r>
    <n v="33"/>
    <s v="Yes"/>
    <s v="Travel_Frequently"/>
    <n v="827"/>
    <s v="Research &amp; Development"/>
    <n v="29"/>
    <n v="4"/>
    <s v="Medical"/>
    <n v="1"/>
    <s v="Female"/>
    <n v="54"/>
    <n v="2"/>
    <n v="2"/>
    <s v="Research Scientist"/>
    <n v="3"/>
    <s v="Single"/>
    <n v="4508"/>
    <n v="3129"/>
    <n v="1"/>
    <s v="No"/>
    <n v="22"/>
    <n v="4"/>
    <n v="2"/>
    <n v="0"/>
    <n v="14"/>
    <n v="4"/>
    <n v="3"/>
    <n v="13"/>
    <n v="7"/>
    <n v="3"/>
    <n v="8"/>
  </r>
  <r>
    <n v="28"/>
    <s v="No"/>
    <s v="Travel_Rarely"/>
    <n v="895"/>
    <s v="Research &amp; Development"/>
    <n v="15"/>
    <n v="2"/>
    <s v="Life Sciences"/>
    <n v="1"/>
    <s v="Male"/>
    <n v="50"/>
    <n v="3"/>
    <n v="1"/>
    <s v="Laboratory Technician"/>
    <n v="3"/>
    <s v="Divorced"/>
    <n v="2207"/>
    <n v="22482"/>
    <n v="1"/>
    <s v="No"/>
    <n v="16"/>
    <n v="3"/>
    <n v="4"/>
    <n v="1"/>
    <n v="4"/>
    <n v="5"/>
    <n v="2"/>
    <n v="4"/>
    <n v="2"/>
    <n v="2"/>
    <n v="2"/>
  </r>
  <r>
    <n v="34"/>
    <s v="No"/>
    <s v="Travel_Frequently"/>
    <n v="618"/>
    <s v="Research &amp; Development"/>
    <n v="3"/>
    <n v="1"/>
    <s v="Life Sciences"/>
    <n v="1"/>
    <s v="Male"/>
    <n v="45"/>
    <n v="3"/>
    <n v="2"/>
    <s v="Healthcare Representative"/>
    <n v="4"/>
    <s v="Single"/>
    <n v="7756"/>
    <n v="22266"/>
    <n v="0"/>
    <s v="No"/>
    <n v="17"/>
    <n v="3"/>
    <n v="3"/>
    <n v="0"/>
    <n v="7"/>
    <n v="1"/>
    <n v="2"/>
    <n v="6"/>
    <n v="2"/>
    <n v="0"/>
    <n v="4"/>
  </r>
  <r>
    <n v="37"/>
    <s v="No"/>
    <s v="Travel_Rarely"/>
    <n v="309"/>
    <s v="Sales"/>
    <n v="10"/>
    <n v="4"/>
    <s v="Life Sciences"/>
    <n v="4"/>
    <s v="Female"/>
    <n v="88"/>
    <n v="2"/>
    <n v="2"/>
    <s v="Sales Executive"/>
    <n v="4"/>
    <s v="Divorced"/>
    <n v="6694"/>
    <n v="24223"/>
    <n v="2"/>
    <s v="Yes"/>
    <n v="14"/>
    <n v="3"/>
    <n v="3"/>
    <n v="3"/>
    <n v="8"/>
    <n v="5"/>
    <n v="3"/>
    <n v="1"/>
    <n v="0"/>
    <n v="0"/>
    <n v="0"/>
  </r>
  <r>
    <n v="25"/>
    <s v="Yes"/>
    <s v="Travel_Rarely"/>
    <n v="1219"/>
    <s v="Research &amp; Development"/>
    <n v="4"/>
    <n v="1"/>
    <s v="Technical Degree"/>
    <n v="4"/>
    <s v="Male"/>
    <n v="32"/>
    <n v="3"/>
    <n v="1"/>
    <s v="Laboratory Technician"/>
    <n v="4"/>
    <s v="Married"/>
    <n v="3691"/>
    <n v="4605"/>
    <n v="1"/>
    <s v="Yes"/>
    <n v="15"/>
    <n v="3"/>
    <n v="2"/>
    <n v="1"/>
    <n v="7"/>
    <n v="3"/>
    <n v="4"/>
    <n v="7"/>
    <n v="7"/>
    <n v="5"/>
    <n v="6"/>
  </r>
  <r>
    <n v="26"/>
    <s v="Yes"/>
    <s v="Travel_Rarely"/>
    <n v="1330"/>
    <s v="Research &amp; Development"/>
    <n v="21"/>
    <n v="3"/>
    <s v="Medical"/>
    <n v="1"/>
    <s v="Male"/>
    <n v="37"/>
    <n v="3"/>
    <n v="1"/>
    <s v="Laboratory Technician"/>
    <n v="3"/>
    <s v="Divorced"/>
    <n v="2377"/>
    <n v="19373"/>
    <n v="1"/>
    <s v="No"/>
    <n v="20"/>
    <n v="4"/>
    <n v="3"/>
    <n v="1"/>
    <n v="1"/>
    <n v="0"/>
    <n v="2"/>
    <n v="1"/>
    <n v="1"/>
    <n v="0"/>
    <n v="0"/>
  </r>
  <r>
    <n v="33"/>
    <s v="Yes"/>
    <s v="Travel_Rarely"/>
    <n v="1017"/>
    <s v="Research &amp; Development"/>
    <n v="25"/>
    <n v="3"/>
    <s v="Medical"/>
    <n v="1"/>
    <s v="Male"/>
    <n v="55"/>
    <n v="2"/>
    <n v="1"/>
    <s v="Research Scientist"/>
    <n v="2"/>
    <s v="Single"/>
    <n v="2313"/>
    <n v="2993"/>
    <n v="4"/>
    <s v="Yes"/>
    <n v="20"/>
    <n v="4"/>
    <n v="2"/>
    <n v="0"/>
    <n v="5"/>
    <n v="0"/>
    <n v="3"/>
    <n v="2"/>
    <n v="2"/>
    <n v="2"/>
    <n v="2"/>
  </r>
  <r>
    <n v="42"/>
    <s v="No"/>
    <s v="Travel_Rarely"/>
    <n v="469"/>
    <s v="Research &amp; Development"/>
    <n v="2"/>
    <n v="2"/>
    <s v="Medical"/>
    <n v="4"/>
    <s v="Male"/>
    <n v="35"/>
    <n v="3"/>
    <n v="4"/>
    <s v="Manager"/>
    <n v="1"/>
    <s v="Married"/>
    <n v="17665"/>
    <n v="14399"/>
    <n v="0"/>
    <s v="No"/>
    <n v="17"/>
    <n v="3"/>
    <n v="4"/>
    <n v="1"/>
    <n v="23"/>
    <n v="3"/>
    <n v="3"/>
    <n v="22"/>
    <n v="6"/>
    <n v="13"/>
    <n v="7"/>
  </r>
  <r>
    <n v="28"/>
    <s v="Yes"/>
    <s v="Travel_Frequently"/>
    <n v="1009"/>
    <s v="Research &amp; Development"/>
    <n v="1"/>
    <n v="3"/>
    <s v="Medical"/>
    <n v="1"/>
    <s v="Male"/>
    <n v="45"/>
    <n v="2"/>
    <n v="1"/>
    <s v="Laboratory Technician"/>
    <n v="2"/>
    <s v="Divorced"/>
    <n v="2596"/>
    <n v="7160"/>
    <n v="1"/>
    <s v="No"/>
    <n v="15"/>
    <n v="3"/>
    <n v="1"/>
    <n v="2"/>
    <n v="1"/>
    <n v="2"/>
    <n v="3"/>
    <n v="1"/>
    <n v="0"/>
    <n v="0"/>
    <n v="0"/>
  </r>
  <r>
    <n v="50"/>
    <s v="Yes"/>
    <s v="Travel_Frequently"/>
    <n v="959"/>
    <s v="Sales"/>
    <n v="1"/>
    <n v="4"/>
    <s v="Other"/>
    <n v="4"/>
    <s v="Male"/>
    <n v="81"/>
    <n v="3"/>
    <n v="2"/>
    <s v="Sales Executive"/>
    <n v="3"/>
    <s v="Single"/>
    <n v="4728"/>
    <n v="17251"/>
    <n v="3"/>
    <s v="Yes"/>
    <n v="14"/>
    <n v="3"/>
    <n v="4"/>
    <n v="0"/>
    <n v="5"/>
    <n v="4"/>
    <n v="3"/>
    <n v="0"/>
    <n v="0"/>
    <n v="0"/>
    <n v="0"/>
  </r>
  <r>
    <n v="33"/>
    <s v="No"/>
    <s v="Travel_Frequently"/>
    <n v="970"/>
    <s v="Sales"/>
    <n v="7"/>
    <n v="3"/>
    <s v="Life Sciences"/>
    <n v="4"/>
    <s v="Female"/>
    <n v="30"/>
    <n v="3"/>
    <n v="2"/>
    <s v="Sales Executive"/>
    <n v="2"/>
    <s v="Married"/>
    <n v="4302"/>
    <n v="13401"/>
    <n v="0"/>
    <s v="No"/>
    <n v="17"/>
    <n v="3"/>
    <n v="3"/>
    <n v="1"/>
    <n v="4"/>
    <n v="3"/>
    <n v="3"/>
    <n v="3"/>
    <n v="2"/>
    <n v="0"/>
    <n v="2"/>
  </r>
  <r>
    <n v="34"/>
    <s v="No"/>
    <s v="Non-Travel"/>
    <n v="697"/>
    <s v="Research &amp; Development"/>
    <n v="3"/>
    <n v="4"/>
    <s v="Life Sciences"/>
    <n v="3"/>
    <s v="Male"/>
    <n v="40"/>
    <n v="2"/>
    <n v="1"/>
    <s v="Research Scientist"/>
    <n v="4"/>
    <s v="Married"/>
    <n v="2979"/>
    <n v="22478"/>
    <n v="3"/>
    <s v="No"/>
    <n v="17"/>
    <n v="3"/>
    <n v="4"/>
    <n v="3"/>
    <n v="6"/>
    <n v="2"/>
    <n v="3"/>
    <n v="0"/>
    <n v="0"/>
    <n v="0"/>
    <n v="0"/>
  </r>
  <r>
    <n v="48"/>
    <s v="No"/>
    <s v="Non-Travel"/>
    <n v="1262"/>
    <s v="Research &amp; Development"/>
    <n v="1"/>
    <n v="4"/>
    <s v="Medical"/>
    <n v="1"/>
    <s v="Male"/>
    <n v="35"/>
    <n v="4"/>
    <n v="4"/>
    <s v="Manager"/>
    <n v="4"/>
    <s v="Single"/>
    <n v="16885"/>
    <n v="16154"/>
    <n v="2"/>
    <s v="No"/>
    <n v="22"/>
    <n v="4"/>
    <n v="3"/>
    <n v="0"/>
    <n v="27"/>
    <n v="3"/>
    <n v="2"/>
    <n v="5"/>
    <n v="4"/>
    <n v="2"/>
    <n v="1"/>
  </r>
  <r>
    <n v="45"/>
    <s v="No"/>
    <s v="Non-Travel"/>
    <n v="1050"/>
    <s v="Sales"/>
    <n v="9"/>
    <n v="4"/>
    <s v="Life Sciences"/>
    <n v="2"/>
    <s v="Female"/>
    <n v="65"/>
    <n v="2"/>
    <n v="2"/>
    <s v="Sales Executive"/>
    <n v="3"/>
    <s v="Married"/>
    <n v="5593"/>
    <n v="17970"/>
    <n v="1"/>
    <s v="No"/>
    <n v="13"/>
    <n v="3"/>
    <n v="4"/>
    <n v="1"/>
    <n v="15"/>
    <n v="2"/>
    <n v="3"/>
    <n v="15"/>
    <n v="10"/>
    <n v="4"/>
    <n v="12"/>
  </r>
  <r>
    <n v="52"/>
    <s v="No"/>
    <s v="Travel_Rarely"/>
    <n v="994"/>
    <s v="Research &amp; Development"/>
    <n v="7"/>
    <n v="4"/>
    <s v="Life Sciences"/>
    <n v="2"/>
    <s v="Male"/>
    <n v="87"/>
    <n v="3"/>
    <n v="3"/>
    <s v="Healthcare Representative"/>
    <n v="2"/>
    <s v="Single"/>
    <n v="10445"/>
    <n v="15322"/>
    <n v="7"/>
    <s v="No"/>
    <n v="19"/>
    <n v="3"/>
    <n v="4"/>
    <n v="0"/>
    <n v="18"/>
    <n v="4"/>
    <n v="3"/>
    <n v="8"/>
    <n v="6"/>
    <n v="4"/>
    <n v="0"/>
  </r>
  <r>
    <n v="38"/>
    <s v="No"/>
    <s v="Travel_Rarely"/>
    <n v="770"/>
    <s v="Sales"/>
    <n v="10"/>
    <n v="4"/>
    <s v="Marketing"/>
    <n v="3"/>
    <s v="Male"/>
    <n v="73"/>
    <n v="2"/>
    <n v="3"/>
    <s v="Sales Executive"/>
    <n v="3"/>
    <s v="Divorced"/>
    <n v="8740"/>
    <n v="5569"/>
    <n v="0"/>
    <s v="Yes"/>
    <n v="14"/>
    <n v="3"/>
    <n v="2"/>
    <n v="2"/>
    <n v="9"/>
    <n v="2"/>
    <n v="3"/>
    <n v="8"/>
    <n v="7"/>
    <n v="2"/>
    <n v="7"/>
  </r>
  <r>
    <n v="29"/>
    <s v="No"/>
    <s v="Travel_Rarely"/>
    <n v="1107"/>
    <s v="Research &amp; Development"/>
    <n v="28"/>
    <n v="4"/>
    <s v="Life Sciences"/>
    <n v="3"/>
    <s v="Female"/>
    <n v="93"/>
    <n v="3"/>
    <n v="1"/>
    <s v="Research Scientist"/>
    <n v="4"/>
    <s v="Divorced"/>
    <n v="2514"/>
    <n v="26968"/>
    <n v="4"/>
    <s v="No"/>
    <n v="22"/>
    <n v="4"/>
    <n v="1"/>
    <n v="1"/>
    <n v="11"/>
    <n v="1"/>
    <n v="3"/>
    <n v="7"/>
    <n v="5"/>
    <n v="1"/>
    <n v="7"/>
  </r>
  <r>
    <n v="28"/>
    <s v="No"/>
    <s v="Travel_Rarely"/>
    <n v="950"/>
    <s v="Research &amp; Development"/>
    <n v="3"/>
    <n v="3"/>
    <s v="Medical"/>
    <n v="4"/>
    <s v="Female"/>
    <n v="93"/>
    <n v="3"/>
    <n v="3"/>
    <s v="Manufacturing Director"/>
    <n v="2"/>
    <s v="Divorced"/>
    <n v="7655"/>
    <n v="8039"/>
    <n v="0"/>
    <s v="No"/>
    <n v="17"/>
    <n v="3"/>
    <n v="2"/>
    <n v="3"/>
    <n v="10"/>
    <n v="3"/>
    <n v="2"/>
    <n v="9"/>
    <n v="7"/>
    <n v="1"/>
    <n v="7"/>
  </r>
  <r>
    <n v="46"/>
    <s v="No"/>
    <s v="Travel_Rarely"/>
    <n v="406"/>
    <s v="Sales"/>
    <n v="3"/>
    <n v="1"/>
    <s v="Marketing"/>
    <n v="1"/>
    <s v="Male"/>
    <n v="52"/>
    <n v="3"/>
    <n v="4"/>
    <s v="Manager"/>
    <n v="3"/>
    <s v="Married"/>
    <n v="17465"/>
    <n v="15596"/>
    <n v="3"/>
    <s v="No"/>
    <n v="12"/>
    <n v="3"/>
    <n v="4"/>
    <n v="1"/>
    <n v="23"/>
    <n v="3"/>
    <n v="3"/>
    <n v="12"/>
    <n v="9"/>
    <n v="4"/>
    <n v="9"/>
  </r>
  <r>
    <n v="38"/>
    <s v="No"/>
    <s v="Travel_Rarely"/>
    <n v="130"/>
    <s v="Sales"/>
    <n v="2"/>
    <n v="2"/>
    <s v="Marketing"/>
    <n v="4"/>
    <s v="Male"/>
    <n v="32"/>
    <n v="3"/>
    <n v="3"/>
    <s v="Sales Executive"/>
    <n v="2"/>
    <s v="Single"/>
    <n v="7351"/>
    <n v="20619"/>
    <n v="7"/>
    <s v="No"/>
    <n v="16"/>
    <n v="3"/>
    <n v="3"/>
    <n v="0"/>
    <n v="10"/>
    <n v="2"/>
    <n v="3"/>
    <n v="1"/>
    <n v="0"/>
    <n v="0"/>
    <n v="0"/>
  </r>
  <r>
    <n v="43"/>
    <s v="No"/>
    <s v="Travel_Frequently"/>
    <n v="1082"/>
    <s v="Research &amp; Development"/>
    <n v="27"/>
    <n v="3"/>
    <s v="Life Sciences"/>
    <n v="3"/>
    <s v="Female"/>
    <n v="83"/>
    <n v="3"/>
    <n v="3"/>
    <s v="Manufacturing Director"/>
    <n v="1"/>
    <s v="Married"/>
    <n v="10820"/>
    <n v="11535"/>
    <n v="8"/>
    <s v="No"/>
    <n v="11"/>
    <n v="3"/>
    <n v="3"/>
    <n v="1"/>
    <n v="18"/>
    <n v="1"/>
    <n v="3"/>
    <n v="8"/>
    <n v="7"/>
    <n v="0"/>
    <n v="1"/>
  </r>
  <r>
    <n v="39"/>
    <s v="Yes"/>
    <s v="Travel_Frequently"/>
    <n v="203"/>
    <s v="Research &amp; Development"/>
    <n v="2"/>
    <n v="3"/>
    <s v="Life Sciences"/>
    <n v="1"/>
    <s v="Male"/>
    <n v="84"/>
    <n v="3"/>
    <n v="4"/>
    <s v="Healthcare Representative"/>
    <n v="4"/>
    <s v="Divorced"/>
    <n v="12169"/>
    <n v="13547"/>
    <n v="7"/>
    <s v="No"/>
    <n v="11"/>
    <n v="3"/>
    <n v="4"/>
    <n v="3"/>
    <n v="21"/>
    <n v="4"/>
    <n v="3"/>
    <n v="18"/>
    <n v="7"/>
    <n v="11"/>
    <n v="5"/>
  </r>
  <r>
    <n v="40"/>
    <s v="No"/>
    <s v="Travel_Rarely"/>
    <n v="1308"/>
    <s v="Research &amp; Development"/>
    <n v="14"/>
    <n v="3"/>
    <s v="Medical"/>
    <n v="3"/>
    <s v="Male"/>
    <n v="44"/>
    <n v="2"/>
    <n v="5"/>
    <s v="Research Director"/>
    <n v="3"/>
    <s v="Single"/>
    <n v="19626"/>
    <n v="17544"/>
    <n v="1"/>
    <s v="No"/>
    <n v="14"/>
    <n v="3"/>
    <n v="1"/>
    <n v="0"/>
    <n v="21"/>
    <n v="2"/>
    <n v="4"/>
    <n v="20"/>
    <n v="7"/>
    <n v="4"/>
    <n v="9"/>
  </r>
  <r>
    <n v="21"/>
    <s v="No"/>
    <s v="Travel_Rarely"/>
    <n v="984"/>
    <s v="Research &amp; Development"/>
    <n v="1"/>
    <n v="1"/>
    <s v="Technical Degree"/>
    <n v="4"/>
    <s v="Female"/>
    <n v="70"/>
    <n v="2"/>
    <n v="1"/>
    <s v="Research Scientist"/>
    <n v="2"/>
    <s v="Single"/>
    <n v="2070"/>
    <n v="25326"/>
    <n v="1"/>
    <s v="Yes"/>
    <n v="11"/>
    <n v="3"/>
    <n v="3"/>
    <n v="0"/>
    <n v="2"/>
    <n v="6"/>
    <n v="4"/>
    <n v="2"/>
    <n v="2"/>
    <n v="2"/>
    <n v="2"/>
  </r>
  <r>
    <n v="39"/>
    <s v="No"/>
    <s v="Non-Travel"/>
    <n v="439"/>
    <s v="Research &amp; Development"/>
    <n v="9"/>
    <n v="3"/>
    <s v="Life Sciences"/>
    <n v="3"/>
    <s v="Male"/>
    <n v="70"/>
    <n v="3"/>
    <n v="2"/>
    <s v="Laboratory Technician"/>
    <n v="2"/>
    <s v="Single"/>
    <n v="6782"/>
    <n v="8770"/>
    <n v="9"/>
    <s v="No"/>
    <n v="15"/>
    <n v="3"/>
    <n v="3"/>
    <n v="0"/>
    <n v="9"/>
    <n v="2"/>
    <n v="2"/>
    <n v="5"/>
    <n v="4"/>
    <n v="0"/>
    <n v="3"/>
  </r>
  <r>
    <n v="36"/>
    <s v="No"/>
    <s v="Non-Travel"/>
    <n v="217"/>
    <s v="Research &amp; Development"/>
    <n v="18"/>
    <n v="4"/>
    <s v="Life Sciences"/>
    <n v="1"/>
    <s v="Male"/>
    <n v="78"/>
    <n v="3"/>
    <n v="2"/>
    <s v="Manufacturing Director"/>
    <n v="4"/>
    <s v="Single"/>
    <n v="7779"/>
    <n v="23238"/>
    <n v="2"/>
    <s v="No"/>
    <n v="20"/>
    <n v="4"/>
    <n v="1"/>
    <n v="0"/>
    <n v="18"/>
    <n v="0"/>
    <n v="3"/>
    <n v="11"/>
    <n v="9"/>
    <n v="0"/>
    <n v="9"/>
  </r>
  <r>
    <n v="31"/>
    <s v="No"/>
    <s v="Travel_Frequently"/>
    <n v="793"/>
    <s v="Sales"/>
    <n v="20"/>
    <n v="3"/>
    <s v="Life Sciences"/>
    <n v="3"/>
    <s v="Male"/>
    <n v="67"/>
    <n v="4"/>
    <n v="1"/>
    <s v="Sales Representative"/>
    <n v="4"/>
    <s v="Married"/>
    <n v="2791"/>
    <n v="21981"/>
    <n v="0"/>
    <s v="No"/>
    <n v="12"/>
    <n v="3"/>
    <n v="1"/>
    <n v="1"/>
    <n v="3"/>
    <n v="4"/>
    <n v="3"/>
    <n v="2"/>
    <n v="2"/>
    <n v="2"/>
    <n v="2"/>
  </r>
  <r>
    <n v="28"/>
    <s v="No"/>
    <s v="Travel_Rarely"/>
    <n v="1451"/>
    <s v="Research &amp; Development"/>
    <n v="2"/>
    <n v="1"/>
    <s v="Life Sciences"/>
    <n v="1"/>
    <s v="Male"/>
    <n v="67"/>
    <n v="2"/>
    <n v="1"/>
    <s v="Research Scientist"/>
    <n v="2"/>
    <s v="Married"/>
    <n v="3201"/>
    <n v="19911"/>
    <n v="0"/>
    <s v="No"/>
    <n v="17"/>
    <n v="3"/>
    <n v="1"/>
    <n v="0"/>
    <n v="6"/>
    <n v="2"/>
    <n v="1"/>
    <n v="5"/>
    <n v="3"/>
    <n v="0"/>
    <n v="4"/>
  </r>
  <r>
    <n v="35"/>
    <s v="No"/>
    <s v="Travel_Frequently"/>
    <n v="1182"/>
    <s v="Sales"/>
    <n v="11"/>
    <n v="2"/>
    <s v="Marketing"/>
    <n v="4"/>
    <s v="Male"/>
    <n v="54"/>
    <n v="3"/>
    <n v="2"/>
    <s v="Sales Executive"/>
    <n v="4"/>
    <s v="Divorced"/>
    <n v="4968"/>
    <n v="18500"/>
    <n v="1"/>
    <s v="No"/>
    <n v="11"/>
    <n v="3"/>
    <n v="4"/>
    <n v="1"/>
    <n v="5"/>
    <n v="3"/>
    <n v="3"/>
    <n v="5"/>
    <n v="2"/>
    <n v="0"/>
    <n v="2"/>
  </r>
  <r>
    <n v="49"/>
    <s v="No"/>
    <s v="Travel_Rarely"/>
    <n v="174"/>
    <s v="Sales"/>
    <n v="8"/>
    <n v="4"/>
    <s v="Technical Degree"/>
    <n v="4"/>
    <s v="Male"/>
    <n v="56"/>
    <n v="2"/>
    <n v="4"/>
    <s v="Sales Executive"/>
    <n v="2"/>
    <s v="Married"/>
    <n v="13120"/>
    <n v="11879"/>
    <n v="6"/>
    <s v="No"/>
    <n v="17"/>
    <n v="3"/>
    <n v="2"/>
    <n v="1"/>
    <n v="22"/>
    <n v="3"/>
    <n v="3"/>
    <n v="9"/>
    <n v="8"/>
    <n v="2"/>
    <n v="3"/>
  </r>
  <r>
    <n v="34"/>
    <s v="No"/>
    <s v="Travel_Frequently"/>
    <n v="1003"/>
    <s v="Research &amp; Development"/>
    <n v="2"/>
    <n v="2"/>
    <s v="Life Sciences"/>
    <n v="4"/>
    <s v="Male"/>
    <n v="95"/>
    <n v="3"/>
    <n v="2"/>
    <s v="Manufacturing Director"/>
    <n v="3"/>
    <s v="Single"/>
    <n v="4033"/>
    <n v="15834"/>
    <n v="2"/>
    <s v="No"/>
    <n v="11"/>
    <n v="3"/>
    <n v="4"/>
    <n v="0"/>
    <n v="5"/>
    <n v="3"/>
    <n v="2"/>
    <n v="3"/>
    <n v="2"/>
    <n v="0"/>
    <n v="2"/>
  </r>
  <r>
    <n v="29"/>
    <s v="No"/>
    <s v="Travel_Frequently"/>
    <n v="490"/>
    <s v="Research &amp; Development"/>
    <n v="10"/>
    <n v="3"/>
    <s v="Life Sciences"/>
    <n v="4"/>
    <s v="Female"/>
    <n v="61"/>
    <n v="3"/>
    <n v="1"/>
    <s v="Research Scientist"/>
    <n v="2"/>
    <s v="Divorced"/>
    <n v="3291"/>
    <n v="17940"/>
    <n v="0"/>
    <s v="No"/>
    <n v="14"/>
    <n v="3"/>
    <n v="4"/>
    <n v="2"/>
    <n v="8"/>
    <n v="2"/>
    <n v="2"/>
    <n v="7"/>
    <n v="5"/>
    <n v="1"/>
    <n v="1"/>
  </r>
  <r>
    <n v="42"/>
    <s v="No"/>
    <s v="Travel_Rarely"/>
    <n v="188"/>
    <s v="Research &amp; Development"/>
    <n v="29"/>
    <n v="3"/>
    <s v="Medical"/>
    <n v="2"/>
    <s v="Male"/>
    <n v="56"/>
    <n v="1"/>
    <n v="2"/>
    <s v="Laboratory Technician"/>
    <n v="4"/>
    <s v="Single"/>
    <n v="4272"/>
    <n v="9558"/>
    <n v="4"/>
    <s v="No"/>
    <n v="19"/>
    <n v="3"/>
    <n v="1"/>
    <n v="0"/>
    <n v="16"/>
    <n v="3"/>
    <n v="3"/>
    <n v="1"/>
    <n v="0"/>
    <n v="0"/>
    <n v="0"/>
  </r>
  <r>
    <n v="29"/>
    <s v="No"/>
    <s v="Travel_Rarely"/>
    <n v="718"/>
    <s v="Research &amp; Development"/>
    <n v="8"/>
    <n v="1"/>
    <s v="Medical"/>
    <n v="2"/>
    <s v="Male"/>
    <n v="79"/>
    <n v="2"/>
    <n v="2"/>
    <s v="Manufacturing Director"/>
    <n v="4"/>
    <s v="Married"/>
    <n v="5056"/>
    <n v="17689"/>
    <n v="1"/>
    <s v="Yes"/>
    <n v="15"/>
    <n v="3"/>
    <n v="3"/>
    <n v="1"/>
    <n v="10"/>
    <n v="2"/>
    <n v="2"/>
    <n v="10"/>
    <n v="7"/>
    <n v="1"/>
    <n v="2"/>
  </r>
  <r>
    <n v="38"/>
    <s v="No"/>
    <s v="Travel_Rarely"/>
    <n v="433"/>
    <s v="Human Resources"/>
    <n v="1"/>
    <n v="3"/>
    <s v="Human Resources"/>
    <n v="3"/>
    <s v="Male"/>
    <n v="37"/>
    <n v="4"/>
    <n v="1"/>
    <s v="Human Resources"/>
    <n v="3"/>
    <s v="Married"/>
    <n v="2844"/>
    <n v="6004"/>
    <n v="1"/>
    <s v="No"/>
    <n v="13"/>
    <n v="3"/>
    <n v="4"/>
    <n v="1"/>
    <n v="7"/>
    <n v="2"/>
    <n v="4"/>
    <n v="7"/>
    <n v="6"/>
    <n v="5"/>
    <n v="0"/>
  </r>
  <r>
    <n v="28"/>
    <s v="No"/>
    <s v="Travel_Frequently"/>
    <n v="773"/>
    <s v="Research &amp; Development"/>
    <n v="6"/>
    <n v="3"/>
    <s v="Life Sciences"/>
    <n v="3"/>
    <s v="Male"/>
    <n v="39"/>
    <n v="2"/>
    <n v="1"/>
    <s v="Research Scientist"/>
    <n v="3"/>
    <s v="Divorced"/>
    <n v="2703"/>
    <n v="22088"/>
    <n v="1"/>
    <s v="Yes"/>
    <n v="14"/>
    <n v="3"/>
    <n v="4"/>
    <n v="1"/>
    <n v="3"/>
    <n v="2"/>
    <n v="3"/>
    <n v="3"/>
    <n v="1"/>
    <n v="0"/>
    <n v="2"/>
  </r>
  <r>
    <n v="18"/>
    <s v="Yes"/>
    <s v="Non-Travel"/>
    <n v="247"/>
    <s v="Research &amp; Development"/>
    <n v="8"/>
    <n v="1"/>
    <s v="Medical"/>
    <n v="3"/>
    <s v="Male"/>
    <n v="80"/>
    <n v="3"/>
    <n v="1"/>
    <s v="Laboratory Technician"/>
    <n v="3"/>
    <s v="Single"/>
    <n v="1904"/>
    <n v="13556"/>
    <n v="1"/>
    <s v="No"/>
    <n v="12"/>
    <n v="3"/>
    <n v="4"/>
    <n v="0"/>
    <n v="0"/>
    <n v="0"/>
    <n v="3"/>
    <n v="0"/>
    <n v="0"/>
    <n v="0"/>
    <n v="0"/>
  </r>
  <r>
    <n v="33"/>
    <s v="Yes"/>
    <s v="Travel_Rarely"/>
    <n v="603"/>
    <s v="Sales"/>
    <n v="9"/>
    <n v="4"/>
    <s v="Marketing"/>
    <n v="1"/>
    <s v="Female"/>
    <n v="77"/>
    <n v="3"/>
    <n v="2"/>
    <s v="Sales Executive"/>
    <n v="1"/>
    <s v="Single"/>
    <n v="8224"/>
    <n v="18385"/>
    <n v="0"/>
    <s v="Yes"/>
    <n v="17"/>
    <n v="3"/>
    <n v="1"/>
    <n v="0"/>
    <n v="6"/>
    <n v="3"/>
    <n v="3"/>
    <n v="5"/>
    <n v="2"/>
    <n v="0"/>
    <n v="3"/>
  </r>
  <r>
    <n v="41"/>
    <s v="No"/>
    <s v="Travel_Rarely"/>
    <n v="167"/>
    <s v="Research &amp; Development"/>
    <n v="12"/>
    <n v="4"/>
    <s v="Life Sciences"/>
    <n v="2"/>
    <s v="Male"/>
    <n v="46"/>
    <n v="3"/>
    <n v="1"/>
    <s v="Laboratory Technician"/>
    <n v="4"/>
    <s v="Married"/>
    <n v="4766"/>
    <n v="9051"/>
    <n v="3"/>
    <s v="Yes"/>
    <n v="11"/>
    <n v="3"/>
    <n v="1"/>
    <n v="1"/>
    <n v="6"/>
    <n v="4"/>
    <n v="3"/>
    <n v="1"/>
    <n v="0"/>
    <n v="0"/>
    <n v="0"/>
  </r>
  <r>
    <n v="31"/>
    <s v="Yes"/>
    <s v="Travel_Frequently"/>
    <n v="874"/>
    <s v="Research &amp; Development"/>
    <n v="15"/>
    <n v="3"/>
    <s v="Medical"/>
    <n v="3"/>
    <s v="Male"/>
    <n v="72"/>
    <n v="3"/>
    <n v="1"/>
    <s v="Laboratory Technician"/>
    <n v="3"/>
    <s v="Married"/>
    <n v="2610"/>
    <n v="6233"/>
    <n v="1"/>
    <s v="No"/>
    <n v="12"/>
    <n v="3"/>
    <n v="3"/>
    <n v="1"/>
    <n v="2"/>
    <n v="5"/>
    <n v="2"/>
    <n v="2"/>
    <n v="2"/>
    <n v="2"/>
    <n v="2"/>
  </r>
  <r>
    <n v="37"/>
    <s v="No"/>
    <s v="Travel_Rarely"/>
    <n v="367"/>
    <s v="Research &amp; Development"/>
    <n v="25"/>
    <n v="2"/>
    <s v="Medical"/>
    <n v="3"/>
    <s v="Female"/>
    <n v="52"/>
    <n v="2"/>
    <n v="2"/>
    <s v="Healthcare Representative"/>
    <n v="4"/>
    <s v="Divorced"/>
    <n v="5731"/>
    <n v="17171"/>
    <n v="7"/>
    <s v="No"/>
    <n v="13"/>
    <n v="3"/>
    <n v="3"/>
    <n v="2"/>
    <n v="9"/>
    <n v="2"/>
    <n v="3"/>
    <n v="6"/>
    <n v="2"/>
    <n v="1"/>
    <n v="3"/>
  </r>
  <r>
    <n v="27"/>
    <s v="No"/>
    <s v="Travel_Rarely"/>
    <n v="199"/>
    <s v="Research &amp; Development"/>
    <n v="6"/>
    <n v="3"/>
    <s v="Life Sciences"/>
    <n v="4"/>
    <s v="Male"/>
    <n v="55"/>
    <n v="2"/>
    <n v="1"/>
    <s v="Research Scientist"/>
    <n v="3"/>
    <s v="Married"/>
    <n v="2539"/>
    <n v="7950"/>
    <n v="1"/>
    <s v="No"/>
    <n v="13"/>
    <n v="3"/>
    <n v="3"/>
    <n v="1"/>
    <n v="4"/>
    <n v="0"/>
    <n v="3"/>
    <n v="4"/>
    <n v="2"/>
    <n v="2"/>
    <n v="2"/>
  </r>
  <r>
    <n v="34"/>
    <s v="No"/>
    <s v="Travel_Rarely"/>
    <n v="1400"/>
    <s v="Sales"/>
    <n v="9"/>
    <n v="1"/>
    <s v="Life Sciences"/>
    <n v="2"/>
    <s v="Female"/>
    <n v="70"/>
    <n v="3"/>
    <n v="2"/>
    <s v="Sales Executive"/>
    <n v="3"/>
    <s v="Married"/>
    <n v="5714"/>
    <n v="5829"/>
    <n v="1"/>
    <s v="No"/>
    <n v="20"/>
    <n v="4"/>
    <n v="1"/>
    <n v="0"/>
    <n v="6"/>
    <n v="3"/>
    <n v="2"/>
    <n v="6"/>
    <n v="5"/>
    <n v="1"/>
    <n v="3"/>
  </r>
  <r>
    <n v="35"/>
    <s v="No"/>
    <s v="Travel_Rarely"/>
    <n v="528"/>
    <s v="Human Resources"/>
    <n v="8"/>
    <n v="4"/>
    <s v="Technical Degree"/>
    <n v="3"/>
    <s v="Male"/>
    <n v="100"/>
    <n v="3"/>
    <n v="1"/>
    <s v="Human Resources"/>
    <n v="3"/>
    <s v="Single"/>
    <n v="4323"/>
    <n v="7108"/>
    <n v="1"/>
    <s v="No"/>
    <n v="17"/>
    <n v="3"/>
    <n v="2"/>
    <n v="0"/>
    <n v="6"/>
    <n v="2"/>
    <n v="1"/>
    <n v="5"/>
    <n v="4"/>
    <n v="1"/>
    <n v="4"/>
  </r>
  <r>
    <n v="29"/>
    <s v="Yes"/>
    <s v="Travel_Rarely"/>
    <n v="408"/>
    <s v="Sales"/>
    <n v="23"/>
    <n v="1"/>
    <s v="Life Sciences"/>
    <n v="4"/>
    <s v="Female"/>
    <n v="45"/>
    <n v="2"/>
    <n v="3"/>
    <s v="Sales Executive"/>
    <n v="1"/>
    <s v="Married"/>
    <n v="7336"/>
    <n v="11162"/>
    <n v="1"/>
    <s v="No"/>
    <n v="13"/>
    <n v="3"/>
    <n v="1"/>
    <n v="1"/>
    <n v="11"/>
    <n v="3"/>
    <n v="1"/>
    <n v="11"/>
    <n v="8"/>
    <n v="3"/>
    <n v="10"/>
  </r>
  <r>
    <n v="40"/>
    <s v="No"/>
    <s v="Travel_Frequently"/>
    <n v="593"/>
    <s v="Research &amp; Development"/>
    <n v="9"/>
    <n v="4"/>
    <s v="Medical"/>
    <n v="2"/>
    <s v="Female"/>
    <n v="88"/>
    <n v="3"/>
    <n v="3"/>
    <s v="Research Director"/>
    <n v="3"/>
    <s v="Single"/>
    <n v="13499"/>
    <n v="13782"/>
    <n v="9"/>
    <s v="No"/>
    <n v="17"/>
    <n v="3"/>
    <n v="3"/>
    <n v="0"/>
    <n v="20"/>
    <n v="3"/>
    <n v="2"/>
    <n v="18"/>
    <n v="7"/>
    <n v="2"/>
    <n v="13"/>
  </r>
  <r>
    <n v="42"/>
    <s v="Yes"/>
    <s v="Travel_Frequently"/>
    <n v="481"/>
    <s v="Sales"/>
    <n v="12"/>
    <n v="3"/>
    <s v="Life Sciences"/>
    <n v="3"/>
    <s v="Male"/>
    <n v="44"/>
    <n v="3"/>
    <n v="4"/>
    <s v="Sales Executive"/>
    <n v="1"/>
    <s v="Single"/>
    <n v="13758"/>
    <n v="2447"/>
    <n v="0"/>
    <s v="Yes"/>
    <n v="12"/>
    <n v="3"/>
    <n v="2"/>
    <n v="0"/>
    <n v="22"/>
    <n v="2"/>
    <n v="2"/>
    <n v="21"/>
    <n v="9"/>
    <n v="13"/>
    <n v="14"/>
  </r>
  <r>
    <n v="42"/>
    <s v="No"/>
    <s v="Travel_Rarely"/>
    <n v="647"/>
    <s v="Sales"/>
    <n v="4"/>
    <n v="4"/>
    <s v="Marketing"/>
    <n v="2"/>
    <s v="Male"/>
    <n v="45"/>
    <n v="3"/>
    <n v="2"/>
    <s v="Sales Executive"/>
    <n v="1"/>
    <s v="Single"/>
    <n v="5155"/>
    <n v="2253"/>
    <n v="7"/>
    <s v="No"/>
    <n v="13"/>
    <n v="3"/>
    <n v="4"/>
    <n v="0"/>
    <n v="9"/>
    <n v="3"/>
    <n v="4"/>
    <n v="6"/>
    <n v="4"/>
    <n v="1"/>
    <n v="5"/>
  </r>
  <r>
    <n v="35"/>
    <s v="No"/>
    <s v="Travel_Rarely"/>
    <n v="982"/>
    <s v="Research &amp; Development"/>
    <n v="1"/>
    <n v="4"/>
    <s v="Medical"/>
    <n v="4"/>
    <s v="Male"/>
    <n v="58"/>
    <n v="2"/>
    <n v="1"/>
    <s v="Laboratory Technician"/>
    <n v="3"/>
    <s v="Married"/>
    <n v="2258"/>
    <n v="16340"/>
    <n v="6"/>
    <s v="No"/>
    <n v="12"/>
    <n v="3"/>
    <n v="2"/>
    <n v="1"/>
    <n v="10"/>
    <n v="2"/>
    <n v="3"/>
    <n v="8"/>
    <n v="0"/>
    <n v="1"/>
    <n v="7"/>
  </r>
  <r>
    <n v="24"/>
    <s v="No"/>
    <s v="Travel_Rarely"/>
    <n v="477"/>
    <s v="Research &amp; Development"/>
    <n v="24"/>
    <n v="3"/>
    <s v="Medical"/>
    <n v="4"/>
    <s v="Male"/>
    <n v="49"/>
    <n v="3"/>
    <n v="1"/>
    <s v="Laboratory Technician"/>
    <n v="2"/>
    <s v="Single"/>
    <n v="3597"/>
    <n v="6409"/>
    <n v="8"/>
    <s v="No"/>
    <n v="22"/>
    <n v="4"/>
    <n v="4"/>
    <n v="0"/>
    <n v="6"/>
    <n v="2"/>
    <n v="3"/>
    <n v="4"/>
    <n v="3"/>
    <n v="1"/>
    <n v="2"/>
  </r>
  <r>
    <n v="28"/>
    <s v="Yes"/>
    <s v="Travel_Rarely"/>
    <n v="1485"/>
    <s v="Research &amp; Development"/>
    <n v="12"/>
    <n v="1"/>
    <s v="Life Sciences"/>
    <n v="3"/>
    <s v="Female"/>
    <n v="79"/>
    <n v="3"/>
    <n v="1"/>
    <s v="Laboratory Technician"/>
    <n v="4"/>
    <s v="Married"/>
    <n v="2515"/>
    <n v="22955"/>
    <n v="1"/>
    <s v="Yes"/>
    <n v="11"/>
    <n v="3"/>
    <n v="4"/>
    <n v="0"/>
    <n v="1"/>
    <n v="4"/>
    <n v="2"/>
    <n v="1"/>
    <n v="1"/>
    <n v="0"/>
    <n v="0"/>
  </r>
  <r>
    <n v="26"/>
    <s v="No"/>
    <s v="Travel_Rarely"/>
    <n v="1384"/>
    <s v="Research &amp; Development"/>
    <n v="3"/>
    <n v="4"/>
    <s v="Medical"/>
    <n v="1"/>
    <s v="Male"/>
    <n v="82"/>
    <n v="4"/>
    <n v="1"/>
    <s v="Laboratory Technician"/>
    <n v="4"/>
    <s v="Married"/>
    <n v="4420"/>
    <n v="13421"/>
    <n v="1"/>
    <s v="No"/>
    <n v="22"/>
    <n v="4"/>
    <n v="2"/>
    <n v="1"/>
    <n v="8"/>
    <n v="2"/>
    <n v="3"/>
    <n v="8"/>
    <n v="7"/>
    <n v="0"/>
    <n v="7"/>
  </r>
  <r>
    <n v="30"/>
    <s v="No"/>
    <s v="Travel_Rarely"/>
    <n v="852"/>
    <s v="Sales"/>
    <n v="10"/>
    <n v="3"/>
    <s v="Marketing"/>
    <n v="3"/>
    <s v="Male"/>
    <n v="72"/>
    <n v="2"/>
    <n v="2"/>
    <s v="Sales Executive"/>
    <n v="3"/>
    <s v="Married"/>
    <n v="6578"/>
    <n v="2706"/>
    <n v="1"/>
    <s v="No"/>
    <n v="18"/>
    <n v="3"/>
    <n v="1"/>
    <n v="1"/>
    <n v="10"/>
    <n v="3"/>
    <n v="3"/>
    <n v="10"/>
    <n v="3"/>
    <n v="1"/>
    <n v="4"/>
  </r>
  <r>
    <n v="40"/>
    <s v="No"/>
    <s v="Travel_Frequently"/>
    <n v="902"/>
    <s v="Research &amp; Development"/>
    <n v="26"/>
    <n v="2"/>
    <s v="Medical"/>
    <n v="3"/>
    <s v="Female"/>
    <n v="92"/>
    <n v="2"/>
    <n v="2"/>
    <s v="Research Scientist"/>
    <n v="4"/>
    <s v="Married"/>
    <n v="4422"/>
    <n v="21203"/>
    <n v="3"/>
    <s v="Yes"/>
    <n v="13"/>
    <n v="3"/>
    <n v="4"/>
    <n v="1"/>
    <n v="16"/>
    <n v="3"/>
    <n v="1"/>
    <n v="1"/>
    <n v="1"/>
    <n v="0"/>
    <n v="0"/>
  </r>
  <r>
    <n v="35"/>
    <s v="No"/>
    <s v="Travel_Rarely"/>
    <n v="819"/>
    <s v="Research &amp; Development"/>
    <n v="2"/>
    <n v="3"/>
    <s v="Life Sciences"/>
    <n v="3"/>
    <s v="Male"/>
    <n v="44"/>
    <n v="2"/>
    <n v="3"/>
    <s v="Manufacturing Director"/>
    <n v="2"/>
    <s v="Divorced"/>
    <n v="10274"/>
    <n v="19588"/>
    <n v="2"/>
    <s v="No"/>
    <n v="18"/>
    <n v="3"/>
    <n v="2"/>
    <n v="1"/>
    <n v="15"/>
    <n v="2"/>
    <n v="4"/>
    <n v="7"/>
    <n v="7"/>
    <n v="6"/>
    <n v="4"/>
  </r>
  <r>
    <n v="34"/>
    <s v="No"/>
    <s v="Travel_Frequently"/>
    <n v="669"/>
    <s v="Research &amp; Development"/>
    <n v="1"/>
    <n v="3"/>
    <s v="Medical"/>
    <n v="4"/>
    <s v="Male"/>
    <n v="97"/>
    <n v="2"/>
    <n v="2"/>
    <s v="Healthcare Representative"/>
    <n v="1"/>
    <s v="Single"/>
    <n v="5343"/>
    <n v="25755"/>
    <n v="0"/>
    <s v="No"/>
    <n v="20"/>
    <n v="4"/>
    <n v="3"/>
    <n v="0"/>
    <n v="14"/>
    <n v="3"/>
    <n v="3"/>
    <n v="13"/>
    <n v="9"/>
    <n v="4"/>
    <n v="9"/>
  </r>
  <r>
    <n v="35"/>
    <s v="No"/>
    <s v="Travel_Frequently"/>
    <n v="636"/>
    <s v="Research &amp; Development"/>
    <n v="4"/>
    <n v="4"/>
    <s v="Other"/>
    <n v="4"/>
    <s v="Male"/>
    <n v="47"/>
    <n v="2"/>
    <n v="1"/>
    <s v="Laboratory Technician"/>
    <n v="4"/>
    <s v="Married"/>
    <n v="2376"/>
    <n v="26537"/>
    <n v="1"/>
    <s v="No"/>
    <n v="13"/>
    <n v="3"/>
    <n v="2"/>
    <n v="1"/>
    <n v="2"/>
    <n v="2"/>
    <n v="4"/>
    <n v="2"/>
    <n v="2"/>
    <n v="2"/>
    <n v="2"/>
  </r>
  <r>
    <n v="43"/>
    <s v="Yes"/>
    <s v="Travel_Rarely"/>
    <n v="1372"/>
    <s v="Sales"/>
    <n v="9"/>
    <n v="3"/>
    <s v="Marketing"/>
    <n v="1"/>
    <s v="Female"/>
    <n v="85"/>
    <n v="1"/>
    <n v="2"/>
    <s v="Sales Executive"/>
    <n v="3"/>
    <s v="Single"/>
    <n v="5346"/>
    <n v="9489"/>
    <n v="8"/>
    <s v="No"/>
    <n v="13"/>
    <n v="3"/>
    <n v="2"/>
    <n v="0"/>
    <n v="7"/>
    <n v="2"/>
    <n v="2"/>
    <n v="4"/>
    <n v="3"/>
    <n v="1"/>
    <n v="3"/>
  </r>
  <r>
    <n v="32"/>
    <s v="No"/>
    <s v="Non-Travel"/>
    <n v="862"/>
    <s v="Sales"/>
    <n v="2"/>
    <n v="1"/>
    <s v="Life Sciences"/>
    <n v="3"/>
    <s v="Female"/>
    <n v="76"/>
    <n v="3"/>
    <n v="1"/>
    <s v="Sales Representative"/>
    <n v="1"/>
    <s v="Divorced"/>
    <n v="2827"/>
    <n v="14947"/>
    <n v="1"/>
    <s v="No"/>
    <n v="12"/>
    <n v="3"/>
    <n v="3"/>
    <n v="3"/>
    <n v="1"/>
    <n v="3"/>
    <n v="3"/>
    <n v="1"/>
    <n v="0"/>
    <n v="0"/>
    <n v="0"/>
  </r>
  <r>
    <n v="56"/>
    <s v="No"/>
    <s v="Travel_Rarely"/>
    <n v="718"/>
    <s v="Research &amp; Development"/>
    <n v="4"/>
    <n v="4"/>
    <s v="Technical Degree"/>
    <n v="4"/>
    <s v="Female"/>
    <n v="92"/>
    <n v="3"/>
    <n v="5"/>
    <s v="Manager"/>
    <n v="1"/>
    <s v="Divorced"/>
    <n v="19943"/>
    <n v="18575"/>
    <n v="4"/>
    <s v="No"/>
    <n v="13"/>
    <n v="3"/>
    <n v="4"/>
    <n v="1"/>
    <n v="28"/>
    <n v="2"/>
    <n v="3"/>
    <n v="5"/>
    <n v="2"/>
    <n v="4"/>
    <n v="2"/>
  </r>
  <r>
    <n v="29"/>
    <s v="No"/>
    <s v="Travel_Rarely"/>
    <n v="1401"/>
    <s v="Research &amp; Development"/>
    <n v="6"/>
    <n v="1"/>
    <s v="Medical"/>
    <n v="2"/>
    <s v="Female"/>
    <n v="54"/>
    <n v="3"/>
    <n v="1"/>
    <s v="Laboratory Technician"/>
    <n v="4"/>
    <s v="Married"/>
    <n v="3131"/>
    <n v="26342"/>
    <n v="1"/>
    <s v="No"/>
    <n v="13"/>
    <n v="3"/>
    <n v="1"/>
    <n v="1"/>
    <n v="10"/>
    <n v="5"/>
    <n v="3"/>
    <n v="10"/>
    <n v="8"/>
    <n v="0"/>
    <n v="8"/>
  </r>
  <r>
    <n v="19"/>
    <s v="No"/>
    <s v="Travel_Rarely"/>
    <n v="645"/>
    <s v="Research &amp; Development"/>
    <n v="9"/>
    <n v="2"/>
    <s v="Life Sciences"/>
    <n v="3"/>
    <s v="Male"/>
    <n v="54"/>
    <n v="3"/>
    <n v="1"/>
    <s v="Research Scientist"/>
    <n v="1"/>
    <s v="Single"/>
    <n v="2552"/>
    <n v="7172"/>
    <n v="1"/>
    <s v="No"/>
    <n v="25"/>
    <n v="4"/>
    <n v="3"/>
    <n v="0"/>
    <n v="1"/>
    <n v="4"/>
    <n v="3"/>
    <n v="1"/>
    <n v="1"/>
    <n v="0"/>
    <n v="0"/>
  </r>
  <r>
    <n v="45"/>
    <s v="No"/>
    <s v="Travel_Rarely"/>
    <n v="1457"/>
    <s v="Research &amp; Development"/>
    <n v="7"/>
    <n v="3"/>
    <s v="Medical"/>
    <n v="1"/>
    <s v="Female"/>
    <n v="83"/>
    <n v="3"/>
    <n v="1"/>
    <s v="Research Scientist"/>
    <n v="3"/>
    <s v="Married"/>
    <n v="4477"/>
    <n v="20100"/>
    <n v="4"/>
    <s v="Yes"/>
    <n v="19"/>
    <n v="3"/>
    <n v="3"/>
    <n v="1"/>
    <n v="7"/>
    <n v="2"/>
    <n v="2"/>
    <n v="3"/>
    <n v="2"/>
    <n v="0"/>
    <n v="2"/>
  </r>
  <r>
    <n v="37"/>
    <s v="No"/>
    <s v="Travel_Rarely"/>
    <n v="977"/>
    <s v="Research &amp; Development"/>
    <n v="1"/>
    <n v="3"/>
    <s v="Life Sciences"/>
    <n v="4"/>
    <s v="Female"/>
    <n v="56"/>
    <n v="2"/>
    <n v="2"/>
    <s v="Manufacturing Director"/>
    <n v="4"/>
    <s v="Married"/>
    <n v="6474"/>
    <n v="9961"/>
    <n v="1"/>
    <s v="No"/>
    <n v="13"/>
    <n v="3"/>
    <n v="2"/>
    <n v="1"/>
    <n v="14"/>
    <n v="2"/>
    <n v="2"/>
    <n v="14"/>
    <n v="8"/>
    <n v="3"/>
    <n v="11"/>
  </r>
  <r>
    <n v="20"/>
    <s v="No"/>
    <s v="Travel_Rarely"/>
    <n v="805"/>
    <s v="Research &amp; Development"/>
    <n v="3"/>
    <n v="3"/>
    <s v="Life Sciences"/>
    <n v="1"/>
    <s v="Male"/>
    <n v="87"/>
    <n v="2"/>
    <n v="1"/>
    <s v="Laboratory Technician"/>
    <n v="3"/>
    <s v="Single"/>
    <n v="3033"/>
    <n v="12828"/>
    <n v="1"/>
    <s v="No"/>
    <n v="12"/>
    <n v="3"/>
    <n v="1"/>
    <n v="0"/>
    <n v="2"/>
    <n v="2"/>
    <n v="2"/>
    <n v="2"/>
    <n v="2"/>
    <n v="1"/>
    <n v="2"/>
  </r>
  <r>
    <n v="44"/>
    <s v="Yes"/>
    <s v="Travel_Rarely"/>
    <n v="1097"/>
    <s v="Research &amp; Development"/>
    <n v="10"/>
    <n v="4"/>
    <s v="Life Sciences"/>
    <n v="3"/>
    <s v="Male"/>
    <n v="96"/>
    <n v="3"/>
    <n v="1"/>
    <s v="Research Scientist"/>
    <n v="3"/>
    <s v="Single"/>
    <n v="2936"/>
    <n v="10826"/>
    <n v="1"/>
    <s v="Yes"/>
    <n v="11"/>
    <n v="3"/>
    <n v="3"/>
    <n v="0"/>
    <n v="6"/>
    <n v="4"/>
    <n v="3"/>
    <n v="6"/>
    <n v="4"/>
    <n v="0"/>
    <n v="2"/>
  </r>
  <r>
    <n v="53"/>
    <s v="No"/>
    <s v="Travel_Rarely"/>
    <n v="1223"/>
    <s v="Research &amp; Development"/>
    <n v="7"/>
    <n v="2"/>
    <s v="Medical"/>
    <n v="4"/>
    <s v="Female"/>
    <n v="50"/>
    <n v="3"/>
    <n v="5"/>
    <s v="Manager"/>
    <n v="3"/>
    <s v="Divorced"/>
    <n v="18606"/>
    <n v="18640"/>
    <n v="3"/>
    <s v="No"/>
    <n v="18"/>
    <n v="3"/>
    <n v="2"/>
    <n v="1"/>
    <n v="26"/>
    <n v="6"/>
    <n v="3"/>
    <n v="7"/>
    <n v="7"/>
    <n v="4"/>
    <n v="7"/>
  </r>
  <r>
    <n v="29"/>
    <s v="No"/>
    <s v="Travel_Rarely"/>
    <n v="942"/>
    <s v="Research &amp; Development"/>
    <n v="15"/>
    <n v="1"/>
    <s v="Life Sciences"/>
    <n v="2"/>
    <s v="Female"/>
    <n v="69"/>
    <n v="1"/>
    <n v="1"/>
    <s v="Research Scientist"/>
    <n v="4"/>
    <s v="Married"/>
    <n v="2168"/>
    <n v="26933"/>
    <n v="0"/>
    <s v="Yes"/>
    <n v="18"/>
    <n v="3"/>
    <n v="1"/>
    <n v="1"/>
    <n v="6"/>
    <n v="2"/>
    <n v="2"/>
    <n v="5"/>
    <n v="4"/>
    <n v="1"/>
    <n v="3"/>
  </r>
  <r>
    <n v="22"/>
    <s v="Yes"/>
    <s v="Travel_Frequently"/>
    <n v="1256"/>
    <s v="Research &amp; Development"/>
    <n v="3"/>
    <n v="4"/>
    <s v="Life Sciences"/>
    <n v="3"/>
    <s v="Male"/>
    <n v="48"/>
    <n v="2"/>
    <n v="1"/>
    <s v="Research Scientist"/>
    <n v="4"/>
    <s v="Married"/>
    <n v="2853"/>
    <n v="4223"/>
    <n v="0"/>
    <s v="Yes"/>
    <n v="11"/>
    <n v="3"/>
    <n v="2"/>
    <n v="1"/>
    <n v="1"/>
    <n v="5"/>
    <n v="3"/>
    <n v="0"/>
    <n v="0"/>
    <n v="0"/>
    <n v="0"/>
  </r>
  <r>
    <n v="46"/>
    <s v="No"/>
    <s v="Travel_Rarely"/>
    <n v="1402"/>
    <s v="Sales"/>
    <n v="2"/>
    <n v="3"/>
    <s v="Marketing"/>
    <n v="3"/>
    <s v="Female"/>
    <n v="69"/>
    <n v="3"/>
    <n v="4"/>
    <s v="Manager"/>
    <n v="1"/>
    <s v="Married"/>
    <n v="17048"/>
    <n v="24097"/>
    <n v="8"/>
    <s v="No"/>
    <n v="23"/>
    <n v="4"/>
    <n v="1"/>
    <n v="0"/>
    <n v="28"/>
    <n v="2"/>
    <n v="3"/>
    <n v="26"/>
    <n v="15"/>
    <n v="15"/>
    <n v="9"/>
  </r>
  <r>
    <n v="44"/>
    <s v="No"/>
    <s v="Non-Travel"/>
    <n v="111"/>
    <s v="Research &amp; Development"/>
    <n v="17"/>
    <n v="3"/>
    <s v="Life Sciences"/>
    <n v="4"/>
    <s v="Male"/>
    <n v="74"/>
    <n v="1"/>
    <n v="1"/>
    <s v="Research Scientist"/>
    <n v="3"/>
    <s v="Single"/>
    <n v="2290"/>
    <n v="4279"/>
    <n v="2"/>
    <s v="No"/>
    <n v="13"/>
    <n v="3"/>
    <n v="4"/>
    <n v="0"/>
    <n v="6"/>
    <n v="3"/>
    <n v="3"/>
    <n v="0"/>
    <n v="0"/>
    <n v="0"/>
    <n v="0"/>
  </r>
  <r>
    <n v="33"/>
    <s v="No"/>
    <s v="Travel_Rarely"/>
    <n v="147"/>
    <s v="Human Resources"/>
    <n v="2"/>
    <n v="3"/>
    <s v="Human Resources"/>
    <n v="2"/>
    <s v="Male"/>
    <n v="99"/>
    <n v="3"/>
    <n v="1"/>
    <s v="Human Resources"/>
    <n v="3"/>
    <s v="Married"/>
    <n v="3600"/>
    <n v="8429"/>
    <n v="1"/>
    <s v="No"/>
    <n v="13"/>
    <n v="3"/>
    <n v="4"/>
    <n v="1"/>
    <n v="5"/>
    <n v="2"/>
    <n v="3"/>
    <n v="5"/>
    <n v="4"/>
    <n v="1"/>
    <n v="4"/>
  </r>
  <r>
    <n v="41"/>
    <s v="Yes"/>
    <s v="Non-Travel"/>
    <n v="906"/>
    <s v="Research &amp; Development"/>
    <n v="5"/>
    <n v="2"/>
    <s v="Life Sciences"/>
    <n v="1"/>
    <s v="Male"/>
    <n v="95"/>
    <n v="2"/>
    <n v="1"/>
    <s v="Research Scientist"/>
    <n v="1"/>
    <s v="Divorced"/>
    <n v="2107"/>
    <n v="20293"/>
    <n v="6"/>
    <s v="No"/>
    <n v="17"/>
    <n v="3"/>
    <n v="1"/>
    <n v="1"/>
    <n v="5"/>
    <n v="2"/>
    <n v="1"/>
    <n v="1"/>
    <n v="0"/>
    <n v="0"/>
    <n v="0"/>
  </r>
  <r>
    <n v="30"/>
    <s v="No"/>
    <s v="Travel_Rarely"/>
    <n v="1329"/>
    <s v="Sales"/>
    <n v="29"/>
    <n v="4"/>
    <s v="Life Sciences"/>
    <n v="3"/>
    <s v="Male"/>
    <n v="61"/>
    <n v="3"/>
    <n v="2"/>
    <s v="Sales Executive"/>
    <n v="1"/>
    <s v="Divorced"/>
    <n v="4115"/>
    <n v="13192"/>
    <n v="8"/>
    <s v="No"/>
    <n v="19"/>
    <n v="3"/>
    <n v="3"/>
    <n v="3"/>
    <n v="8"/>
    <n v="3"/>
    <n v="3"/>
    <n v="4"/>
    <n v="3"/>
    <n v="0"/>
    <n v="3"/>
  </r>
  <r>
    <n v="40"/>
    <s v="No"/>
    <s v="Travel_Frequently"/>
    <n v="1184"/>
    <s v="Sales"/>
    <n v="2"/>
    <n v="4"/>
    <s v="Medical"/>
    <n v="2"/>
    <s v="Male"/>
    <n v="62"/>
    <n v="3"/>
    <n v="2"/>
    <s v="Sales Executive"/>
    <n v="2"/>
    <s v="Married"/>
    <n v="4327"/>
    <n v="25440"/>
    <n v="5"/>
    <s v="No"/>
    <n v="12"/>
    <n v="3"/>
    <n v="4"/>
    <n v="3"/>
    <n v="5"/>
    <n v="2"/>
    <n v="3"/>
    <n v="0"/>
    <n v="0"/>
    <n v="0"/>
    <n v="0"/>
  </r>
  <r>
    <n v="50"/>
    <s v="No"/>
    <s v="Travel_Frequently"/>
    <n v="1421"/>
    <s v="Research &amp; Development"/>
    <n v="2"/>
    <n v="3"/>
    <s v="Medical"/>
    <n v="4"/>
    <s v="Female"/>
    <n v="30"/>
    <n v="3"/>
    <n v="4"/>
    <s v="Manager"/>
    <n v="1"/>
    <s v="Married"/>
    <n v="17856"/>
    <n v="9490"/>
    <n v="2"/>
    <s v="No"/>
    <n v="22"/>
    <n v="4"/>
    <n v="3"/>
    <n v="1"/>
    <n v="32"/>
    <n v="3"/>
    <n v="3"/>
    <n v="2"/>
    <n v="2"/>
    <n v="2"/>
    <n v="2"/>
  </r>
  <r>
    <n v="28"/>
    <s v="No"/>
    <s v="Travel_Rarely"/>
    <n v="1179"/>
    <s v="Research &amp; Development"/>
    <n v="19"/>
    <n v="4"/>
    <s v="Medical"/>
    <n v="4"/>
    <s v="Male"/>
    <n v="78"/>
    <n v="2"/>
    <n v="1"/>
    <s v="Laboratory Technician"/>
    <n v="1"/>
    <s v="Married"/>
    <n v="3196"/>
    <n v="12449"/>
    <n v="1"/>
    <s v="No"/>
    <n v="12"/>
    <n v="3"/>
    <n v="3"/>
    <n v="3"/>
    <n v="6"/>
    <n v="2"/>
    <n v="3"/>
    <n v="6"/>
    <n v="5"/>
    <n v="3"/>
    <n v="3"/>
  </r>
  <r>
    <n v="46"/>
    <s v="No"/>
    <s v="Travel_Rarely"/>
    <n v="1450"/>
    <s v="Research &amp; Development"/>
    <n v="15"/>
    <n v="2"/>
    <s v="Life Sciences"/>
    <n v="4"/>
    <s v="Male"/>
    <n v="52"/>
    <n v="3"/>
    <n v="5"/>
    <s v="Research Director"/>
    <n v="2"/>
    <s v="Married"/>
    <n v="19081"/>
    <n v="10849"/>
    <n v="5"/>
    <s v="No"/>
    <n v="11"/>
    <n v="3"/>
    <n v="1"/>
    <n v="1"/>
    <n v="25"/>
    <n v="2"/>
    <n v="3"/>
    <n v="4"/>
    <n v="2"/>
    <n v="0"/>
    <n v="3"/>
  </r>
  <r>
    <n v="35"/>
    <s v="No"/>
    <s v="Travel_Rarely"/>
    <n v="1361"/>
    <s v="Sales"/>
    <n v="17"/>
    <n v="4"/>
    <s v="Life Sciences"/>
    <n v="3"/>
    <s v="Male"/>
    <n v="94"/>
    <n v="3"/>
    <n v="2"/>
    <s v="Sales Executive"/>
    <n v="1"/>
    <s v="Married"/>
    <n v="8966"/>
    <n v="21026"/>
    <n v="3"/>
    <s v="Yes"/>
    <n v="15"/>
    <n v="3"/>
    <n v="4"/>
    <n v="3"/>
    <n v="15"/>
    <n v="2"/>
    <n v="3"/>
    <n v="7"/>
    <n v="7"/>
    <n v="1"/>
    <n v="7"/>
  </r>
  <r>
    <n v="24"/>
    <s v="Yes"/>
    <s v="Travel_Rarely"/>
    <n v="984"/>
    <s v="Research &amp; Development"/>
    <n v="17"/>
    <n v="2"/>
    <s v="Life Sciences"/>
    <n v="4"/>
    <s v="Female"/>
    <n v="97"/>
    <n v="3"/>
    <n v="1"/>
    <s v="Laboratory Technician"/>
    <n v="2"/>
    <s v="Married"/>
    <n v="2210"/>
    <n v="3372"/>
    <n v="1"/>
    <s v="No"/>
    <n v="13"/>
    <n v="3"/>
    <n v="1"/>
    <n v="1"/>
    <n v="1"/>
    <n v="3"/>
    <n v="1"/>
    <n v="1"/>
    <n v="0"/>
    <n v="0"/>
    <n v="0"/>
  </r>
  <r>
    <n v="33"/>
    <s v="No"/>
    <s v="Travel_Frequently"/>
    <n v="1146"/>
    <s v="Sales"/>
    <n v="25"/>
    <n v="3"/>
    <s v="Medical"/>
    <n v="2"/>
    <s v="Female"/>
    <n v="82"/>
    <n v="3"/>
    <n v="2"/>
    <s v="Sales Executive"/>
    <n v="3"/>
    <s v="Married"/>
    <n v="4539"/>
    <n v="4905"/>
    <n v="1"/>
    <s v="No"/>
    <n v="12"/>
    <n v="3"/>
    <n v="1"/>
    <n v="1"/>
    <n v="10"/>
    <n v="3"/>
    <n v="2"/>
    <n v="10"/>
    <n v="7"/>
    <n v="0"/>
    <n v="1"/>
  </r>
  <r>
    <n v="36"/>
    <s v="No"/>
    <s v="Travel_Rarely"/>
    <n v="917"/>
    <s v="Research &amp; Development"/>
    <n v="6"/>
    <n v="4"/>
    <s v="Life Sciences"/>
    <n v="3"/>
    <s v="Male"/>
    <n v="60"/>
    <n v="1"/>
    <n v="1"/>
    <s v="Laboratory Technician"/>
    <n v="3"/>
    <s v="Divorced"/>
    <n v="2741"/>
    <n v="6865"/>
    <n v="1"/>
    <s v="No"/>
    <n v="14"/>
    <n v="3"/>
    <n v="3"/>
    <n v="1"/>
    <n v="7"/>
    <n v="4"/>
    <n v="3"/>
    <n v="7"/>
    <n v="7"/>
    <n v="1"/>
    <n v="7"/>
  </r>
  <r>
    <n v="30"/>
    <s v="No"/>
    <s v="Travel_Rarely"/>
    <n v="853"/>
    <s v="Research &amp; Development"/>
    <n v="7"/>
    <n v="4"/>
    <s v="Life Sciences"/>
    <n v="3"/>
    <s v="Male"/>
    <n v="49"/>
    <n v="3"/>
    <n v="2"/>
    <s v="Laboratory Technician"/>
    <n v="3"/>
    <s v="Divorced"/>
    <n v="3491"/>
    <n v="11309"/>
    <n v="1"/>
    <s v="No"/>
    <n v="13"/>
    <n v="3"/>
    <n v="1"/>
    <n v="3"/>
    <n v="10"/>
    <n v="4"/>
    <n v="2"/>
    <n v="10"/>
    <n v="7"/>
    <n v="8"/>
    <n v="9"/>
  </r>
  <r>
    <n v="44"/>
    <s v="No"/>
    <s v="Travel_Rarely"/>
    <n v="200"/>
    <s v="Research &amp; Development"/>
    <n v="29"/>
    <n v="4"/>
    <s v="Other"/>
    <n v="4"/>
    <s v="Male"/>
    <n v="32"/>
    <n v="3"/>
    <n v="2"/>
    <s v="Research Scientist"/>
    <n v="4"/>
    <s v="Single"/>
    <n v="4541"/>
    <n v="7744"/>
    <n v="1"/>
    <s v="No"/>
    <n v="25"/>
    <n v="4"/>
    <n v="2"/>
    <n v="0"/>
    <n v="20"/>
    <n v="3"/>
    <n v="3"/>
    <n v="20"/>
    <n v="11"/>
    <n v="13"/>
    <n v="17"/>
  </r>
  <r>
    <n v="20"/>
    <s v="No"/>
    <s v="Travel_Rarely"/>
    <n v="654"/>
    <s v="Sales"/>
    <n v="21"/>
    <n v="3"/>
    <s v="Marketing"/>
    <n v="3"/>
    <s v="Male"/>
    <n v="43"/>
    <n v="4"/>
    <n v="1"/>
    <s v="Sales Representative"/>
    <n v="4"/>
    <s v="Single"/>
    <n v="2678"/>
    <n v="5050"/>
    <n v="1"/>
    <s v="No"/>
    <n v="17"/>
    <n v="3"/>
    <n v="4"/>
    <n v="0"/>
    <n v="2"/>
    <n v="2"/>
    <n v="3"/>
    <n v="2"/>
    <n v="1"/>
    <n v="2"/>
    <n v="2"/>
  </r>
  <r>
    <n v="46"/>
    <s v="No"/>
    <s v="Travel_Rarely"/>
    <n v="150"/>
    <s v="Research &amp; Development"/>
    <n v="2"/>
    <n v="4"/>
    <s v="Technical Degree"/>
    <n v="4"/>
    <s v="Male"/>
    <n v="60"/>
    <n v="3"/>
    <n v="2"/>
    <s v="Manufacturing Director"/>
    <n v="4"/>
    <s v="Divorced"/>
    <n v="7379"/>
    <n v="17433"/>
    <n v="2"/>
    <s v="No"/>
    <n v="11"/>
    <n v="3"/>
    <n v="3"/>
    <n v="1"/>
    <n v="12"/>
    <n v="3"/>
    <n v="2"/>
    <n v="6"/>
    <n v="3"/>
    <n v="1"/>
    <n v="4"/>
  </r>
  <r>
    <n v="42"/>
    <s v="No"/>
    <s v="Non-Travel"/>
    <n v="179"/>
    <s v="Human Resources"/>
    <n v="2"/>
    <n v="5"/>
    <s v="Medical"/>
    <n v="4"/>
    <s v="Male"/>
    <n v="79"/>
    <n v="4"/>
    <n v="2"/>
    <s v="Human Resources"/>
    <n v="1"/>
    <s v="Married"/>
    <n v="6272"/>
    <n v="12858"/>
    <n v="7"/>
    <s v="No"/>
    <n v="16"/>
    <n v="3"/>
    <n v="1"/>
    <n v="1"/>
    <n v="10"/>
    <n v="3"/>
    <n v="4"/>
    <n v="4"/>
    <n v="3"/>
    <n v="0"/>
    <n v="3"/>
  </r>
  <r>
    <n v="60"/>
    <s v="No"/>
    <s v="Travel_Rarely"/>
    <n v="696"/>
    <s v="Sales"/>
    <n v="7"/>
    <n v="4"/>
    <s v="Marketing"/>
    <n v="2"/>
    <s v="Male"/>
    <n v="52"/>
    <n v="4"/>
    <n v="2"/>
    <s v="Sales Executive"/>
    <n v="4"/>
    <s v="Divorced"/>
    <n v="5220"/>
    <n v="10893"/>
    <n v="0"/>
    <s v="Yes"/>
    <n v="18"/>
    <n v="3"/>
    <n v="2"/>
    <n v="1"/>
    <n v="12"/>
    <n v="3"/>
    <n v="3"/>
    <n v="11"/>
    <n v="7"/>
    <n v="1"/>
    <n v="9"/>
  </r>
  <r>
    <n v="32"/>
    <s v="No"/>
    <s v="Travel_Frequently"/>
    <n v="116"/>
    <s v="Research &amp; Development"/>
    <n v="13"/>
    <n v="3"/>
    <s v="Other"/>
    <n v="3"/>
    <s v="Female"/>
    <n v="77"/>
    <n v="2"/>
    <n v="1"/>
    <s v="Laboratory Technician"/>
    <n v="2"/>
    <s v="Married"/>
    <n v="2743"/>
    <n v="7331"/>
    <n v="1"/>
    <s v="No"/>
    <n v="20"/>
    <n v="4"/>
    <n v="3"/>
    <n v="1"/>
    <n v="2"/>
    <n v="2"/>
    <n v="3"/>
    <n v="2"/>
    <n v="2"/>
    <n v="2"/>
    <n v="2"/>
  </r>
  <r>
    <n v="32"/>
    <s v="No"/>
    <s v="Travel_Frequently"/>
    <n v="1316"/>
    <s v="Research &amp; Development"/>
    <n v="2"/>
    <n v="2"/>
    <s v="Life Sciences"/>
    <n v="4"/>
    <s v="Female"/>
    <n v="38"/>
    <n v="3"/>
    <n v="2"/>
    <s v="Research Scientist"/>
    <n v="3"/>
    <s v="Single"/>
    <n v="4998"/>
    <n v="2338"/>
    <n v="4"/>
    <s v="Yes"/>
    <n v="14"/>
    <n v="3"/>
    <n v="4"/>
    <n v="0"/>
    <n v="10"/>
    <n v="2"/>
    <n v="3"/>
    <n v="8"/>
    <n v="7"/>
    <n v="0"/>
    <n v="7"/>
  </r>
  <r>
    <n v="36"/>
    <s v="No"/>
    <s v="Travel_Rarely"/>
    <n v="363"/>
    <s v="Research &amp; Development"/>
    <n v="1"/>
    <n v="3"/>
    <s v="Technical Degree"/>
    <n v="3"/>
    <s v="Female"/>
    <n v="77"/>
    <n v="1"/>
    <n v="3"/>
    <s v="Manufacturing Director"/>
    <n v="1"/>
    <s v="Divorced"/>
    <n v="10252"/>
    <n v="4235"/>
    <n v="2"/>
    <s v="Yes"/>
    <n v="21"/>
    <n v="4"/>
    <n v="3"/>
    <n v="1"/>
    <n v="17"/>
    <n v="2"/>
    <n v="3"/>
    <n v="7"/>
    <n v="7"/>
    <n v="7"/>
    <n v="7"/>
  </r>
  <r>
    <n v="33"/>
    <s v="No"/>
    <s v="Travel_Rarely"/>
    <n v="117"/>
    <s v="Research &amp; Development"/>
    <n v="9"/>
    <n v="3"/>
    <s v="Medical"/>
    <n v="1"/>
    <s v="Male"/>
    <n v="60"/>
    <n v="3"/>
    <n v="1"/>
    <s v="Research Scientist"/>
    <n v="4"/>
    <s v="Married"/>
    <n v="2781"/>
    <n v="6311"/>
    <n v="0"/>
    <s v="No"/>
    <n v="13"/>
    <n v="3"/>
    <n v="2"/>
    <n v="1"/>
    <n v="15"/>
    <n v="5"/>
    <n v="3"/>
    <n v="14"/>
    <n v="10"/>
    <n v="4"/>
    <n v="10"/>
  </r>
  <r>
    <n v="40"/>
    <s v="No"/>
    <s v="Travel_Rarely"/>
    <n v="107"/>
    <s v="Sales"/>
    <n v="10"/>
    <n v="3"/>
    <s v="Technical Degree"/>
    <n v="2"/>
    <s v="Female"/>
    <n v="84"/>
    <n v="2"/>
    <n v="2"/>
    <s v="Sales Executive"/>
    <n v="2"/>
    <s v="Divorced"/>
    <n v="6852"/>
    <n v="11591"/>
    <n v="7"/>
    <s v="No"/>
    <n v="12"/>
    <n v="3"/>
    <n v="2"/>
    <n v="1"/>
    <n v="7"/>
    <n v="2"/>
    <n v="4"/>
    <n v="5"/>
    <n v="1"/>
    <n v="1"/>
    <n v="3"/>
  </r>
  <r>
    <n v="25"/>
    <s v="No"/>
    <s v="Travel_Rarely"/>
    <n v="1356"/>
    <s v="Sales"/>
    <n v="10"/>
    <n v="4"/>
    <s v="Life Sciences"/>
    <n v="3"/>
    <s v="Male"/>
    <n v="57"/>
    <n v="3"/>
    <n v="2"/>
    <s v="Sales Executive"/>
    <n v="4"/>
    <s v="Single"/>
    <n v="4950"/>
    <n v="20623"/>
    <n v="0"/>
    <s v="No"/>
    <n v="14"/>
    <n v="3"/>
    <n v="2"/>
    <n v="0"/>
    <n v="5"/>
    <n v="4"/>
    <n v="3"/>
    <n v="4"/>
    <n v="3"/>
    <n v="1"/>
    <n v="1"/>
  </r>
  <r>
    <n v="30"/>
    <s v="No"/>
    <s v="Travel_Rarely"/>
    <n v="1465"/>
    <s v="Research &amp; Development"/>
    <n v="1"/>
    <n v="3"/>
    <s v="Medical"/>
    <n v="4"/>
    <s v="Male"/>
    <n v="63"/>
    <n v="3"/>
    <n v="1"/>
    <s v="Research Scientist"/>
    <n v="2"/>
    <s v="Married"/>
    <n v="3579"/>
    <n v="9369"/>
    <n v="0"/>
    <s v="Yes"/>
    <n v="21"/>
    <n v="4"/>
    <n v="1"/>
    <n v="1"/>
    <n v="12"/>
    <n v="2"/>
    <n v="3"/>
    <n v="11"/>
    <n v="9"/>
    <n v="5"/>
    <n v="7"/>
  </r>
  <r>
    <n v="42"/>
    <s v="No"/>
    <s v="Travel_Frequently"/>
    <n v="458"/>
    <s v="Research &amp; Development"/>
    <n v="26"/>
    <n v="5"/>
    <s v="Medical"/>
    <n v="1"/>
    <s v="Female"/>
    <n v="60"/>
    <n v="3"/>
    <n v="3"/>
    <s v="Research Director"/>
    <n v="1"/>
    <s v="Married"/>
    <n v="13191"/>
    <n v="23281"/>
    <n v="3"/>
    <s v="Yes"/>
    <n v="17"/>
    <n v="3"/>
    <n v="3"/>
    <n v="0"/>
    <n v="20"/>
    <n v="6"/>
    <n v="3"/>
    <n v="1"/>
    <n v="0"/>
    <n v="0"/>
    <n v="0"/>
  </r>
  <r>
    <n v="35"/>
    <s v="No"/>
    <s v="Non-Travel"/>
    <n v="1212"/>
    <s v="Sales"/>
    <n v="8"/>
    <n v="2"/>
    <s v="Marketing"/>
    <n v="3"/>
    <s v="Female"/>
    <n v="78"/>
    <n v="2"/>
    <n v="3"/>
    <s v="Sales Executive"/>
    <n v="4"/>
    <s v="Married"/>
    <n v="10377"/>
    <n v="13755"/>
    <n v="4"/>
    <s v="Yes"/>
    <n v="11"/>
    <n v="3"/>
    <n v="2"/>
    <n v="1"/>
    <n v="16"/>
    <n v="6"/>
    <n v="2"/>
    <n v="13"/>
    <n v="2"/>
    <n v="4"/>
    <n v="12"/>
  </r>
  <r>
    <n v="27"/>
    <s v="No"/>
    <s v="Travel_Rarely"/>
    <n v="1103"/>
    <s v="Research &amp; Development"/>
    <n v="14"/>
    <n v="3"/>
    <s v="Life Sciences"/>
    <n v="1"/>
    <s v="Male"/>
    <n v="42"/>
    <n v="3"/>
    <n v="1"/>
    <s v="Research Scientist"/>
    <n v="1"/>
    <s v="Married"/>
    <n v="2235"/>
    <n v="14377"/>
    <n v="1"/>
    <s v="Yes"/>
    <n v="14"/>
    <n v="3"/>
    <n v="4"/>
    <n v="2"/>
    <n v="9"/>
    <n v="3"/>
    <n v="2"/>
    <n v="9"/>
    <n v="7"/>
    <n v="6"/>
    <n v="8"/>
  </r>
  <r>
    <n v="54"/>
    <s v="No"/>
    <s v="Travel_Frequently"/>
    <n v="966"/>
    <s v="Research &amp; Development"/>
    <n v="1"/>
    <n v="4"/>
    <s v="Life Sciences"/>
    <n v="4"/>
    <s v="Female"/>
    <n v="53"/>
    <n v="3"/>
    <n v="3"/>
    <s v="Manufacturing Director"/>
    <n v="3"/>
    <s v="Divorced"/>
    <n v="10502"/>
    <n v="9659"/>
    <n v="7"/>
    <s v="No"/>
    <n v="17"/>
    <n v="3"/>
    <n v="1"/>
    <n v="1"/>
    <n v="33"/>
    <n v="2"/>
    <n v="1"/>
    <n v="5"/>
    <n v="4"/>
    <n v="1"/>
    <n v="4"/>
  </r>
  <r>
    <n v="44"/>
    <s v="No"/>
    <s v="Travel_Rarely"/>
    <n v="1117"/>
    <s v="Research &amp; Development"/>
    <n v="2"/>
    <n v="1"/>
    <s v="Life Sciences"/>
    <n v="1"/>
    <s v="Female"/>
    <n v="72"/>
    <n v="4"/>
    <n v="1"/>
    <s v="Research Scientist"/>
    <n v="4"/>
    <s v="Married"/>
    <n v="2011"/>
    <n v="19982"/>
    <n v="1"/>
    <s v="No"/>
    <n v="13"/>
    <n v="3"/>
    <n v="4"/>
    <n v="1"/>
    <n v="10"/>
    <n v="5"/>
    <n v="3"/>
    <n v="10"/>
    <n v="5"/>
    <n v="7"/>
    <n v="7"/>
  </r>
  <r>
    <n v="19"/>
    <s v="Yes"/>
    <s v="Non-Travel"/>
    <n v="504"/>
    <s v="Research &amp; Development"/>
    <n v="10"/>
    <n v="3"/>
    <s v="Medical"/>
    <n v="1"/>
    <s v="Female"/>
    <n v="96"/>
    <n v="2"/>
    <n v="1"/>
    <s v="Research Scientist"/>
    <n v="2"/>
    <s v="Single"/>
    <n v="1859"/>
    <n v="6148"/>
    <n v="1"/>
    <s v="Yes"/>
    <n v="25"/>
    <n v="4"/>
    <n v="2"/>
    <n v="0"/>
    <n v="1"/>
    <n v="2"/>
    <n v="4"/>
    <n v="1"/>
    <n v="1"/>
    <n v="0"/>
    <n v="0"/>
  </r>
  <r>
    <n v="29"/>
    <s v="No"/>
    <s v="Travel_Rarely"/>
    <n v="1010"/>
    <s v="Research &amp; Development"/>
    <n v="1"/>
    <n v="3"/>
    <s v="Life Sciences"/>
    <n v="1"/>
    <s v="Female"/>
    <n v="97"/>
    <n v="3"/>
    <n v="1"/>
    <s v="Research Scientist"/>
    <n v="4"/>
    <s v="Divorced"/>
    <n v="3760"/>
    <n v="5598"/>
    <n v="1"/>
    <s v="No"/>
    <n v="15"/>
    <n v="3"/>
    <n v="1"/>
    <n v="3"/>
    <n v="3"/>
    <n v="5"/>
    <n v="3"/>
    <n v="3"/>
    <n v="2"/>
    <n v="1"/>
    <n v="2"/>
  </r>
  <r>
    <n v="54"/>
    <s v="No"/>
    <s v="Travel_Rarely"/>
    <n v="685"/>
    <s v="Research &amp; Development"/>
    <n v="3"/>
    <n v="3"/>
    <s v="Life Sciences"/>
    <n v="4"/>
    <s v="Male"/>
    <n v="85"/>
    <n v="3"/>
    <n v="4"/>
    <s v="Research Director"/>
    <n v="4"/>
    <s v="Married"/>
    <n v="17779"/>
    <n v="23474"/>
    <n v="3"/>
    <s v="No"/>
    <n v="14"/>
    <n v="3"/>
    <n v="1"/>
    <n v="0"/>
    <n v="36"/>
    <n v="2"/>
    <n v="3"/>
    <n v="10"/>
    <n v="9"/>
    <n v="0"/>
    <n v="9"/>
  </r>
  <r>
    <n v="31"/>
    <s v="No"/>
    <s v="Travel_Rarely"/>
    <n v="1332"/>
    <s v="Research &amp; Development"/>
    <n v="11"/>
    <n v="2"/>
    <s v="Medical"/>
    <n v="3"/>
    <s v="Male"/>
    <n v="80"/>
    <n v="3"/>
    <n v="2"/>
    <s v="Healthcare Representative"/>
    <n v="1"/>
    <s v="Married"/>
    <n v="6833"/>
    <n v="17089"/>
    <n v="1"/>
    <s v="Yes"/>
    <n v="12"/>
    <n v="3"/>
    <n v="4"/>
    <n v="0"/>
    <n v="6"/>
    <n v="2"/>
    <n v="2"/>
    <n v="6"/>
    <n v="5"/>
    <n v="0"/>
    <n v="1"/>
  </r>
  <r>
    <n v="31"/>
    <s v="No"/>
    <s v="Travel_Rarely"/>
    <n v="1062"/>
    <s v="Research &amp; Development"/>
    <n v="24"/>
    <n v="3"/>
    <s v="Medical"/>
    <n v="3"/>
    <s v="Female"/>
    <n v="96"/>
    <n v="2"/>
    <n v="2"/>
    <s v="Healthcare Representative"/>
    <n v="1"/>
    <s v="Single"/>
    <n v="6812"/>
    <n v="17198"/>
    <n v="1"/>
    <s v="No"/>
    <n v="19"/>
    <n v="3"/>
    <n v="2"/>
    <n v="0"/>
    <n v="10"/>
    <n v="2"/>
    <n v="3"/>
    <n v="10"/>
    <n v="9"/>
    <n v="1"/>
    <n v="8"/>
  </r>
  <r>
    <n v="59"/>
    <s v="No"/>
    <s v="Travel_Rarely"/>
    <n v="326"/>
    <s v="Sales"/>
    <n v="3"/>
    <n v="3"/>
    <s v="Life Sciences"/>
    <n v="3"/>
    <s v="Female"/>
    <n v="48"/>
    <n v="2"/>
    <n v="2"/>
    <s v="Sales Executive"/>
    <n v="4"/>
    <s v="Single"/>
    <n v="5171"/>
    <n v="16490"/>
    <n v="5"/>
    <s v="No"/>
    <n v="17"/>
    <n v="3"/>
    <n v="4"/>
    <n v="0"/>
    <n v="13"/>
    <n v="2"/>
    <n v="3"/>
    <n v="6"/>
    <n v="1"/>
    <n v="0"/>
    <n v="5"/>
  </r>
  <r>
    <n v="43"/>
    <s v="No"/>
    <s v="Travel_Rarely"/>
    <n v="920"/>
    <s v="Research &amp; Development"/>
    <n v="3"/>
    <n v="3"/>
    <s v="Life Sciences"/>
    <n v="3"/>
    <s v="Male"/>
    <n v="96"/>
    <n v="1"/>
    <n v="5"/>
    <s v="Research Director"/>
    <n v="4"/>
    <s v="Married"/>
    <n v="19740"/>
    <n v="18625"/>
    <n v="3"/>
    <s v="No"/>
    <n v="14"/>
    <n v="3"/>
    <n v="2"/>
    <n v="1"/>
    <n v="25"/>
    <n v="2"/>
    <n v="3"/>
    <n v="8"/>
    <n v="7"/>
    <n v="0"/>
    <n v="7"/>
  </r>
  <r>
    <n v="49"/>
    <s v="No"/>
    <s v="Travel_Rarely"/>
    <n v="1098"/>
    <s v="Research &amp; Development"/>
    <n v="4"/>
    <n v="2"/>
    <s v="Medical"/>
    <n v="1"/>
    <s v="Male"/>
    <n v="85"/>
    <n v="2"/>
    <n v="5"/>
    <s v="Manager"/>
    <n v="3"/>
    <s v="Married"/>
    <n v="18711"/>
    <n v="12124"/>
    <n v="2"/>
    <s v="No"/>
    <n v="13"/>
    <n v="3"/>
    <n v="3"/>
    <n v="1"/>
    <n v="23"/>
    <n v="2"/>
    <n v="4"/>
    <n v="1"/>
    <n v="0"/>
    <n v="0"/>
    <n v="0"/>
  </r>
  <r>
    <n v="36"/>
    <s v="No"/>
    <s v="Travel_Frequently"/>
    <n v="469"/>
    <s v="Research &amp; Development"/>
    <n v="3"/>
    <n v="3"/>
    <s v="Technical Degree"/>
    <n v="3"/>
    <s v="Male"/>
    <n v="46"/>
    <n v="3"/>
    <n v="1"/>
    <s v="Research Scientist"/>
    <n v="2"/>
    <s v="Married"/>
    <n v="3692"/>
    <n v="9256"/>
    <n v="1"/>
    <s v="No"/>
    <n v="12"/>
    <n v="3"/>
    <n v="3"/>
    <n v="0"/>
    <n v="12"/>
    <n v="2"/>
    <n v="2"/>
    <n v="11"/>
    <n v="10"/>
    <n v="0"/>
    <n v="7"/>
  </r>
  <r>
    <n v="48"/>
    <s v="No"/>
    <s v="Travel_Rarely"/>
    <n v="969"/>
    <s v="Research &amp; Development"/>
    <n v="2"/>
    <n v="2"/>
    <s v="Technical Degree"/>
    <n v="4"/>
    <s v="Male"/>
    <n v="76"/>
    <n v="4"/>
    <n v="1"/>
    <s v="Laboratory Technician"/>
    <n v="2"/>
    <s v="Single"/>
    <n v="2559"/>
    <n v="16620"/>
    <n v="5"/>
    <s v="No"/>
    <n v="11"/>
    <n v="3"/>
    <n v="3"/>
    <n v="0"/>
    <n v="7"/>
    <n v="4"/>
    <n v="2"/>
    <n v="1"/>
    <n v="0"/>
    <n v="0"/>
    <n v="0"/>
  </r>
  <r>
    <n v="27"/>
    <s v="No"/>
    <s v="Travel_Rarely"/>
    <n v="1167"/>
    <s v="Research &amp; Development"/>
    <n v="4"/>
    <n v="2"/>
    <s v="Life Sciences"/>
    <n v="1"/>
    <s v="Male"/>
    <n v="76"/>
    <n v="3"/>
    <n v="1"/>
    <s v="Research Scientist"/>
    <n v="3"/>
    <s v="Divorced"/>
    <n v="2517"/>
    <n v="3208"/>
    <n v="1"/>
    <s v="No"/>
    <n v="11"/>
    <n v="3"/>
    <n v="2"/>
    <n v="3"/>
    <n v="5"/>
    <n v="2"/>
    <n v="3"/>
    <n v="5"/>
    <n v="3"/>
    <n v="0"/>
    <n v="3"/>
  </r>
  <r>
    <n v="29"/>
    <s v="No"/>
    <s v="Travel_Rarely"/>
    <n v="1329"/>
    <s v="Research &amp; Development"/>
    <n v="7"/>
    <n v="3"/>
    <s v="Life Sciences"/>
    <n v="3"/>
    <s v="Male"/>
    <n v="82"/>
    <n v="3"/>
    <n v="2"/>
    <s v="Healthcare Representative"/>
    <n v="4"/>
    <s v="Divorced"/>
    <n v="6623"/>
    <n v="4204"/>
    <n v="1"/>
    <s v="Yes"/>
    <n v="11"/>
    <n v="3"/>
    <n v="2"/>
    <n v="2"/>
    <n v="6"/>
    <n v="2"/>
    <n v="3"/>
    <n v="6"/>
    <n v="0"/>
    <n v="1"/>
    <n v="0"/>
  </r>
  <r>
    <n v="48"/>
    <s v="No"/>
    <s v="Travel_Rarely"/>
    <n v="715"/>
    <s v="Research &amp; Development"/>
    <n v="1"/>
    <n v="3"/>
    <s v="Life Sciences"/>
    <n v="4"/>
    <s v="Male"/>
    <n v="76"/>
    <n v="2"/>
    <n v="5"/>
    <s v="Research Director"/>
    <n v="4"/>
    <s v="Single"/>
    <n v="18265"/>
    <n v="8733"/>
    <n v="6"/>
    <s v="No"/>
    <n v="12"/>
    <n v="3"/>
    <n v="3"/>
    <n v="0"/>
    <n v="25"/>
    <n v="3"/>
    <n v="4"/>
    <n v="1"/>
    <n v="0"/>
    <n v="0"/>
    <n v="0"/>
  </r>
  <r>
    <n v="29"/>
    <s v="No"/>
    <s v="Travel_Rarely"/>
    <n v="694"/>
    <s v="Research &amp; Development"/>
    <n v="1"/>
    <n v="3"/>
    <s v="Life Sciences"/>
    <n v="4"/>
    <s v="Female"/>
    <n v="87"/>
    <n v="2"/>
    <n v="4"/>
    <s v="Research Director"/>
    <n v="4"/>
    <s v="Divorced"/>
    <n v="16124"/>
    <n v="3423"/>
    <n v="3"/>
    <s v="No"/>
    <n v="14"/>
    <n v="3"/>
    <n v="2"/>
    <n v="2"/>
    <n v="9"/>
    <n v="2"/>
    <n v="2"/>
    <n v="7"/>
    <n v="7"/>
    <n v="1"/>
    <n v="7"/>
  </r>
  <r>
    <n v="34"/>
    <s v="No"/>
    <s v="Travel_Rarely"/>
    <n v="1320"/>
    <s v="Research &amp; Development"/>
    <n v="20"/>
    <n v="3"/>
    <s v="Technical Degree"/>
    <n v="3"/>
    <s v="Female"/>
    <n v="89"/>
    <n v="4"/>
    <n v="1"/>
    <s v="Research Scientist"/>
    <n v="3"/>
    <s v="Married"/>
    <n v="2585"/>
    <n v="21643"/>
    <n v="0"/>
    <s v="No"/>
    <n v="17"/>
    <n v="3"/>
    <n v="4"/>
    <n v="0"/>
    <n v="2"/>
    <n v="5"/>
    <n v="2"/>
    <n v="1"/>
    <n v="0"/>
    <n v="0"/>
    <n v="0"/>
  </r>
  <r>
    <n v="44"/>
    <s v="No"/>
    <s v="Travel_Rarely"/>
    <n v="1099"/>
    <s v="Sales"/>
    <n v="5"/>
    <n v="3"/>
    <s v="Marketing"/>
    <n v="2"/>
    <s v="Male"/>
    <n v="88"/>
    <n v="3"/>
    <n v="5"/>
    <s v="Manager"/>
    <n v="2"/>
    <s v="Married"/>
    <n v="18213"/>
    <n v="8751"/>
    <n v="7"/>
    <s v="No"/>
    <n v="11"/>
    <n v="3"/>
    <n v="3"/>
    <n v="1"/>
    <n v="26"/>
    <n v="5"/>
    <n v="3"/>
    <n v="22"/>
    <n v="9"/>
    <n v="3"/>
    <n v="10"/>
  </r>
  <r>
    <n v="33"/>
    <s v="No"/>
    <s v="Travel_Rarely"/>
    <n v="536"/>
    <s v="Sales"/>
    <n v="10"/>
    <n v="5"/>
    <s v="Marketing"/>
    <n v="4"/>
    <s v="Male"/>
    <n v="82"/>
    <n v="4"/>
    <n v="3"/>
    <s v="Sales Executive"/>
    <n v="3"/>
    <s v="Divorced"/>
    <n v="8380"/>
    <n v="21708"/>
    <n v="0"/>
    <s v="Yes"/>
    <n v="14"/>
    <n v="3"/>
    <n v="4"/>
    <n v="2"/>
    <n v="10"/>
    <n v="3"/>
    <n v="3"/>
    <n v="9"/>
    <n v="8"/>
    <n v="0"/>
    <n v="8"/>
  </r>
  <r>
    <n v="19"/>
    <s v="No"/>
    <s v="Travel_Rarely"/>
    <n v="265"/>
    <s v="Research &amp; Development"/>
    <n v="25"/>
    <n v="3"/>
    <s v="Life Sciences"/>
    <n v="2"/>
    <s v="Female"/>
    <n v="57"/>
    <n v="4"/>
    <n v="1"/>
    <s v="Research Scientist"/>
    <n v="4"/>
    <s v="Single"/>
    <n v="2994"/>
    <n v="21221"/>
    <n v="1"/>
    <s v="Yes"/>
    <n v="12"/>
    <n v="3"/>
    <n v="4"/>
    <n v="0"/>
    <n v="1"/>
    <n v="2"/>
    <n v="3"/>
    <n v="1"/>
    <n v="0"/>
    <n v="0"/>
    <n v="1"/>
  </r>
  <r>
    <n v="23"/>
    <s v="No"/>
    <s v="Travel_Rarely"/>
    <n v="373"/>
    <s v="Research &amp; Development"/>
    <n v="1"/>
    <n v="2"/>
    <s v="Life Sciences"/>
    <n v="4"/>
    <s v="Male"/>
    <n v="47"/>
    <n v="3"/>
    <n v="1"/>
    <s v="Research Scientist"/>
    <n v="3"/>
    <s v="Married"/>
    <n v="1223"/>
    <n v="16901"/>
    <n v="1"/>
    <s v="No"/>
    <n v="22"/>
    <n v="4"/>
    <n v="4"/>
    <n v="1"/>
    <n v="1"/>
    <n v="2"/>
    <n v="3"/>
    <n v="1"/>
    <n v="0"/>
    <n v="0"/>
    <n v="1"/>
  </r>
  <r>
    <n v="25"/>
    <s v="Yes"/>
    <s v="Travel_Frequently"/>
    <n v="599"/>
    <s v="Sales"/>
    <n v="24"/>
    <n v="1"/>
    <s v="Life Sciences"/>
    <n v="3"/>
    <s v="Male"/>
    <n v="73"/>
    <n v="1"/>
    <n v="1"/>
    <s v="Sales Representative"/>
    <n v="4"/>
    <s v="Single"/>
    <n v="1118"/>
    <n v="8040"/>
    <n v="1"/>
    <s v="Yes"/>
    <n v="14"/>
    <n v="3"/>
    <n v="4"/>
    <n v="0"/>
    <n v="1"/>
    <n v="4"/>
    <n v="3"/>
    <n v="1"/>
    <n v="0"/>
    <n v="1"/>
    <n v="0"/>
  </r>
  <r>
    <n v="26"/>
    <s v="No"/>
    <s v="Travel_Rarely"/>
    <n v="583"/>
    <s v="Research &amp; Development"/>
    <n v="4"/>
    <n v="2"/>
    <s v="Life Sciences"/>
    <n v="3"/>
    <s v="Male"/>
    <n v="53"/>
    <n v="3"/>
    <n v="1"/>
    <s v="Research Scientist"/>
    <n v="4"/>
    <s v="Single"/>
    <n v="2875"/>
    <n v="9973"/>
    <n v="1"/>
    <s v="Yes"/>
    <n v="20"/>
    <n v="4"/>
    <n v="2"/>
    <n v="0"/>
    <n v="8"/>
    <n v="2"/>
    <n v="2"/>
    <n v="8"/>
    <n v="5"/>
    <n v="2"/>
    <n v="2"/>
  </r>
  <r>
    <n v="45"/>
    <s v="Yes"/>
    <s v="Travel_Rarely"/>
    <n v="1449"/>
    <s v="Sales"/>
    <n v="2"/>
    <n v="3"/>
    <s v="Marketing"/>
    <n v="1"/>
    <s v="Female"/>
    <n v="94"/>
    <n v="1"/>
    <n v="5"/>
    <s v="Manager"/>
    <n v="2"/>
    <s v="Single"/>
    <n v="18824"/>
    <n v="2493"/>
    <n v="2"/>
    <s v="Yes"/>
    <n v="16"/>
    <n v="3"/>
    <n v="1"/>
    <n v="0"/>
    <n v="26"/>
    <n v="2"/>
    <n v="3"/>
    <n v="24"/>
    <n v="10"/>
    <n v="1"/>
    <n v="11"/>
  </r>
  <r>
    <n v="55"/>
    <s v="No"/>
    <s v="Non-Travel"/>
    <n v="177"/>
    <s v="Research &amp; Development"/>
    <n v="8"/>
    <n v="1"/>
    <s v="Medical"/>
    <n v="4"/>
    <s v="Male"/>
    <n v="37"/>
    <n v="2"/>
    <n v="4"/>
    <s v="Healthcare Representative"/>
    <n v="2"/>
    <s v="Divorced"/>
    <n v="13577"/>
    <n v="25592"/>
    <n v="1"/>
    <s v="Yes"/>
    <n v="15"/>
    <n v="3"/>
    <n v="4"/>
    <n v="1"/>
    <n v="34"/>
    <n v="3"/>
    <n v="3"/>
    <n v="33"/>
    <n v="9"/>
    <n v="15"/>
    <n v="0"/>
  </r>
  <r>
    <n v="21"/>
    <s v="Yes"/>
    <s v="Travel_Frequently"/>
    <n v="251"/>
    <s v="Research &amp; Development"/>
    <n v="10"/>
    <n v="2"/>
    <s v="Life Sciences"/>
    <n v="1"/>
    <s v="Female"/>
    <n v="45"/>
    <n v="2"/>
    <n v="1"/>
    <s v="Laboratory Technician"/>
    <n v="3"/>
    <s v="Single"/>
    <n v="2625"/>
    <n v="25308"/>
    <n v="1"/>
    <s v="No"/>
    <n v="20"/>
    <n v="4"/>
    <n v="3"/>
    <n v="0"/>
    <n v="2"/>
    <n v="2"/>
    <n v="1"/>
    <n v="2"/>
    <n v="2"/>
    <n v="2"/>
    <n v="2"/>
  </r>
  <r>
    <n v="46"/>
    <s v="No"/>
    <s v="Travel_Rarely"/>
    <n v="168"/>
    <s v="Sales"/>
    <n v="4"/>
    <n v="2"/>
    <s v="Marketing"/>
    <n v="4"/>
    <s v="Female"/>
    <n v="33"/>
    <n v="2"/>
    <n v="5"/>
    <s v="Manager"/>
    <n v="2"/>
    <s v="Married"/>
    <n v="18789"/>
    <n v="9946"/>
    <n v="2"/>
    <s v="No"/>
    <n v="14"/>
    <n v="3"/>
    <n v="3"/>
    <n v="1"/>
    <n v="26"/>
    <n v="2"/>
    <n v="3"/>
    <n v="11"/>
    <n v="4"/>
    <n v="0"/>
    <n v="8"/>
  </r>
  <r>
    <n v="34"/>
    <s v="No"/>
    <s v="Travel_Rarely"/>
    <n v="131"/>
    <s v="Sales"/>
    <n v="2"/>
    <n v="3"/>
    <s v="Marketing"/>
    <n v="3"/>
    <s v="Female"/>
    <n v="86"/>
    <n v="3"/>
    <n v="2"/>
    <s v="Sales Executive"/>
    <n v="1"/>
    <s v="Single"/>
    <n v="4538"/>
    <n v="6039"/>
    <n v="0"/>
    <s v="Yes"/>
    <n v="12"/>
    <n v="3"/>
    <n v="4"/>
    <n v="0"/>
    <n v="4"/>
    <n v="3"/>
    <n v="3"/>
    <n v="3"/>
    <n v="2"/>
    <n v="0"/>
    <n v="2"/>
  </r>
  <r>
    <n v="51"/>
    <s v="No"/>
    <s v="Travel_Frequently"/>
    <n v="237"/>
    <s v="Sales"/>
    <n v="9"/>
    <n v="3"/>
    <s v="Life Sciences"/>
    <n v="4"/>
    <s v="Male"/>
    <n v="83"/>
    <n v="3"/>
    <n v="5"/>
    <s v="Manager"/>
    <n v="2"/>
    <s v="Divorced"/>
    <n v="19847"/>
    <n v="19196"/>
    <n v="4"/>
    <s v="Yes"/>
    <n v="24"/>
    <n v="4"/>
    <n v="1"/>
    <n v="1"/>
    <n v="31"/>
    <n v="5"/>
    <n v="2"/>
    <n v="29"/>
    <n v="10"/>
    <n v="11"/>
    <n v="10"/>
  </r>
  <r>
    <n v="59"/>
    <s v="No"/>
    <s v="Travel_Rarely"/>
    <n v="1429"/>
    <s v="Research &amp; Development"/>
    <n v="18"/>
    <n v="4"/>
    <s v="Medical"/>
    <n v="4"/>
    <s v="Male"/>
    <n v="67"/>
    <n v="3"/>
    <n v="3"/>
    <s v="Manufacturing Director"/>
    <n v="4"/>
    <s v="Single"/>
    <n v="10512"/>
    <n v="20002"/>
    <n v="6"/>
    <s v="No"/>
    <n v="12"/>
    <n v="3"/>
    <n v="4"/>
    <n v="0"/>
    <n v="25"/>
    <n v="6"/>
    <n v="2"/>
    <n v="9"/>
    <n v="7"/>
    <n v="5"/>
    <n v="4"/>
  </r>
  <r>
    <n v="34"/>
    <s v="No"/>
    <s v="Travel_Frequently"/>
    <n v="135"/>
    <s v="Research &amp; Development"/>
    <n v="19"/>
    <n v="3"/>
    <s v="Medical"/>
    <n v="3"/>
    <s v="Female"/>
    <n v="46"/>
    <n v="3"/>
    <n v="2"/>
    <s v="Laboratory Technician"/>
    <n v="2"/>
    <s v="Divorced"/>
    <n v="4444"/>
    <n v="22534"/>
    <n v="4"/>
    <s v="No"/>
    <n v="13"/>
    <n v="3"/>
    <n v="3"/>
    <n v="2"/>
    <n v="15"/>
    <n v="2"/>
    <n v="4"/>
    <n v="11"/>
    <n v="8"/>
    <n v="5"/>
    <n v="10"/>
  </r>
  <r>
    <n v="28"/>
    <s v="No"/>
    <s v="Travel_Frequently"/>
    <n v="791"/>
    <s v="Research &amp; Development"/>
    <n v="1"/>
    <n v="4"/>
    <s v="Medical"/>
    <n v="4"/>
    <s v="Male"/>
    <n v="44"/>
    <n v="3"/>
    <n v="1"/>
    <s v="Laboratory Technician"/>
    <n v="3"/>
    <s v="Single"/>
    <n v="2154"/>
    <n v="6842"/>
    <n v="0"/>
    <s v="Yes"/>
    <n v="11"/>
    <n v="3"/>
    <n v="3"/>
    <n v="0"/>
    <n v="5"/>
    <n v="2"/>
    <n v="2"/>
    <n v="4"/>
    <n v="2"/>
    <n v="0"/>
    <n v="2"/>
  </r>
  <r>
    <n v="44"/>
    <s v="No"/>
    <s v="Travel_Rarely"/>
    <n v="1199"/>
    <s v="Research &amp; Development"/>
    <n v="4"/>
    <n v="2"/>
    <s v="Life Sciences"/>
    <n v="3"/>
    <s v="Male"/>
    <n v="92"/>
    <n v="4"/>
    <n v="5"/>
    <s v="Manager"/>
    <n v="1"/>
    <s v="Divorced"/>
    <n v="19190"/>
    <n v="17477"/>
    <n v="1"/>
    <s v="No"/>
    <n v="14"/>
    <n v="3"/>
    <n v="4"/>
    <n v="2"/>
    <n v="26"/>
    <n v="4"/>
    <n v="2"/>
    <n v="25"/>
    <n v="9"/>
    <n v="14"/>
    <n v="13"/>
  </r>
  <r>
    <n v="34"/>
    <s v="No"/>
    <s v="Travel_Frequently"/>
    <n v="648"/>
    <s v="Human Resources"/>
    <n v="11"/>
    <n v="3"/>
    <s v="Life Sciences"/>
    <n v="3"/>
    <s v="Male"/>
    <n v="56"/>
    <n v="2"/>
    <n v="2"/>
    <s v="Human Resources"/>
    <n v="2"/>
    <s v="Married"/>
    <n v="4490"/>
    <n v="21833"/>
    <n v="4"/>
    <s v="No"/>
    <n v="11"/>
    <n v="3"/>
    <n v="4"/>
    <n v="2"/>
    <n v="14"/>
    <n v="5"/>
    <n v="4"/>
    <n v="10"/>
    <n v="9"/>
    <n v="1"/>
    <n v="8"/>
  </r>
  <r>
    <n v="35"/>
    <s v="No"/>
    <s v="Travel_Rarely"/>
    <n v="735"/>
    <s v="Research &amp; Development"/>
    <n v="6"/>
    <n v="1"/>
    <s v="Life Sciences"/>
    <n v="3"/>
    <s v="Male"/>
    <n v="66"/>
    <n v="3"/>
    <n v="1"/>
    <s v="Research Scientist"/>
    <n v="3"/>
    <s v="Married"/>
    <n v="3506"/>
    <n v="6020"/>
    <n v="0"/>
    <s v="Yes"/>
    <n v="14"/>
    <n v="3"/>
    <n v="4"/>
    <n v="0"/>
    <n v="4"/>
    <n v="3"/>
    <n v="3"/>
    <n v="3"/>
    <n v="2"/>
    <n v="2"/>
    <n v="2"/>
  </r>
  <r>
    <n v="42"/>
    <s v="No"/>
    <s v="Travel_Rarely"/>
    <n v="603"/>
    <s v="Research &amp; Development"/>
    <n v="7"/>
    <n v="4"/>
    <s v="Medical"/>
    <n v="2"/>
    <s v="Female"/>
    <n v="78"/>
    <n v="4"/>
    <n v="2"/>
    <s v="Research Scientist"/>
    <n v="2"/>
    <s v="Married"/>
    <n v="2372"/>
    <n v="5628"/>
    <n v="6"/>
    <s v="Yes"/>
    <n v="16"/>
    <n v="3"/>
    <n v="4"/>
    <n v="0"/>
    <n v="18"/>
    <n v="2"/>
    <n v="3"/>
    <n v="1"/>
    <n v="0"/>
    <n v="0"/>
    <n v="0"/>
  </r>
  <r>
    <n v="43"/>
    <s v="No"/>
    <s v="Travel_Rarely"/>
    <n v="531"/>
    <s v="Sales"/>
    <n v="4"/>
    <n v="4"/>
    <s v="Marketing"/>
    <n v="4"/>
    <s v="Female"/>
    <n v="56"/>
    <n v="2"/>
    <n v="3"/>
    <s v="Sales Executive"/>
    <n v="4"/>
    <s v="Single"/>
    <n v="10231"/>
    <n v="20364"/>
    <n v="3"/>
    <s v="No"/>
    <n v="14"/>
    <n v="3"/>
    <n v="4"/>
    <n v="0"/>
    <n v="23"/>
    <n v="3"/>
    <n v="4"/>
    <n v="21"/>
    <n v="7"/>
    <n v="15"/>
    <n v="17"/>
  </r>
  <r>
    <n v="36"/>
    <s v="No"/>
    <s v="Travel_Rarely"/>
    <n v="429"/>
    <s v="Research &amp; Development"/>
    <n v="2"/>
    <n v="4"/>
    <s v="Life Sciences"/>
    <n v="3"/>
    <s v="Female"/>
    <n v="53"/>
    <n v="3"/>
    <n v="2"/>
    <s v="Manufacturing Director"/>
    <n v="2"/>
    <s v="Single"/>
    <n v="5410"/>
    <n v="2323"/>
    <n v="9"/>
    <s v="Yes"/>
    <n v="11"/>
    <n v="3"/>
    <n v="4"/>
    <n v="0"/>
    <n v="18"/>
    <n v="2"/>
    <n v="3"/>
    <n v="16"/>
    <n v="14"/>
    <n v="5"/>
    <n v="12"/>
  </r>
  <r>
    <n v="44"/>
    <s v="Yes"/>
    <s v="Travel_Rarely"/>
    <n v="621"/>
    <s v="Research &amp; Development"/>
    <n v="15"/>
    <n v="3"/>
    <s v="Medical"/>
    <n v="1"/>
    <s v="Female"/>
    <n v="73"/>
    <n v="3"/>
    <n v="3"/>
    <s v="Healthcare Representative"/>
    <n v="4"/>
    <s v="Married"/>
    <n v="7978"/>
    <n v="14075"/>
    <n v="1"/>
    <s v="No"/>
    <n v="11"/>
    <n v="3"/>
    <n v="4"/>
    <n v="1"/>
    <n v="10"/>
    <n v="2"/>
    <n v="3"/>
    <n v="10"/>
    <n v="7"/>
    <n v="0"/>
    <n v="5"/>
  </r>
  <r>
    <n v="28"/>
    <s v="No"/>
    <s v="Travel_Frequently"/>
    <n v="193"/>
    <s v="Research &amp; Development"/>
    <n v="2"/>
    <n v="3"/>
    <s v="Life Sciences"/>
    <n v="4"/>
    <s v="Male"/>
    <n v="52"/>
    <n v="2"/>
    <n v="1"/>
    <s v="Laboratory Technician"/>
    <n v="4"/>
    <s v="Married"/>
    <n v="3867"/>
    <n v="14222"/>
    <n v="1"/>
    <s v="Yes"/>
    <n v="12"/>
    <n v="3"/>
    <n v="2"/>
    <n v="1"/>
    <n v="2"/>
    <n v="2"/>
    <n v="3"/>
    <n v="2"/>
    <n v="2"/>
    <n v="2"/>
    <n v="2"/>
  </r>
  <r>
    <n v="51"/>
    <s v="No"/>
    <s v="Travel_Frequently"/>
    <n v="968"/>
    <s v="Research &amp; Development"/>
    <n v="6"/>
    <n v="2"/>
    <s v="Medical"/>
    <n v="2"/>
    <s v="Female"/>
    <n v="40"/>
    <n v="2"/>
    <n v="1"/>
    <s v="Laboratory Technician"/>
    <n v="3"/>
    <s v="Single"/>
    <n v="2838"/>
    <n v="4257"/>
    <n v="0"/>
    <s v="No"/>
    <n v="14"/>
    <n v="3"/>
    <n v="2"/>
    <n v="0"/>
    <n v="8"/>
    <n v="6"/>
    <n v="2"/>
    <n v="7"/>
    <n v="0"/>
    <n v="7"/>
    <n v="7"/>
  </r>
  <r>
    <n v="30"/>
    <s v="No"/>
    <s v="Non-Travel"/>
    <n v="879"/>
    <s v="Research &amp; Development"/>
    <n v="9"/>
    <n v="2"/>
    <s v="Medical"/>
    <n v="3"/>
    <s v="Female"/>
    <n v="72"/>
    <n v="3"/>
    <n v="2"/>
    <s v="Manufacturing Director"/>
    <n v="3"/>
    <s v="Single"/>
    <n v="4695"/>
    <n v="12858"/>
    <n v="7"/>
    <s v="Yes"/>
    <n v="18"/>
    <n v="3"/>
    <n v="3"/>
    <n v="0"/>
    <n v="10"/>
    <n v="3"/>
    <n v="3"/>
    <n v="8"/>
    <n v="4"/>
    <n v="1"/>
    <n v="7"/>
  </r>
  <r>
    <n v="29"/>
    <s v="Yes"/>
    <s v="Travel_Rarely"/>
    <n v="806"/>
    <s v="Research &amp; Development"/>
    <n v="7"/>
    <n v="3"/>
    <s v="Technical Degree"/>
    <n v="2"/>
    <s v="Female"/>
    <n v="39"/>
    <n v="3"/>
    <n v="1"/>
    <s v="Laboratory Technician"/>
    <n v="3"/>
    <s v="Divorced"/>
    <n v="3339"/>
    <n v="17285"/>
    <n v="3"/>
    <s v="Yes"/>
    <n v="13"/>
    <n v="3"/>
    <n v="1"/>
    <n v="2"/>
    <n v="10"/>
    <n v="2"/>
    <n v="3"/>
    <n v="7"/>
    <n v="7"/>
    <n v="7"/>
    <n v="7"/>
  </r>
  <r>
    <n v="28"/>
    <s v="No"/>
    <s v="Travel_Rarely"/>
    <n v="640"/>
    <s v="Research &amp; Development"/>
    <n v="1"/>
    <n v="3"/>
    <s v="Technical Degree"/>
    <n v="4"/>
    <s v="Male"/>
    <n v="84"/>
    <n v="3"/>
    <n v="1"/>
    <s v="Research Scientist"/>
    <n v="1"/>
    <s v="Single"/>
    <n v="2080"/>
    <n v="4732"/>
    <n v="2"/>
    <s v="No"/>
    <n v="11"/>
    <n v="3"/>
    <n v="2"/>
    <n v="0"/>
    <n v="5"/>
    <n v="2"/>
    <n v="2"/>
    <n v="3"/>
    <n v="2"/>
    <n v="1"/>
    <n v="2"/>
  </r>
  <r>
    <n v="25"/>
    <s v="No"/>
    <s v="Travel_Rarely"/>
    <n v="266"/>
    <s v="Research &amp; Development"/>
    <n v="1"/>
    <n v="3"/>
    <s v="Medical"/>
    <n v="4"/>
    <s v="Female"/>
    <n v="40"/>
    <n v="3"/>
    <n v="1"/>
    <s v="Research Scientist"/>
    <n v="2"/>
    <s v="Single"/>
    <n v="2096"/>
    <n v="18830"/>
    <n v="1"/>
    <s v="No"/>
    <n v="18"/>
    <n v="3"/>
    <n v="4"/>
    <n v="0"/>
    <n v="2"/>
    <n v="3"/>
    <n v="2"/>
    <n v="2"/>
    <n v="2"/>
    <n v="2"/>
    <n v="1"/>
  </r>
  <r>
    <n v="32"/>
    <s v="No"/>
    <s v="Travel_Rarely"/>
    <n v="604"/>
    <s v="Sales"/>
    <n v="8"/>
    <n v="3"/>
    <s v="Medical"/>
    <n v="3"/>
    <s v="Male"/>
    <n v="56"/>
    <n v="4"/>
    <n v="2"/>
    <s v="Sales Executive"/>
    <n v="4"/>
    <s v="Married"/>
    <n v="6209"/>
    <n v="11693"/>
    <n v="1"/>
    <s v="No"/>
    <n v="15"/>
    <n v="3"/>
    <n v="3"/>
    <n v="2"/>
    <n v="10"/>
    <n v="4"/>
    <n v="4"/>
    <n v="10"/>
    <n v="7"/>
    <n v="0"/>
    <n v="8"/>
  </r>
  <r>
    <n v="45"/>
    <s v="No"/>
    <s v="Travel_Frequently"/>
    <n v="364"/>
    <s v="Research &amp; Development"/>
    <n v="25"/>
    <n v="3"/>
    <s v="Medical"/>
    <n v="2"/>
    <s v="Female"/>
    <n v="83"/>
    <n v="3"/>
    <n v="5"/>
    <s v="Manager"/>
    <n v="2"/>
    <s v="Single"/>
    <n v="18061"/>
    <n v="13035"/>
    <n v="3"/>
    <s v="No"/>
    <n v="22"/>
    <n v="4"/>
    <n v="3"/>
    <n v="0"/>
    <n v="22"/>
    <n v="4"/>
    <n v="3"/>
    <n v="0"/>
    <n v="0"/>
    <n v="0"/>
    <n v="0"/>
  </r>
  <r>
    <n v="39"/>
    <s v="No"/>
    <s v="Travel_Rarely"/>
    <n v="412"/>
    <s v="Research &amp; Development"/>
    <n v="13"/>
    <n v="4"/>
    <s v="Medical"/>
    <n v="3"/>
    <s v="Female"/>
    <n v="94"/>
    <n v="2"/>
    <n v="4"/>
    <s v="Manager"/>
    <n v="2"/>
    <s v="Divorced"/>
    <n v="17123"/>
    <n v="17334"/>
    <n v="6"/>
    <s v="Yes"/>
    <n v="13"/>
    <n v="3"/>
    <n v="4"/>
    <n v="2"/>
    <n v="21"/>
    <n v="4"/>
    <n v="3"/>
    <n v="19"/>
    <n v="9"/>
    <n v="15"/>
    <n v="2"/>
  </r>
  <r>
    <n v="58"/>
    <s v="No"/>
    <s v="Travel_Rarely"/>
    <n v="848"/>
    <s v="Research &amp; Development"/>
    <n v="23"/>
    <n v="4"/>
    <s v="Life Sciences"/>
    <n v="1"/>
    <s v="Male"/>
    <n v="88"/>
    <n v="3"/>
    <n v="1"/>
    <s v="Research Scientist"/>
    <n v="3"/>
    <s v="Divorced"/>
    <n v="2372"/>
    <n v="26076"/>
    <n v="1"/>
    <s v="No"/>
    <n v="12"/>
    <n v="3"/>
    <n v="4"/>
    <n v="2"/>
    <n v="2"/>
    <n v="3"/>
    <n v="3"/>
    <n v="2"/>
    <n v="2"/>
    <n v="2"/>
    <n v="2"/>
  </r>
  <r>
    <n v="32"/>
    <s v="Yes"/>
    <s v="Travel_Rarely"/>
    <n v="1089"/>
    <s v="Research &amp; Development"/>
    <n v="7"/>
    <n v="2"/>
    <s v="Life Sciences"/>
    <n v="4"/>
    <s v="Male"/>
    <n v="79"/>
    <n v="3"/>
    <n v="2"/>
    <s v="Laboratory Technician"/>
    <n v="3"/>
    <s v="Married"/>
    <n v="4883"/>
    <n v="22845"/>
    <n v="1"/>
    <s v="No"/>
    <n v="18"/>
    <n v="3"/>
    <n v="1"/>
    <n v="1"/>
    <n v="10"/>
    <n v="3"/>
    <n v="3"/>
    <n v="10"/>
    <n v="4"/>
    <n v="1"/>
    <n v="1"/>
  </r>
  <r>
    <n v="39"/>
    <s v="Yes"/>
    <s v="Travel_Rarely"/>
    <n v="360"/>
    <s v="Research &amp; Development"/>
    <n v="23"/>
    <n v="3"/>
    <s v="Medical"/>
    <n v="3"/>
    <s v="Male"/>
    <n v="93"/>
    <n v="3"/>
    <n v="1"/>
    <s v="Research Scientist"/>
    <n v="1"/>
    <s v="Single"/>
    <n v="3904"/>
    <n v="22154"/>
    <n v="0"/>
    <s v="No"/>
    <n v="13"/>
    <n v="3"/>
    <n v="1"/>
    <n v="0"/>
    <n v="6"/>
    <n v="2"/>
    <n v="3"/>
    <n v="5"/>
    <n v="2"/>
    <n v="0"/>
    <n v="3"/>
  </r>
  <r>
    <n v="30"/>
    <s v="No"/>
    <s v="Travel_Rarely"/>
    <n v="1138"/>
    <s v="Research &amp; Development"/>
    <n v="6"/>
    <n v="3"/>
    <s v="Technical Degree"/>
    <n v="1"/>
    <s v="Female"/>
    <n v="48"/>
    <n v="2"/>
    <n v="2"/>
    <s v="Laboratory Technician"/>
    <n v="4"/>
    <s v="Married"/>
    <n v="4627"/>
    <n v="23631"/>
    <n v="0"/>
    <s v="No"/>
    <n v="12"/>
    <n v="3"/>
    <n v="1"/>
    <n v="1"/>
    <n v="10"/>
    <n v="6"/>
    <n v="3"/>
    <n v="9"/>
    <n v="2"/>
    <n v="6"/>
    <n v="7"/>
  </r>
  <r>
    <n v="36"/>
    <s v="No"/>
    <s v="Travel_Rarely"/>
    <n v="325"/>
    <s v="Research &amp; Development"/>
    <n v="10"/>
    <n v="4"/>
    <s v="Technical Degree"/>
    <n v="4"/>
    <s v="Female"/>
    <n v="63"/>
    <n v="3"/>
    <n v="3"/>
    <s v="Healthcare Representative"/>
    <n v="3"/>
    <s v="Married"/>
    <n v="7094"/>
    <n v="5747"/>
    <n v="3"/>
    <s v="No"/>
    <n v="12"/>
    <n v="3"/>
    <n v="1"/>
    <n v="0"/>
    <n v="10"/>
    <n v="0"/>
    <n v="3"/>
    <n v="7"/>
    <n v="7"/>
    <n v="1"/>
    <n v="7"/>
  </r>
  <r>
    <n v="46"/>
    <s v="No"/>
    <s v="Travel_Rarely"/>
    <n v="991"/>
    <s v="Human Resources"/>
    <n v="1"/>
    <n v="2"/>
    <s v="Life Sciences"/>
    <n v="4"/>
    <s v="Female"/>
    <n v="44"/>
    <n v="3"/>
    <n v="1"/>
    <s v="Human Resources"/>
    <n v="1"/>
    <s v="Single"/>
    <n v="3423"/>
    <n v="22957"/>
    <n v="6"/>
    <s v="No"/>
    <n v="12"/>
    <n v="3"/>
    <n v="3"/>
    <n v="0"/>
    <n v="10"/>
    <n v="3"/>
    <n v="4"/>
    <n v="7"/>
    <n v="6"/>
    <n v="5"/>
    <n v="7"/>
  </r>
  <r>
    <n v="28"/>
    <s v="No"/>
    <s v="Non-Travel"/>
    <n v="1476"/>
    <s v="Research &amp; Development"/>
    <n v="1"/>
    <n v="3"/>
    <s v="Life Sciences"/>
    <n v="3"/>
    <s v="Female"/>
    <n v="55"/>
    <n v="1"/>
    <n v="2"/>
    <s v="Laboratory Technician"/>
    <n v="4"/>
    <s v="Married"/>
    <n v="6674"/>
    <n v="16392"/>
    <n v="0"/>
    <s v="No"/>
    <n v="11"/>
    <n v="3"/>
    <n v="1"/>
    <n v="3"/>
    <n v="10"/>
    <n v="6"/>
    <n v="3"/>
    <n v="9"/>
    <n v="8"/>
    <n v="7"/>
    <n v="5"/>
  </r>
  <r>
    <n v="50"/>
    <s v="No"/>
    <s v="Travel_Rarely"/>
    <n v="1322"/>
    <s v="Research &amp; Development"/>
    <n v="28"/>
    <n v="3"/>
    <s v="Life Sciences"/>
    <n v="4"/>
    <s v="Female"/>
    <n v="43"/>
    <n v="3"/>
    <n v="4"/>
    <s v="Research Director"/>
    <n v="1"/>
    <s v="Married"/>
    <n v="16880"/>
    <n v="22422"/>
    <n v="4"/>
    <s v="Yes"/>
    <n v="11"/>
    <n v="3"/>
    <n v="2"/>
    <n v="0"/>
    <n v="25"/>
    <n v="2"/>
    <n v="3"/>
    <n v="3"/>
    <n v="2"/>
    <n v="1"/>
    <n v="2"/>
  </r>
  <r>
    <n v="40"/>
    <s v="Yes"/>
    <s v="Travel_Rarely"/>
    <n v="299"/>
    <s v="Sales"/>
    <n v="25"/>
    <n v="4"/>
    <s v="Marketing"/>
    <n v="4"/>
    <s v="Male"/>
    <n v="57"/>
    <n v="2"/>
    <n v="3"/>
    <s v="Sales Executive"/>
    <n v="2"/>
    <s v="Single"/>
    <n v="9094"/>
    <n v="17235"/>
    <n v="2"/>
    <s v="Yes"/>
    <n v="12"/>
    <n v="3"/>
    <n v="3"/>
    <n v="0"/>
    <n v="9"/>
    <n v="2"/>
    <n v="3"/>
    <n v="5"/>
    <n v="4"/>
    <n v="1"/>
    <n v="0"/>
  </r>
  <r>
    <n v="52"/>
    <s v="Yes"/>
    <s v="Travel_Rarely"/>
    <n v="1030"/>
    <s v="Sales"/>
    <n v="5"/>
    <n v="3"/>
    <s v="Life Sciences"/>
    <n v="2"/>
    <s v="Male"/>
    <n v="64"/>
    <n v="3"/>
    <n v="3"/>
    <s v="Sales Executive"/>
    <n v="2"/>
    <s v="Single"/>
    <n v="8446"/>
    <n v="21534"/>
    <n v="9"/>
    <s v="Yes"/>
    <n v="19"/>
    <n v="3"/>
    <n v="3"/>
    <n v="0"/>
    <n v="10"/>
    <n v="2"/>
    <n v="2"/>
    <n v="8"/>
    <n v="7"/>
    <n v="7"/>
    <n v="7"/>
  </r>
  <r>
    <n v="30"/>
    <s v="No"/>
    <s v="Travel_Rarely"/>
    <n v="634"/>
    <s v="Research &amp; Development"/>
    <n v="17"/>
    <n v="4"/>
    <s v="Medical"/>
    <n v="2"/>
    <s v="Female"/>
    <n v="95"/>
    <n v="3"/>
    <n v="3"/>
    <s v="Manager"/>
    <n v="1"/>
    <s v="Married"/>
    <n v="11916"/>
    <n v="25927"/>
    <n v="1"/>
    <s v="Yes"/>
    <n v="23"/>
    <n v="4"/>
    <n v="4"/>
    <n v="2"/>
    <n v="9"/>
    <n v="2"/>
    <n v="3"/>
    <n v="9"/>
    <n v="1"/>
    <n v="0"/>
    <n v="8"/>
  </r>
  <r>
    <n v="39"/>
    <s v="No"/>
    <s v="Travel_Rarely"/>
    <n v="524"/>
    <s v="Research &amp; Development"/>
    <n v="18"/>
    <n v="2"/>
    <s v="Life Sciences"/>
    <n v="1"/>
    <s v="Male"/>
    <n v="32"/>
    <n v="3"/>
    <n v="2"/>
    <s v="Manufacturing Director"/>
    <n v="3"/>
    <s v="Single"/>
    <n v="4534"/>
    <n v="13352"/>
    <n v="0"/>
    <s v="No"/>
    <n v="11"/>
    <n v="3"/>
    <n v="1"/>
    <n v="0"/>
    <n v="9"/>
    <n v="6"/>
    <n v="3"/>
    <n v="8"/>
    <n v="7"/>
    <n v="1"/>
    <n v="7"/>
  </r>
  <r>
    <n v="31"/>
    <s v="No"/>
    <s v="Non-Travel"/>
    <n v="587"/>
    <s v="Sales"/>
    <n v="2"/>
    <n v="4"/>
    <s v="Life Sciences"/>
    <n v="4"/>
    <s v="Female"/>
    <n v="57"/>
    <n v="3"/>
    <n v="3"/>
    <s v="Sales Executive"/>
    <n v="3"/>
    <s v="Divorced"/>
    <n v="9852"/>
    <n v="8935"/>
    <n v="1"/>
    <s v="Yes"/>
    <n v="19"/>
    <n v="3"/>
    <n v="1"/>
    <n v="1"/>
    <n v="10"/>
    <n v="5"/>
    <n v="2"/>
    <n v="10"/>
    <n v="8"/>
    <n v="9"/>
    <n v="6"/>
  </r>
  <r>
    <n v="41"/>
    <s v="No"/>
    <s v="Non-Travel"/>
    <n v="256"/>
    <s v="Sales"/>
    <n v="10"/>
    <n v="2"/>
    <s v="Medical"/>
    <n v="3"/>
    <s v="Male"/>
    <n v="40"/>
    <n v="1"/>
    <n v="2"/>
    <s v="Sales Executive"/>
    <n v="2"/>
    <s v="Single"/>
    <n v="6151"/>
    <n v="22074"/>
    <n v="1"/>
    <s v="No"/>
    <n v="13"/>
    <n v="3"/>
    <n v="1"/>
    <n v="0"/>
    <n v="19"/>
    <n v="4"/>
    <n v="3"/>
    <n v="19"/>
    <n v="2"/>
    <n v="11"/>
    <n v="9"/>
  </r>
  <r>
    <n v="31"/>
    <s v="Yes"/>
    <s v="Travel_Frequently"/>
    <n v="1060"/>
    <s v="Sales"/>
    <n v="1"/>
    <n v="3"/>
    <s v="Life Sciences"/>
    <n v="4"/>
    <s v="Female"/>
    <n v="54"/>
    <n v="3"/>
    <n v="1"/>
    <s v="Sales Representative"/>
    <n v="2"/>
    <s v="Single"/>
    <n v="2302"/>
    <n v="8319"/>
    <n v="1"/>
    <s v="Yes"/>
    <n v="11"/>
    <n v="3"/>
    <n v="1"/>
    <n v="0"/>
    <n v="3"/>
    <n v="2"/>
    <n v="4"/>
    <n v="3"/>
    <n v="2"/>
    <n v="2"/>
    <n v="2"/>
  </r>
  <r>
    <n v="44"/>
    <s v="Yes"/>
    <s v="Travel_Rarely"/>
    <n v="935"/>
    <s v="Research &amp; Development"/>
    <n v="3"/>
    <n v="3"/>
    <s v="Life Sciences"/>
    <n v="1"/>
    <s v="Male"/>
    <n v="89"/>
    <n v="3"/>
    <n v="1"/>
    <s v="Laboratory Technician"/>
    <n v="1"/>
    <s v="Married"/>
    <n v="2362"/>
    <n v="14669"/>
    <n v="4"/>
    <s v="No"/>
    <n v="12"/>
    <n v="3"/>
    <n v="3"/>
    <n v="0"/>
    <n v="10"/>
    <n v="4"/>
    <n v="4"/>
    <n v="3"/>
    <n v="2"/>
    <n v="1"/>
    <n v="2"/>
  </r>
  <r>
    <n v="42"/>
    <s v="No"/>
    <s v="Non-Travel"/>
    <n v="495"/>
    <s v="Research &amp; Development"/>
    <n v="2"/>
    <n v="1"/>
    <s v="Life Sciences"/>
    <n v="3"/>
    <s v="Male"/>
    <n v="37"/>
    <n v="3"/>
    <n v="4"/>
    <s v="Manager"/>
    <n v="3"/>
    <s v="Married"/>
    <n v="17861"/>
    <n v="26582"/>
    <n v="0"/>
    <s v="Yes"/>
    <n v="13"/>
    <n v="3"/>
    <n v="4"/>
    <n v="0"/>
    <n v="21"/>
    <n v="3"/>
    <n v="2"/>
    <n v="20"/>
    <n v="8"/>
    <n v="2"/>
    <n v="10"/>
  </r>
  <r>
    <n v="55"/>
    <s v="No"/>
    <s v="Travel_Rarely"/>
    <n v="282"/>
    <s v="Research &amp; Development"/>
    <n v="2"/>
    <n v="2"/>
    <s v="Medical"/>
    <n v="4"/>
    <s v="Female"/>
    <n v="58"/>
    <n v="1"/>
    <n v="5"/>
    <s v="Manager"/>
    <n v="3"/>
    <s v="Married"/>
    <n v="19187"/>
    <n v="6992"/>
    <n v="4"/>
    <s v="No"/>
    <n v="14"/>
    <n v="3"/>
    <n v="4"/>
    <n v="1"/>
    <n v="23"/>
    <n v="5"/>
    <n v="3"/>
    <n v="19"/>
    <n v="9"/>
    <n v="9"/>
    <n v="11"/>
  </r>
  <r>
    <n v="56"/>
    <s v="No"/>
    <s v="Travel_Rarely"/>
    <n v="206"/>
    <s v="Human Resources"/>
    <n v="8"/>
    <n v="4"/>
    <s v="Life Sciences"/>
    <n v="4"/>
    <s v="Male"/>
    <n v="99"/>
    <n v="3"/>
    <n v="5"/>
    <s v="Manager"/>
    <n v="2"/>
    <s v="Single"/>
    <n v="19717"/>
    <n v="4022"/>
    <n v="6"/>
    <s v="No"/>
    <n v="14"/>
    <n v="3"/>
    <n v="1"/>
    <n v="0"/>
    <n v="36"/>
    <n v="4"/>
    <n v="3"/>
    <n v="7"/>
    <n v="3"/>
    <n v="7"/>
    <n v="7"/>
  </r>
  <r>
    <n v="40"/>
    <s v="No"/>
    <s v="Non-Travel"/>
    <n v="458"/>
    <s v="Research &amp; Development"/>
    <n v="16"/>
    <n v="2"/>
    <s v="Life Sciences"/>
    <n v="3"/>
    <s v="Male"/>
    <n v="74"/>
    <n v="3"/>
    <n v="1"/>
    <s v="Research Scientist"/>
    <n v="3"/>
    <s v="Divorced"/>
    <n v="3544"/>
    <n v="8532"/>
    <n v="9"/>
    <s v="No"/>
    <n v="16"/>
    <n v="3"/>
    <n v="2"/>
    <n v="1"/>
    <n v="6"/>
    <n v="0"/>
    <n v="3"/>
    <n v="4"/>
    <n v="2"/>
    <n v="0"/>
    <n v="0"/>
  </r>
  <r>
    <n v="34"/>
    <s v="No"/>
    <s v="Travel_Rarely"/>
    <n v="943"/>
    <s v="Research &amp; Development"/>
    <n v="9"/>
    <n v="3"/>
    <s v="Life Sciences"/>
    <n v="4"/>
    <s v="Male"/>
    <n v="86"/>
    <n v="3"/>
    <n v="3"/>
    <s v="Healthcare Representative"/>
    <n v="4"/>
    <s v="Divorced"/>
    <n v="8500"/>
    <n v="5494"/>
    <n v="0"/>
    <s v="No"/>
    <n v="11"/>
    <n v="3"/>
    <n v="4"/>
    <n v="1"/>
    <n v="10"/>
    <n v="0"/>
    <n v="2"/>
    <n v="9"/>
    <n v="7"/>
    <n v="1"/>
    <n v="6"/>
  </r>
  <r>
    <n v="40"/>
    <s v="No"/>
    <s v="Travel_Rarely"/>
    <n v="523"/>
    <s v="Research &amp; Development"/>
    <n v="2"/>
    <n v="3"/>
    <s v="Life Sciences"/>
    <n v="3"/>
    <s v="Male"/>
    <n v="98"/>
    <n v="3"/>
    <n v="2"/>
    <s v="Research Scientist"/>
    <n v="4"/>
    <s v="Single"/>
    <n v="4661"/>
    <n v="22455"/>
    <n v="1"/>
    <s v="No"/>
    <n v="13"/>
    <n v="3"/>
    <n v="3"/>
    <n v="0"/>
    <n v="9"/>
    <n v="4"/>
    <n v="3"/>
    <n v="9"/>
    <n v="8"/>
    <n v="8"/>
    <n v="8"/>
  </r>
  <r>
    <n v="41"/>
    <s v="No"/>
    <s v="Travel_Frequently"/>
    <n v="1018"/>
    <s v="Sales"/>
    <n v="1"/>
    <n v="3"/>
    <s v="Marketing"/>
    <n v="3"/>
    <s v="Female"/>
    <n v="66"/>
    <n v="3"/>
    <n v="2"/>
    <s v="Sales Executive"/>
    <n v="1"/>
    <s v="Divorced"/>
    <n v="4103"/>
    <n v="4297"/>
    <n v="0"/>
    <s v="No"/>
    <n v="17"/>
    <n v="3"/>
    <n v="4"/>
    <n v="1"/>
    <n v="10"/>
    <n v="2"/>
    <n v="3"/>
    <n v="9"/>
    <n v="3"/>
    <n v="1"/>
    <n v="7"/>
  </r>
  <r>
    <n v="35"/>
    <s v="No"/>
    <s v="Travel_Frequently"/>
    <n v="482"/>
    <s v="Research &amp; Development"/>
    <n v="4"/>
    <n v="4"/>
    <s v="Life Sciences"/>
    <n v="3"/>
    <s v="Male"/>
    <n v="87"/>
    <n v="3"/>
    <n v="2"/>
    <s v="Research Scientist"/>
    <n v="3"/>
    <s v="Single"/>
    <n v="4249"/>
    <n v="2690"/>
    <n v="1"/>
    <s v="Yes"/>
    <n v="11"/>
    <n v="3"/>
    <n v="2"/>
    <n v="0"/>
    <n v="9"/>
    <n v="3"/>
    <n v="3"/>
    <n v="9"/>
    <n v="6"/>
    <n v="1"/>
    <n v="1"/>
  </r>
  <r>
    <n v="51"/>
    <s v="No"/>
    <s v="Travel_Rarely"/>
    <n v="770"/>
    <s v="Human Resources"/>
    <n v="5"/>
    <n v="3"/>
    <s v="Life Sciences"/>
    <n v="3"/>
    <s v="Male"/>
    <n v="84"/>
    <n v="3"/>
    <n v="4"/>
    <s v="Manager"/>
    <n v="2"/>
    <s v="Divorced"/>
    <n v="14026"/>
    <n v="17588"/>
    <n v="1"/>
    <s v="Yes"/>
    <n v="11"/>
    <n v="3"/>
    <n v="2"/>
    <n v="1"/>
    <n v="33"/>
    <n v="2"/>
    <n v="3"/>
    <n v="33"/>
    <n v="9"/>
    <n v="0"/>
    <n v="10"/>
  </r>
  <r>
    <n v="38"/>
    <s v="No"/>
    <s v="Travel_Rarely"/>
    <n v="1009"/>
    <s v="Sales"/>
    <n v="2"/>
    <n v="2"/>
    <s v="Life Sciences"/>
    <n v="2"/>
    <s v="Female"/>
    <n v="31"/>
    <n v="3"/>
    <n v="2"/>
    <s v="Sales Executive"/>
    <n v="1"/>
    <s v="Divorced"/>
    <n v="6893"/>
    <n v="19461"/>
    <n v="3"/>
    <s v="No"/>
    <n v="15"/>
    <n v="3"/>
    <n v="4"/>
    <n v="1"/>
    <n v="11"/>
    <n v="3"/>
    <n v="3"/>
    <n v="7"/>
    <n v="7"/>
    <n v="1"/>
    <n v="7"/>
  </r>
  <r>
    <n v="34"/>
    <s v="No"/>
    <s v="Travel_Rarely"/>
    <n v="507"/>
    <s v="Sales"/>
    <n v="15"/>
    <n v="2"/>
    <s v="Medical"/>
    <n v="3"/>
    <s v="Female"/>
    <n v="66"/>
    <n v="3"/>
    <n v="2"/>
    <s v="Sales Executive"/>
    <n v="1"/>
    <s v="Single"/>
    <n v="6125"/>
    <n v="23553"/>
    <n v="1"/>
    <s v="No"/>
    <n v="12"/>
    <n v="3"/>
    <n v="4"/>
    <n v="0"/>
    <n v="10"/>
    <n v="6"/>
    <n v="4"/>
    <n v="10"/>
    <n v="8"/>
    <n v="9"/>
    <n v="6"/>
  </r>
  <r>
    <n v="25"/>
    <s v="No"/>
    <s v="Travel_Rarely"/>
    <n v="882"/>
    <s v="Research &amp; Development"/>
    <n v="19"/>
    <n v="1"/>
    <s v="Medical"/>
    <n v="4"/>
    <s v="Male"/>
    <n v="67"/>
    <n v="3"/>
    <n v="1"/>
    <s v="Laboratory Technician"/>
    <n v="4"/>
    <s v="Married"/>
    <n v="3669"/>
    <n v="9075"/>
    <n v="3"/>
    <s v="No"/>
    <n v="11"/>
    <n v="3"/>
    <n v="3"/>
    <n v="3"/>
    <n v="7"/>
    <n v="6"/>
    <n v="2"/>
    <n v="3"/>
    <n v="2"/>
    <n v="1"/>
    <n v="2"/>
  </r>
  <r>
    <n v="58"/>
    <s v="Yes"/>
    <s v="Travel_Rarely"/>
    <n v="601"/>
    <s v="Research &amp; Development"/>
    <n v="7"/>
    <n v="4"/>
    <s v="Medical"/>
    <n v="3"/>
    <s v="Female"/>
    <n v="53"/>
    <n v="2"/>
    <n v="3"/>
    <s v="Manufacturing Director"/>
    <n v="1"/>
    <s v="Married"/>
    <n v="10008"/>
    <n v="12023"/>
    <n v="7"/>
    <s v="Yes"/>
    <n v="14"/>
    <n v="3"/>
    <n v="4"/>
    <n v="0"/>
    <n v="31"/>
    <n v="0"/>
    <n v="2"/>
    <n v="10"/>
    <n v="9"/>
    <n v="5"/>
    <n v="9"/>
  </r>
  <r>
    <n v="40"/>
    <s v="No"/>
    <s v="Travel_Rarely"/>
    <n v="329"/>
    <s v="Research &amp; Development"/>
    <n v="1"/>
    <n v="4"/>
    <s v="Life Sciences"/>
    <n v="2"/>
    <s v="Male"/>
    <n v="88"/>
    <n v="3"/>
    <n v="1"/>
    <s v="Laboratory Technician"/>
    <n v="2"/>
    <s v="Married"/>
    <n v="2387"/>
    <n v="6762"/>
    <n v="3"/>
    <s v="No"/>
    <n v="22"/>
    <n v="4"/>
    <n v="3"/>
    <n v="1"/>
    <n v="7"/>
    <n v="3"/>
    <n v="3"/>
    <n v="4"/>
    <n v="2"/>
    <n v="0"/>
    <n v="3"/>
  </r>
  <r>
    <n v="36"/>
    <s v="No"/>
    <s v="Travel_Frequently"/>
    <n v="607"/>
    <s v="Sales"/>
    <n v="7"/>
    <n v="3"/>
    <s v="Marketing"/>
    <n v="1"/>
    <s v="Female"/>
    <n v="83"/>
    <n v="4"/>
    <n v="2"/>
    <s v="Sales Executive"/>
    <n v="1"/>
    <s v="Married"/>
    <n v="4639"/>
    <n v="2261"/>
    <n v="2"/>
    <s v="No"/>
    <n v="16"/>
    <n v="3"/>
    <n v="4"/>
    <n v="1"/>
    <n v="17"/>
    <n v="2"/>
    <n v="2"/>
    <n v="15"/>
    <n v="7"/>
    <n v="6"/>
    <n v="13"/>
  </r>
  <r>
    <n v="48"/>
    <s v="No"/>
    <s v="Travel_Rarely"/>
    <n v="855"/>
    <s v="Research &amp; Development"/>
    <n v="4"/>
    <n v="3"/>
    <s v="Life Sciences"/>
    <n v="4"/>
    <s v="Male"/>
    <n v="54"/>
    <n v="3"/>
    <n v="3"/>
    <s v="Manufacturing Director"/>
    <n v="4"/>
    <s v="Single"/>
    <n v="7898"/>
    <n v="18706"/>
    <n v="1"/>
    <s v="No"/>
    <n v="11"/>
    <n v="3"/>
    <n v="3"/>
    <n v="0"/>
    <n v="11"/>
    <n v="2"/>
    <n v="3"/>
    <n v="10"/>
    <n v="9"/>
    <n v="0"/>
    <n v="8"/>
  </r>
  <r>
    <n v="27"/>
    <s v="No"/>
    <s v="Travel_Rarely"/>
    <n v="1291"/>
    <s v="Sales"/>
    <n v="11"/>
    <n v="3"/>
    <s v="Medical"/>
    <n v="3"/>
    <s v="Female"/>
    <n v="98"/>
    <n v="4"/>
    <n v="1"/>
    <s v="Sales Representative"/>
    <n v="4"/>
    <s v="Married"/>
    <n v="2534"/>
    <n v="6527"/>
    <n v="8"/>
    <s v="No"/>
    <n v="14"/>
    <n v="3"/>
    <n v="2"/>
    <n v="1"/>
    <n v="5"/>
    <n v="4"/>
    <n v="3"/>
    <n v="1"/>
    <n v="0"/>
    <n v="0"/>
    <n v="0"/>
  </r>
  <r>
    <n v="51"/>
    <s v="No"/>
    <s v="Travel_Rarely"/>
    <n v="1405"/>
    <s v="Research &amp; Development"/>
    <n v="11"/>
    <n v="2"/>
    <s v="Technical Degree"/>
    <n v="4"/>
    <s v="Female"/>
    <n v="82"/>
    <n v="2"/>
    <n v="4"/>
    <s v="Manufacturing Director"/>
    <n v="2"/>
    <s v="Single"/>
    <n v="13142"/>
    <n v="24439"/>
    <n v="3"/>
    <s v="No"/>
    <n v="16"/>
    <n v="3"/>
    <n v="2"/>
    <n v="0"/>
    <n v="29"/>
    <n v="1"/>
    <n v="2"/>
    <n v="5"/>
    <n v="2"/>
    <n v="0"/>
    <n v="3"/>
  </r>
  <r>
    <n v="18"/>
    <s v="No"/>
    <s v="Non-Travel"/>
    <n v="1124"/>
    <s v="Research &amp; Development"/>
    <n v="1"/>
    <n v="3"/>
    <s v="Life Sciences"/>
    <n v="4"/>
    <s v="Female"/>
    <n v="97"/>
    <n v="3"/>
    <n v="1"/>
    <s v="Laboratory Technician"/>
    <n v="4"/>
    <s v="Single"/>
    <n v="1611"/>
    <n v="19305"/>
    <n v="1"/>
    <s v="No"/>
    <n v="15"/>
    <n v="3"/>
    <n v="3"/>
    <n v="0"/>
    <n v="0"/>
    <n v="5"/>
    <n v="4"/>
    <n v="0"/>
    <n v="0"/>
    <n v="0"/>
    <n v="0"/>
  </r>
  <r>
    <n v="35"/>
    <s v="No"/>
    <s v="Travel_Rarely"/>
    <n v="817"/>
    <s v="Research &amp; Development"/>
    <n v="1"/>
    <n v="3"/>
    <s v="Medical"/>
    <n v="4"/>
    <s v="Female"/>
    <n v="60"/>
    <n v="2"/>
    <n v="2"/>
    <s v="Laboratory Technician"/>
    <n v="4"/>
    <s v="Married"/>
    <n v="5363"/>
    <n v="10846"/>
    <n v="0"/>
    <s v="No"/>
    <n v="12"/>
    <n v="3"/>
    <n v="2"/>
    <n v="1"/>
    <n v="10"/>
    <n v="0"/>
    <n v="3"/>
    <n v="9"/>
    <n v="7"/>
    <n v="0"/>
    <n v="0"/>
  </r>
  <r>
    <n v="27"/>
    <s v="No"/>
    <s v="Travel_Frequently"/>
    <n v="793"/>
    <s v="Sales"/>
    <n v="2"/>
    <n v="1"/>
    <s v="Life Sciences"/>
    <n v="4"/>
    <s v="Male"/>
    <n v="43"/>
    <n v="1"/>
    <n v="2"/>
    <s v="Sales Executive"/>
    <n v="4"/>
    <s v="Single"/>
    <n v="5071"/>
    <n v="20392"/>
    <n v="3"/>
    <s v="No"/>
    <n v="20"/>
    <n v="4"/>
    <n v="2"/>
    <n v="0"/>
    <n v="8"/>
    <n v="3"/>
    <n v="3"/>
    <n v="6"/>
    <n v="2"/>
    <n v="0"/>
    <n v="0"/>
  </r>
  <r>
    <n v="55"/>
    <s v="Yes"/>
    <s v="Travel_Rarely"/>
    <n v="267"/>
    <s v="Sales"/>
    <n v="13"/>
    <n v="4"/>
    <s v="Marketing"/>
    <n v="1"/>
    <s v="Male"/>
    <n v="85"/>
    <n v="4"/>
    <n v="4"/>
    <s v="Sales Executive"/>
    <n v="3"/>
    <s v="Single"/>
    <n v="13695"/>
    <n v="9277"/>
    <n v="6"/>
    <s v="Yes"/>
    <n v="17"/>
    <n v="3"/>
    <n v="3"/>
    <n v="0"/>
    <n v="24"/>
    <n v="2"/>
    <n v="2"/>
    <n v="19"/>
    <n v="7"/>
    <n v="3"/>
    <n v="8"/>
  </r>
  <r>
    <n v="56"/>
    <s v="No"/>
    <s v="Travel_Rarely"/>
    <n v="1369"/>
    <s v="Research &amp; Development"/>
    <n v="23"/>
    <n v="3"/>
    <s v="Life Sciences"/>
    <n v="4"/>
    <s v="Male"/>
    <n v="68"/>
    <n v="3"/>
    <n v="4"/>
    <s v="Manufacturing Director"/>
    <n v="2"/>
    <s v="Married"/>
    <n v="13402"/>
    <n v="18235"/>
    <n v="4"/>
    <s v="Yes"/>
    <n v="12"/>
    <n v="3"/>
    <n v="1"/>
    <n v="1"/>
    <n v="33"/>
    <n v="0"/>
    <n v="3"/>
    <n v="19"/>
    <n v="16"/>
    <n v="15"/>
    <n v="9"/>
  </r>
  <r>
    <n v="34"/>
    <s v="No"/>
    <s v="Non-Travel"/>
    <n v="999"/>
    <s v="Research &amp; Development"/>
    <n v="26"/>
    <n v="1"/>
    <s v="Technical Degree"/>
    <n v="1"/>
    <s v="Female"/>
    <n v="92"/>
    <n v="2"/>
    <n v="1"/>
    <s v="Research Scientist"/>
    <n v="3"/>
    <s v="Divorced"/>
    <n v="2029"/>
    <n v="15891"/>
    <n v="1"/>
    <s v="No"/>
    <n v="20"/>
    <n v="4"/>
    <n v="3"/>
    <n v="3"/>
    <n v="5"/>
    <n v="2"/>
    <n v="3"/>
    <n v="5"/>
    <n v="4"/>
    <n v="0"/>
    <n v="0"/>
  </r>
  <r>
    <n v="40"/>
    <s v="No"/>
    <s v="Travel_Rarely"/>
    <n v="1202"/>
    <s v="Research &amp; Development"/>
    <n v="2"/>
    <n v="1"/>
    <s v="Medical"/>
    <n v="2"/>
    <s v="Female"/>
    <n v="89"/>
    <n v="4"/>
    <n v="2"/>
    <s v="Healthcare Representative"/>
    <n v="3"/>
    <s v="Divorced"/>
    <n v="6377"/>
    <n v="13888"/>
    <n v="5"/>
    <s v="No"/>
    <n v="20"/>
    <n v="4"/>
    <n v="2"/>
    <n v="3"/>
    <n v="15"/>
    <n v="0"/>
    <n v="3"/>
    <n v="12"/>
    <n v="11"/>
    <n v="11"/>
    <n v="8"/>
  </r>
  <r>
    <n v="34"/>
    <s v="No"/>
    <s v="Travel_Rarely"/>
    <n v="285"/>
    <s v="Research &amp; Development"/>
    <n v="29"/>
    <n v="3"/>
    <s v="Medical"/>
    <n v="2"/>
    <s v="Male"/>
    <n v="86"/>
    <n v="3"/>
    <n v="2"/>
    <s v="Laboratory Technician"/>
    <n v="3"/>
    <s v="Married"/>
    <n v="5429"/>
    <n v="17491"/>
    <n v="4"/>
    <s v="No"/>
    <n v="13"/>
    <n v="3"/>
    <n v="1"/>
    <n v="2"/>
    <n v="10"/>
    <n v="1"/>
    <n v="3"/>
    <n v="8"/>
    <n v="7"/>
    <n v="7"/>
    <n v="7"/>
  </r>
  <r>
    <n v="31"/>
    <s v="Yes"/>
    <s v="Travel_Frequently"/>
    <n v="703"/>
    <s v="Sales"/>
    <n v="2"/>
    <n v="3"/>
    <s v="Life Sciences"/>
    <n v="3"/>
    <s v="Female"/>
    <n v="90"/>
    <n v="2"/>
    <n v="1"/>
    <s v="Sales Representative"/>
    <n v="4"/>
    <s v="Single"/>
    <n v="2785"/>
    <n v="11882"/>
    <n v="7"/>
    <s v="No"/>
    <n v="14"/>
    <n v="3"/>
    <n v="3"/>
    <n v="0"/>
    <n v="3"/>
    <n v="3"/>
    <n v="4"/>
    <n v="1"/>
    <n v="0"/>
    <n v="0"/>
    <n v="0"/>
  </r>
  <r>
    <n v="35"/>
    <s v="Yes"/>
    <s v="Travel_Frequently"/>
    <n v="662"/>
    <s v="Sales"/>
    <n v="18"/>
    <n v="4"/>
    <s v="Marketing"/>
    <n v="4"/>
    <s v="Female"/>
    <n v="67"/>
    <n v="3"/>
    <n v="2"/>
    <s v="Sales Executive"/>
    <n v="3"/>
    <s v="Married"/>
    <n v="4614"/>
    <n v="23288"/>
    <n v="0"/>
    <s v="Yes"/>
    <n v="18"/>
    <n v="3"/>
    <n v="3"/>
    <n v="1"/>
    <n v="5"/>
    <n v="0"/>
    <n v="2"/>
    <n v="4"/>
    <n v="2"/>
    <n v="3"/>
    <n v="2"/>
  </r>
  <r>
    <n v="38"/>
    <s v="No"/>
    <s v="Travel_Frequently"/>
    <n v="693"/>
    <s v="Research &amp; Development"/>
    <n v="7"/>
    <n v="3"/>
    <s v="Life Sciences"/>
    <n v="4"/>
    <s v="Male"/>
    <n v="57"/>
    <n v="4"/>
    <n v="1"/>
    <s v="Research Scientist"/>
    <n v="3"/>
    <s v="Divorced"/>
    <n v="2610"/>
    <n v="15748"/>
    <n v="1"/>
    <s v="No"/>
    <n v="11"/>
    <n v="3"/>
    <n v="4"/>
    <n v="3"/>
    <n v="4"/>
    <n v="2"/>
    <n v="3"/>
    <n v="4"/>
    <n v="2"/>
    <n v="0"/>
    <n v="3"/>
  </r>
  <r>
    <n v="34"/>
    <s v="No"/>
    <s v="Travel_Rarely"/>
    <n v="404"/>
    <s v="Research &amp; Development"/>
    <n v="2"/>
    <n v="4"/>
    <s v="Technical Degree"/>
    <n v="3"/>
    <s v="Female"/>
    <n v="98"/>
    <n v="3"/>
    <n v="2"/>
    <s v="Healthcare Representative"/>
    <n v="4"/>
    <s v="Single"/>
    <n v="6687"/>
    <n v="6163"/>
    <n v="1"/>
    <s v="No"/>
    <n v="11"/>
    <n v="3"/>
    <n v="4"/>
    <n v="0"/>
    <n v="14"/>
    <n v="2"/>
    <n v="4"/>
    <n v="14"/>
    <n v="11"/>
    <n v="4"/>
    <n v="11"/>
  </r>
  <r>
    <n v="28"/>
    <s v="No"/>
    <s v="Travel_Rarely"/>
    <n v="736"/>
    <s v="Sales"/>
    <n v="26"/>
    <n v="3"/>
    <s v="Life Sciences"/>
    <n v="3"/>
    <s v="Male"/>
    <n v="48"/>
    <n v="2"/>
    <n v="2"/>
    <s v="Sales Executive"/>
    <n v="1"/>
    <s v="Married"/>
    <n v="4724"/>
    <n v="24232"/>
    <n v="1"/>
    <s v="No"/>
    <n v="11"/>
    <n v="3"/>
    <n v="3"/>
    <n v="1"/>
    <n v="5"/>
    <n v="0"/>
    <n v="3"/>
    <n v="5"/>
    <n v="3"/>
    <n v="0"/>
    <n v="4"/>
  </r>
  <r>
    <n v="31"/>
    <s v="Yes"/>
    <s v="Travel_Rarely"/>
    <n v="330"/>
    <s v="Research &amp; Development"/>
    <n v="22"/>
    <n v="4"/>
    <s v="Medical"/>
    <n v="4"/>
    <s v="Male"/>
    <n v="98"/>
    <n v="3"/>
    <n v="2"/>
    <s v="Manufacturing Director"/>
    <n v="3"/>
    <s v="Married"/>
    <n v="6179"/>
    <n v="21057"/>
    <n v="1"/>
    <s v="Yes"/>
    <n v="15"/>
    <n v="3"/>
    <n v="4"/>
    <n v="2"/>
    <n v="10"/>
    <n v="3"/>
    <n v="2"/>
    <n v="10"/>
    <n v="2"/>
    <n v="6"/>
    <n v="7"/>
  </r>
  <r>
    <n v="39"/>
    <s v="No"/>
    <s v="Travel_Rarely"/>
    <n v="1498"/>
    <s v="Sales"/>
    <n v="21"/>
    <n v="4"/>
    <s v="Life Sciences"/>
    <n v="1"/>
    <s v="Male"/>
    <n v="44"/>
    <n v="2"/>
    <n v="2"/>
    <s v="Sales Executive"/>
    <n v="4"/>
    <s v="Married"/>
    <n v="6120"/>
    <n v="3567"/>
    <n v="3"/>
    <s v="Yes"/>
    <n v="12"/>
    <n v="3"/>
    <n v="4"/>
    <n v="2"/>
    <n v="8"/>
    <n v="2"/>
    <n v="4"/>
    <n v="5"/>
    <n v="4"/>
    <n v="1"/>
    <n v="4"/>
  </r>
  <r>
    <n v="51"/>
    <s v="No"/>
    <s v="Travel_Frequently"/>
    <n v="541"/>
    <s v="Sales"/>
    <n v="2"/>
    <n v="3"/>
    <s v="Marketing"/>
    <n v="2"/>
    <s v="Male"/>
    <n v="52"/>
    <n v="3"/>
    <n v="3"/>
    <s v="Sales Executive"/>
    <n v="2"/>
    <s v="Married"/>
    <n v="10596"/>
    <n v="15395"/>
    <n v="2"/>
    <s v="No"/>
    <n v="11"/>
    <n v="3"/>
    <n v="2"/>
    <n v="0"/>
    <n v="14"/>
    <n v="5"/>
    <n v="3"/>
    <n v="4"/>
    <n v="2"/>
    <n v="3"/>
    <n v="2"/>
  </r>
  <r>
    <n v="41"/>
    <s v="No"/>
    <s v="Travel_Frequently"/>
    <n v="1200"/>
    <s v="Research &amp; Development"/>
    <n v="22"/>
    <n v="3"/>
    <s v="Life Sciences"/>
    <n v="4"/>
    <s v="Female"/>
    <n v="75"/>
    <n v="3"/>
    <n v="2"/>
    <s v="Research Scientist"/>
    <n v="4"/>
    <s v="Divorced"/>
    <n v="5467"/>
    <n v="13953"/>
    <n v="3"/>
    <s v="Yes"/>
    <n v="14"/>
    <n v="3"/>
    <n v="1"/>
    <n v="2"/>
    <n v="12"/>
    <n v="4"/>
    <n v="2"/>
    <n v="6"/>
    <n v="2"/>
    <n v="3"/>
    <n v="3"/>
  </r>
  <r>
    <n v="37"/>
    <s v="No"/>
    <s v="Travel_Rarely"/>
    <n v="1439"/>
    <s v="Research &amp; Development"/>
    <n v="4"/>
    <n v="1"/>
    <s v="Life Sciences"/>
    <n v="3"/>
    <s v="Male"/>
    <n v="54"/>
    <n v="3"/>
    <n v="1"/>
    <s v="Research Scientist"/>
    <n v="3"/>
    <s v="Married"/>
    <n v="2996"/>
    <n v="5182"/>
    <n v="7"/>
    <s v="Yes"/>
    <n v="15"/>
    <n v="3"/>
    <n v="4"/>
    <n v="0"/>
    <n v="8"/>
    <n v="2"/>
    <n v="3"/>
    <n v="6"/>
    <n v="4"/>
    <n v="1"/>
    <n v="3"/>
  </r>
  <r>
    <n v="33"/>
    <s v="No"/>
    <s v="Travel_Frequently"/>
    <n v="1111"/>
    <s v="Sales"/>
    <n v="5"/>
    <n v="1"/>
    <s v="Life Sciences"/>
    <n v="2"/>
    <s v="Male"/>
    <n v="61"/>
    <n v="3"/>
    <n v="2"/>
    <s v="Sales Executive"/>
    <n v="4"/>
    <s v="Married"/>
    <n v="9998"/>
    <n v="19293"/>
    <n v="6"/>
    <s v="No"/>
    <n v="13"/>
    <n v="3"/>
    <n v="1"/>
    <n v="0"/>
    <n v="8"/>
    <n v="2"/>
    <n v="4"/>
    <n v="5"/>
    <n v="4"/>
    <n v="1"/>
    <n v="2"/>
  </r>
  <r>
    <n v="32"/>
    <s v="No"/>
    <s v="Travel_Rarely"/>
    <n v="499"/>
    <s v="Sales"/>
    <n v="2"/>
    <n v="1"/>
    <s v="Marketing"/>
    <n v="3"/>
    <s v="Male"/>
    <n v="36"/>
    <n v="3"/>
    <n v="2"/>
    <s v="Sales Executive"/>
    <n v="2"/>
    <s v="Married"/>
    <n v="4078"/>
    <n v="20497"/>
    <n v="0"/>
    <s v="Yes"/>
    <n v="13"/>
    <n v="3"/>
    <n v="1"/>
    <n v="3"/>
    <n v="4"/>
    <n v="3"/>
    <n v="2"/>
    <n v="3"/>
    <n v="2"/>
    <n v="1"/>
    <n v="2"/>
  </r>
  <r>
    <n v="39"/>
    <s v="No"/>
    <s v="Non-Travel"/>
    <n v="1485"/>
    <s v="Research &amp; Development"/>
    <n v="25"/>
    <n v="2"/>
    <s v="Life Sciences"/>
    <n v="3"/>
    <s v="Male"/>
    <n v="71"/>
    <n v="3"/>
    <n v="3"/>
    <s v="Healthcare Representative"/>
    <n v="3"/>
    <s v="Married"/>
    <n v="10920"/>
    <n v="3449"/>
    <n v="3"/>
    <s v="No"/>
    <n v="21"/>
    <n v="4"/>
    <n v="2"/>
    <n v="1"/>
    <n v="13"/>
    <n v="2"/>
    <n v="3"/>
    <n v="6"/>
    <n v="4"/>
    <n v="0"/>
    <n v="5"/>
  </r>
  <r>
    <n v="25"/>
    <s v="No"/>
    <s v="Travel_Rarely"/>
    <n v="1372"/>
    <s v="Sales"/>
    <n v="18"/>
    <n v="1"/>
    <s v="Life Sciences"/>
    <n v="1"/>
    <s v="Male"/>
    <n v="93"/>
    <n v="4"/>
    <n v="2"/>
    <s v="Sales Executive"/>
    <n v="3"/>
    <s v="Married"/>
    <n v="6232"/>
    <n v="12477"/>
    <n v="2"/>
    <s v="No"/>
    <n v="11"/>
    <n v="3"/>
    <n v="2"/>
    <n v="0"/>
    <n v="6"/>
    <n v="3"/>
    <n v="2"/>
    <n v="3"/>
    <n v="2"/>
    <n v="1"/>
    <n v="2"/>
  </r>
  <r>
    <n v="52"/>
    <s v="No"/>
    <s v="Travel_Frequently"/>
    <n v="322"/>
    <s v="Research &amp; Development"/>
    <n v="28"/>
    <n v="2"/>
    <s v="Medical"/>
    <n v="4"/>
    <s v="Female"/>
    <n v="59"/>
    <n v="4"/>
    <n v="4"/>
    <s v="Manufacturing Director"/>
    <n v="3"/>
    <s v="Married"/>
    <n v="13247"/>
    <n v="9731"/>
    <n v="2"/>
    <s v="Yes"/>
    <n v="11"/>
    <n v="3"/>
    <n v="2"/>
    <n v="1"/>
    <n v="24"/>
    <n v="3"/>
    <n v="2"/>
    <n v="5"/>
    <n v="3"/>
    <n v="0"/>
    <n v="2"/>
  </r>
  <r>
    <n v="43"/>
    <s v="No"/>
    <s v="Travel_Rarely"/>
    <n v="930"/>
    <s v="Research &amp; Development"/>
    <n v="6"/>
    <n v="3"/>
    <s v="Medical"/>
    <n v="1"/>
    <s v="Female"/>
    <n v="73"/>
    <n v="2"/>
    <n v="2"/>
    <s v="Research Scientist"/>
    <n v="3"/>
    <s v="Single"/>
    <n v="4081"/>
    <n v="20003"/>
    <n v="1"/>
    <s v="Yes"/>
    <n v="14"/>
    <n v="3"/>
    <n v="1"/>
    <n v="0"/>
    <n v="20"/>
    <n v="3"/>
    <n v="1"/>
    <n v="20"/>
    <n v="7"/>
    <n v="1"/>
    <n v="8"/>
  </r>
  <r>
    <n v="27"/>
    <s v="No"/>
    <s v="Travel_Rarely"/>
    <n v="205"/>
    <s v="Sales"/>
    <n v="10"/>
    <n v="3"/>
    <s v="Marketing"/>
    <n v="4"/>
    <s v="Female"/>
    <n v="98"/>
    <n v="2"/>
    <n v="2"/>
    <s v="Sales Executive"/>
    <n v="4"/>
    <s v="Married"/>
    <n v="5769"/>
    <n v="7100"/>
    <n v="1"/>
    <s v="Yes"/>
    <n v="11"/>
    <n v="3"/>
    <n v="4"/>
    <n v="0"/>
    <n v="6"/>
    <n v="3"/>
    <n v="3"/>
    <n v="6"/>
    <n v="2"/>
    <n v="4"/>
    <n v="4"/>
  </r>
  <r>
    <n v="27"/>
    <s v="Yes"/>
    <s v="Travel_Rarely"/>
    <n v="135"/>
    <s v="Research &amp; Development"/>
    <n v="17"/>
    <n v="4"/>
    <s v="Life Sciences"/>
    <n v="4"/>
    <s v="Female"/>
    <n v="51"/>
    <n v="3"/>
    <n v="1"/>
    <s v="Research Scientist"/>
    <n v="3"/>
    <s v="Single"/>
    <n v="2394"/>
    <n v="25681"/>
    <n v="1"/>
    <s v="Yes"/>
    <n v="13"/>
    <n v="3"/>
    <n v="4"/>
    <n v="0"/>
    <n v="8"/>
    <n v="2"/>
    <n v="3"/>
    <n v="8"/>
    <n v="2"/>
    <n v="7"/>
    <n v="7"/>
  </r>
  <r>
    <n v="26"/>
    <s v="No"/>
    <s v="Travel_Rarely"/>
    <n v="683"/>
    <s v="Research &amp; Development"/>
    <n v="2"/>
    <n v="1"/>
    <s v="Medical"/>
    <n v="1"/>
    <s v="Male"/>
    <n v="36"/>
    <n v="2"/>
    <n v="1"/>
    <s v="Research Scientist"/>
    <n v="4"/>
    <s v="Single"/>
    <n v="3904"/>
    <n v="4050"/>
    <n v="0"/>
    <s v="No"/>
    <n v="12"/>
    <n v="3"/>
    <n v="4"/>
    <n v="0"/>
    <n v="5"/>
    <n v="2"/>
    <n v="3"/>
    <n v="4"/>
    <n v="3"/>
    <n v="1"/>
    <n v="1"/>
  </r>
  <r>
    <n v="42"/>
    <s v="No"/>
    <s v="Travel_Rarely"/>
    <n v="1147"/>
    <s v="Human Resources"/>
    <n v="10"/>
    <n v="3"/>
    <s v="Human Resources"/>
    <n v="3"/>
    <s v="Female"/>
    <n v="31"/>
    <n v="3"/>
    <n v="4"/>
    <s v="Manager"/>
    <n v="1"/>
    <s v="Married"/>
    <n v="16799"/>
    <n v="16616"/>
    <n v="0"/>
    <s v="No"/>
    <n v="14"/>
    <n v="3"/>
    <n v="3"/>
    <n v="1"/>
    <n v="21"/>
    <n v="5"/>
    <n v="3"/>
    <n v="20"/>
    <n v="7"/>
    <n v="0"/>
    <n v="9"/>
  </r>
  <r>
    <n v="52"/>
    <s v="No"/>
    <s v="Travel_Rarely"/>
    <n v="258"/>
    <s v="Research &amp; Development"/>
    <n v="8"/>
    <n v="4"/>
    <s v="Other"/>
    <n v="3"/>
    <s v="Female"/>
    <n v="54"/>
    <n v="3"/>
    <n v="1"/>
    <s v="Laboratory Technician"/>
    <n v="1"/>
    <s v="Married"/>
    <n v="2950"/>
    <n v="17363"/>
    <n v="9"/>
    <s v="No"/>
    <n v="13"/>
    <n v="3"/>
    <n v="3"/>
    <n v="0"/>
    <n v="12"/>
    <n v="2"/>
    <n v="1"/>
    <n v="5"/>
    <n v="4"/>
    <n v="0"/>
    <n v="4"/>
  </r>
  <r>
    <n v="37"/>
    <s v="No"/>
    <s v="Travel_Rarely"/>
    <n v="1462"/>
    <s v="Research &amp; Development"/>
    <n v="11"/>
    <n v="3"/>
    <s v="Medical"/>
    <n v="1"/>
    <s v="Female"/>
    <n v="94"/>
    <n v="3"/>
    <n v="1"/>
    <s v="Laboratory Technician"/>
    <n v="3"/>
    <s v="Single"/>
    <n v="3629"/>
    <n v="19106"/>
    <n v="4"/>
    <s v="No"/>
    <n v="18"/>
    <n v="3"/>
    <n v="1"/>
    <n v="0"/>
    <n v="8"/>
    <n v="6"/>
    <n v="3"/>
    <n v="3"/>
    <n v="2"/>
    <n v="0"/>
    <n v="2"/>
  </r>
  <r>
    <n v="35"/>
    <s v="No"/>
    <s v="Travel_Frequently"/>
    <n v="200"/>
    <s v="Research &amp; Development"/>
    <n v="18"/>
    <n v="2"/>
    <s v="Life Sciences"/>
    <n v="3"/>
    <s v="Male"/>
    <n v="60"/>
    <n v="3"/>
    <n v="3"/>
    <s v="Manufacturing Director"/>
    <n v="4"/>
    <s v="Single"/>
    <n v="9362"/>
    <n v="19944"/>
    <n v="2"/>
    <s v="No"/>
    <n v="11"/>
    <n v="3"/>
    <n v="3"/>
    <n v="0"/>
    <n v="10"/>
    <n v="2"/>
    <n v="3"/>
    <n v="2"/>
    <n v="2"/>
    <n v="2"/>
    <n v="2"/>
  </r>
  <r>
    <n v="25"/>
    <s v="No"/>
    <s v="Travel_Rarely"/>
    <n v="949"/>
    <s v="Research &amp; Development"/>
    <n v="1"/>
    <n v="3"/>
    <s v="Technical Degree"/>
    <n v="1"/>
    <s v="Male"/>
    <n v="81"/>
    <n v="3"/>
    <n v="1"/>
    <s v="Laboratory Technician"/>
    <n v="4"/>
    <s v="Married"/>
    <n v="3229"/>
    <n v="4910"/>
    <n v="4"/>
    <s v="No"/>
    <n v="11"/>
    <n v="3"/>
    <n v="2"/>
    <n v="1"/>
    <n v="7"/>
    <n v="2"/>
    <n v="2"/>
    <n v="3"/>
    <n v="2"/>
    <n v="0"/>
    <n v="2"/>
  </r>
  <r>
    <n v="26"/>
    <s v="No"/>
    <s v="Travel_Rarely"/>
    <n v="652"/>
    <s v="Research &amp; Development"/>
    <n v="7"/>
    <n v="3"/>
    <s v="Other"/>
    <n v="3"/>
    <s v="Male"/>
    <n v="100"/>
    <n v="4"/>
    <n v="1"/>
    <s v="Laboratory Technician"/>
    <n v="1"/>
    <s v="Single"/>
    <n v="3578"/>
    <n v="23577"/>
    <n v="0"/>
    <s v="No"/>
    <n v="12"/>
    <n v="3"/>
    <n v="4"/>
    <n v="0"/>
    <n v="8"/>
    <n v="2"/>
    <n v="3"/>
    <n v="7"/>
    <n v="7"/>
    <n v="0"/>
    <n v="7"/>
  </r>
  <r>
    <n v="29"/>
    <s v="No"/>
    <s v="Travel_Rarely"/>
    <n v="332"/>
    <s v="Human Resources"/>
    <n v="17"/>
    <n v="3"/>
    <s v="Other"/>
    <n v="2"/>
    <s v="Male"/>
    <n v="51"/>
    <n v="2"/>
    <n v="3"/>
    <s v="Human Resources"/>
    <n v="1"/>
    <s v="Single"/>
    <n v="7988"/>
    <n v="9769"/>
    <n v="1"/>
    <s v="No"/>
    <n v="13"/>
    <n v="3"/>
    <n v="1"/>
    <n v="0"/>
    <n v="10"/>
    <n v="3"/>
    <n v="2"/>
    <n v="10"/>
    <n v="9"/>
    <n v="0"/>
    <n v="9"/>
  </r>
  <r>
    <n v="49"/>
    <s v="Yes"/>
    <s v="Travel_Frequently"/>
    <n v="1475"/>
    <s v="Research &amp; Development"/>
    <n v="28"/>
    <n v="2"/>
    <s v="Life Sciences"/>
    <n v="1"/>
    <s v="Male"/>
    <n v="97"/>
    <n v="2"/>
    <n v="2"/>
    <s v="Laboratory Technician"/>
    <n v="1"/>
    <s v="Single"/>
    <n v="4284"/>
    <n v="22710"/>
    <n v="3"/>
    <s v="No"/>
    <n v="20"/>
    <n v="4"/>
    <n v="1"/>
    <n v="0"/>
    <n v="20"/>
    <n v="2"/>
    <n v="3"/>
    <n v="4"/>
    <n v="3"/>
    <n v="1"/>
    <n v="3"/>
  </r>
  <r>
    <n v="29"/>
    <s v="Yes"/>
    <s v="Travel_Frequently"/>
    <n v="337"/>
    <s v="Research &amp; Development"/>
    <n v="14"/>
    <n v="1"/>
    <s v="Other"/>
    <n v="3"/>
    <s v="Female"/>
    <n v="84"/>
    <n v="3"/>
    <n v="3"/>
    <s v="Healthcare Representative"/>
    <n v="4"/>
    <s v="Single"/>
    <n v="7553"/>
    <n v="22930"/>
    <n v="0"/>
    <s v="Yes"/>
    <n v="12"/>
    <n v="3"/>
    <n v="1"/>
    <n v="0"/>
    <n v="9"/>
    <n v="1"/>
    <n v="3"/>
    <n v="8"/>
    <n v="7"/>
    <n v="7"/>
    <n v="7"/>
  </r>
  <r>
    <n v="54"/>
    <s v="No"/>
    <s v="Travel_Rarely"/>
    <n v="971"/>
    <s v="Research &amp; Development"/>
    <n v="1"/>
    <n v="3"/>
    <s v="Medical"/>
    <n v="4"/>
    <s v="Female"/>
    <n v="54"/>
    <n v="3"/>
    <n v="4"/>
    <s v="Research Director"/>
    <n v="4"/>
    <s v="Single"/>
    <n v="17328"/>
    <n v="5652"/>
    <n v="6"/>
    <s v="No"/>
    <n v="19"/>
    <n v="3"/>
    <n v="4"/>
    <n v="0"/>
    <n v="29"/>
    <n v="3"/>
    <n v="2"/>
    <n v="20"/>
    <n v="7"/>
    <n v="12"/>
    <n v="7"/>
  </r>
  <r>
    <n v="58"/>
    <s v="No"/>
    <s v="Travel_Rarely"/>
    <n v="1055"/>
    <s v="Research &amp; Development"/>
    <n v="1"/>
    <n v="3"/>
    <s v="Medical"/>
    <n v="4"/>
    <s v="Female"/>
    <n v="76"/>
    <n v="3"/>
    <n v="5"/>
    <s v="Research Director"/>
    <n v="1"/>
    <s v="Married"/>
    <n v="19701"/>
    <n v="22456"/>
    <n v="3"/>
    <s v="Yes"/>
    <n v="21"/>
    <n v="4"/>
    <n v="3"/>
    <n v="1"/>
    <n v="32"/>
    <n v="3"/>
    <n v="3"/>
    <n v="9"/>
    <n v="8"/>
    <n v="1"/>
    <n v="5"/>
  </r>
  <r>
    <n v="55"/>
    <s v="No"/>
    <s v="Travel_Rarely"/>
    <n v="1136"/>
    <s v="Research &amp; Development"/>
    <n v="1"/>
    <n v="4"/>
    <s v="Medical"/>
    <n v="2"/>
    <s v="Male"/>
    <n v="81"/>
    <n v="4"/>
    <n v="4"/>
    <s v="Research Director"/>
    <n v="4"/>
    <s v="Divorced"/>
    <n v="14732"/>
    <n v="12414"/>
    <n v="2"/>
    <s v="No"/>
    <n v="13"/>
    <n v="3"/>
    <n v="4"/>
    <n v="2"/>
    <n v="31"/>
    <n v="4"/>
    <n v="4"/>
    <n v="7"/>
    <n v="7"/>
    <n v="0"/>
    <n v="0"/>
  </r>
  <r>
    <n v="36"/>
    <s v="No"/>
    <s v="Travel_Rarely"/>
    <n v="1174"/>
    <s v="Sales"/>
    <n v="3"/>
    <n v="4"/>
    <s v="Marketing"/>
    <n v="1"/>
    <s v="Female"/>
    <n v="99"/>
    <n v="3"/>
    <n v="2"/>
    <s v="Sales Executive"/>
    <n v="2"/>
    <s v="Single"/>
    <n v="9278"/>
    <n v="20763"/>
    <n v="3"/>
    <s v="Yes"/>
    <n v="16"/>
    <n v="3"/>
    <n v="4"/>
    <n v="0"/>
    <n v="15"/>
    <n v="3"/>
    <n v="3"/>
    <n v="5"/>
    <n v="4"/>
    <n v="0"/>
    <n v="1"/>
  </r>
  <r>
    <n v="31"/>
    <s v="Yes"/>
    <s v="Travel_Frequently"/>
    <n v="667"/>
    <s v="Sales"/>
    <n v="1"/>
    <n v="4"/>
    <s v="Life Sciences"/>
    <n v="2"/>
    <s v="Female"/>
    <n v="50"/>
    <n v="1"/>
    <n v="1"/>
    <s v="Sales Representative"/>
    <n v="3"/>
    <s v="Single"/>
    <n v="1359"/>
    <n v="16154"/>
    <n v="1"/>
    <s v="No"/>
    <n v="12"/>
    <n v="3"/>
    <n v="2"/>
    <n v="0"/>
    <n v="1"/>
    <n v="3"/>
    <n v="3"/>
    <n v="1"/>
    <n v="0"/>
    <n v="0"/>
    <n v="0"/>
  </r>
  <r>
    <n v="30"/>
    <s v="No"/>
    <s v="Travel_Rarely"/>
    <n v="855"/>
    <s v="Sales"/>
    <n v="7"/>
    <n v="4"/>
    <s v="Marketing"/>
    <n v="4"/>
    <s v="Female"/>
    <n v="73"/>
    <n v="3"/>
    <n v="2"/>
    <s v="Sales Executive"/>
    <n v="1"/>
    <s v="Divorced"/>
    <n v="4779"/>
    <n v="12761"/>
    <n v="7"/>
    <s v="No"/>
    <n v="14"/>
    <n v="3"/>
    <n v="2"/>
    <n v="2"/>
    <n v="8"/>
    <n v="3"/>
    <n v="3"/>
    <n v="3"/>
    <n v="2"/>
    <n v="0"/>
    <n v="2"/>
  </r>
  <r>
    <n v="31"/>
    <s v="No"/>
    <s v="Travel_Rarely"/>
    <n v="182"/>
    <s v="Research &amp; Development"/>
    <n v="8"/>
    <n v="5"/>
    <s v="Life Sciences"/>
    <n v="1"/>
    <s v="Female"/>
    <n v="93"/>
    <n v="3"/>
    <n v="4"/>
    <s v="Research Director"/>
    <n v="2"/>
    <s v="Single"/>
    <n v="16422"/>
    <n v="8847"/>
    <n v="3"/>
    <s v="No"/>
    <n v="11"/>
    <n v="3"/>
    <n v="3"/>
    <n v="0"/>
    <n v="9"/>
    <n v="3"/>
    <n v="4"/>
    <n v="3"/>
    <n v="2"/>
    <n v="1"/>
    <n v="0"/>
  </r>
  <r>
    <n v="34"/>
    <s v="No"/>
    <s v="Travel_Frequently"/>
    <n v="560"/>
    <s v="Research &amp; Development"/>
    <n v="1"/>
    <n v="4"/>
    <s v="Other"/>
    <n v="4"/>
    <s v="Male"/>
    <n v="91"/>
    <n v="3"/>
    <n v="1"/>
    <s v="Research Scientist"/>
    <n v="1"/>
    <s v="Divorced"/>
    <n v="2996"/>
    <n v="20284"/>
    <n v="5"/>
    <s v="No"/>
    <n v="14"/>
    <n v="3"/>
    <n v="3"/>
    <n v="2"/>
    <n v="10"/>
    <n v="2"/>
    <n v="3"/>
    <n v="4"/>
    <n v="3"/>
    <n v="1"/>
    <n v="3"/>
  </r>
  <r>
    <n v="31"/>
    <s v="Yes"/>
    <s v="Travel_Rarely"/>
    <n v="202"/>
    <s v="Research &amp; Development"/>
    <n v="8"/>
    <n v="3"/>
    <s v="Life Sciences"/>
    <n v="1"/>
    <s v="Female"/>
    <n v="34"/>
    <n v="2"/>
    <n v="1"/>
    <s v="Research Scientist"/>
    <n v="2"/>
    <s v="Single"/>
    <n v="1261"/>
    <n v="22262"/>
    <n v="1"/>
    <s v="No"/>
    <n v="12"/>
    <n v="3"/>
    <n v="3"/>
    <n v="0"/>
    <n v="1"/>
    <n v="3"/>
    <n v="4"/>
    <n v="1"/>
    <n v="0"/>
    <n v="0"/>
    <n v="0"/>
  </r>
  <r>
    <n v="27"/>
    <s v="No"/>
    <s v="Travel_Rarely"/>
    <n v="1377"/>
    <s v="Research &amp; Development"/>
    <n v="11"/>
    <n v="1"/>
    <s v="Life Sciences"/>
    <n v="2"/>
    <s v="Male"/>
    <n v="91"/>
    <n v="3"/>
    <n v="1"/>
    <s v="Laboratory Technician"/>
    <n v="1"/>
    <s v="Married"/>
    <n v="2099"/>
    <n v="7679"/>
    <n v="0"/>
    <s v="No"/>
    <n v="14"/>
    <n v="3"/>
    <n v="2"/>
    <n v="0"/>
    <n v="6"/>
    <n v="3"/>
    <n v="4"/>
    <n v="5"/>
    <n v="0"/>
    <n v="1"/>
    <n v="4"/>
  </r>
  <r>
    <n v="36"/>
    <s v="No"/>
    <s v="Travel_Rarely"/>
    <n v="172"/>
    <s v="Research &amp; Development"/>
    <n v="4"/>
    <n v="4"/>
    <s v="Life Sciences"/>
    <n v="1"/>
    <s v="Male"/>
    <n v="37"/>
    <n v="2"/>
    <n v="2"/>
    <s v="Laboratory Technician"/>
    <n v="4"/>
    <s v="Single"/>
    <n v="5810"/>
    <n v="22604"/>
    <n v="1"/>
    <s v="No"/>
    <n v="16"/>
    <n v="3"/>
    <n v="3"/>
    <n v="0"/>
    <n v="10"/>
    <n v="2"/>
    <n v="2"/>
    <n v="10"/>
    <n v="4"/>
    <n v="1"/>
    <n v="8"/>
  </r>
  <r>
    <n v="36"/>
    <s v="No"/>
    <s v="Travel_Rarely"/>
    <n v="329"/>
    <s v="Sales"/>
    <n v="16"/>
    <n v="4"/>
    <s v="Marketing"/>
    <n v="3"/>
    <s v="Female"/>
    <n v="98"/>
    <n v="2"/>
    <n v="2"/>
    <s v="Sales Executive"/>
    <n v="1"/>
    <s v="Married"/>
    <n v="5647"/>
    <n v="13494"/>
    <n v="4"/>
    <s v="No"/>
    <n v="13"/>
    <n v="3"/>
    <n v="1"/>
    <n v="2"/>
    <n v="11"/>
    <n v="3"/>
    <n v="2"/>
    <n v="3"/>
    <n v="2"/>
    <n v="0"/>
    <n v="2"/>
  </r>
  <r>
    <n v="47"/>
    <s v="No"/>
    <s v="Travel_Rarely"/>
    <n v="465"/>
    <s v="Research &amp; Development"/>
    <n v="1"/>
    <n v="3"/>
    <s v="Technical Degree"/>
    <n v="1"/>
    <s v="Male"/>
    <n v="74"/>
    <n v="3"/>
    <n v="1"/>
    <s v="Research Scientist"/>
    <n v="4"/>
    <s v="Married"/>
    <n v="3420"/>
    <n v="10205"/>
    <n v="7"/>
    <s v="No"/>
    <n v="12"/>
    <n v="3"/>
    <n v="3"/>
    <n v="1"/>
    <n v="17"/>
    <n v="2"/>
    <n v="2"/>
    <n v="6"/>
    <n v="5"/>
    <n v="1"/>
    <n v="2"/>
  </r>
  <r>
    <n v="25"/>
    <s v="Yes"/>
    <s v="Travel_Rarely"/>
    <n v="383"/>
    <s v="Sales"/>
    <n v="9"/>
    <n v="2"/>
    <s v="Life Sciences"/>
    <n v="1"/>
    <s v="Male"/>
    <n v="68"/>
    <n v="2"/>
    <n v="1"/>
    <s v="Sales Representative"/>
    <n v="1"/>
    <s v="Married"/>
    <n v="4400"/>
    <n v="15182"/>
    <n v="3"/>
    <s v="No"/>
    <n v="12"/>
    <n v="3"/>
    <n v="1"/>
    <n v="0"/>
    <n v="6"/>
    <n v="2"/>
    <n v="3"/>
    <n v="3"/>
    <n v="2"/>
    <n v="2"/>
    <n v="2"/>
  </r>
  <r>
    <n v="37"/>
    <s v="No"/>
    <s v="Non-Travel"/>
    <n v="1413"/>
    <s v="Research &amp; Development"/>
    <n v="5"/>
    <n v="2"/>
    <s v="Technical Degree"/>
    <n v="3"/>
    <s v="Male"/>
    <n v="84"/>
    <n v="4"/>
    <n v="1"/>
    <s v="Laboratory Technician"/>
    <n v="3"/>
    <s v="Single"/>
    <n v="3500"/>
    <n v="25470"/>
    <n v="0"/>
    <s v="No"/>
    <n v="14"/>
    <n v="3"/>
    <n v="1"/>
    <n v="0"/>
    <n v="7"/>
    <n v="2"/>
    <n v="1"/>
    <n v="6"/>
    <n v="5"/>
    <n v="1"/>
    <n v="3"/>
  </r>
  <r>
    <n v="56"/>
    <s v="No"/>
    <s v="Travel_Rarely"/>
    <n v="1255"/>
    <s v="Research &amp; Development"/>
    <n v="1"/>
    <n v="2"/>
    <s v="Life Sciences"/>
    <n v="1"/>
    <s v="Female"/>
    <n v="90"/>
    <n v="3"/>
    <n v="1"/>
    <s v="Research Scientist"/>
    <n v="1"/>
    <s v="Married"/>
    <n v="2066"/>
    <n v="10494"/>
    <n v="2"/>
    <s v="No"/>
    <n v="22"/>
    <n v="4"/>
    <n v="4"/>
    <n v="1"/>
    <n v="5"/>
    <n v="3"/>
    <n v="4"/>
    <n v="3"/>
    <n v="2"/>
    <n v="1"/>
    <n v="0"/>
  </r>
  <r>
    <n v="47"/>
    <s v="No"/>
    <s v="Travel_Rarely"/>
    <n v="359"/>
    <s v="Research &amp; Development"/>
    <n v="2"/>
    <n v="4"/>
    <s v="Medical"/>
    <n v="1"/>
    <s v="Female"/>
    <n v="82"/>
    <n v="3"/>
    <n v="4"/>
    <s v="Research Director"/>
    <n v="3"/>
    <s v="Married"/>
    <n v="17169"/>
    <n v="26703"/>
    <n v="3"/>
    <s v="No"/>
    <n v="19"/>
    <n v="3"/>
    <n v="2"/>
    <n v="2"/>
    <n v="26"/>
    <n v="2"/>
    <n v="4"/>
    <n v="20"/>
    <n v="17"/>
    <n v="5"/>
    <n v="6"/>
  </r>
  <r>
    <n v="24"/>
    <s v="No"/>
    <s v="Travel_Rarely"/>
    <n v="1476"/>
    <s v="Sales"/>
    <n v="4"/>
    <n v="1"/>
    <s v="Medical"/>
    <n v="4"/>
    <s v="Female"/>
    <n v="42"/>
    <n v="3"/>
    <n v="2"/>
    <s v="Sales Executive"/>
    <n v="3"/>
    <s v="Married"/>
    <n v="4162"/>
    <n v="15211"/>
    <n v="1"/>
    <s v="Yes"/>
    <n v="12"/>
    <n v="3"/>
    <n v="3"/>
    <n v="2"/>
    <n v="5"/>
    <n v="3"/>
    <n v="3"/>
    <n v="5"/>
    <n v="4"/>
    <n v="0"/>
    <n v="3"/>
  </r>
  <r>
    <n v="32"/>
    <s v="No"/>
    <s v="Travel_Rarely"/>
    <n v="601"/>
    <s v="Sales"/>
    <n v="7"/>
    <n v="5"/>
    <s v="Marketing"/>
    <n v="4"/>
    <s v="Male"/>
    <n v="97"/>
    <n v="3"/>
    <n v="2"/>
    <s v="Sales Executive"/>
    <n v="4"/>
    <s v="Married"/>
    <n v="9204"/>
    <n v="23343"/>
    <n v="4"/>
    <s v="No"/>
    <n v="12"/>
    <n v="3"/>
    <n v="3"/>
    <n v="1"/>
    <n v="7"/>
    <n v="3"/>
    <n v="2"/>
    <n v="4"/>
    <n v="3"/>
    <n v="0"/>
    <n v="3"/>
  </r>
  <r>
    <n v="34"/>
    <s v="No"/>
    <s v="Travel_Rarely"/>
    <n v="401"/>
    <s v="Research &amp; Development"/>
    <n v="1"/>
    <n v="3"/>
    <s v="Life Sciences"/>
    <n v="4"/>
    <s v="Female"/>
    <n v="86"/>
    <n v="2"/>
    <n v="1"/>
    <s v="Laboratory Technician"/>
    <n v="2"/>
    <s v="Married"/>
    <n v="3294"/>
    <n v="3708"/>
    <n v="5"/>
    <s v="No"/>
    <n v="17"/>
    <n v="3"/>
    <n v="1"/>
    <n v="1"/>
    <n v="7"/>
    <n v="2"/>
    <n v="2"/>
    <n v="5"/>
    <n v="4"/>
    <n v="0"/>
    <n v="2"/>
  </r>
  <r>
    <n v="41"/>
    <s v="No"/>
    <s v="Travel_Rarely"/>
    <n v="1283"/>
    <s v="Research &amp; Development"/>
    <n v="5"/>
    <n v="5"/>
    <s v="Medical"/>
    <n v="2"/>
    <s v="Male"/>
    <n v="90"/>
    <n v="4"/>
    <n v="1"/>
    <s v="Research Scientist"/>
    <n v="3"/>
    <s v="Married"/>
    <n v="2127"/>
    <n v="5561"/>
    <n v="2"/>
    <s v="Yes"/>
    <n v="12"/>
    <n v="3"/>
    <n v="1"/>
    <n v="0"/>
    <n v="7"/>
    <n v="5"/>
    <n v="2"/>
    <n v="4"/>
    <n v="2"/>
    <n v="0"/>
    <n v="3"/>
  </r>
  <r>
    <n v="40"/>
    <s v="No"/>
    <s v="Non-Travel"/>
    <n v="663"/>
    <s v="Research &amp; Development"/>
    <n v="9"/>
    <n v="4"/>
    <s v="Other"/>
    <n v="3"/>
    <s v="Male"/>
    <n v="81"/>
    <n v="3"/>
    <n v="2"/>
    <s v="Laboratory Technician"/>
    <n v="3"/>
    <s v="Divorced"/>
    <n v="3975"/>
    <n v="23099"/>
    <n v="3"/>
    <s v="No"/>
    <n v="11"/>
    <n v="3"/>
    <n v="3"/>
    <n v="2"/>
    <n v="11"/>
    <n v="2"/>
    <n v="4"/>
    <n v="8"/>
    <n v="7"/>
    <n v="0"/>
    <n v="7"/>
  </r>
  <r>
    <n v="31"/>
    <s v="No"/>
    <s v="Travel_Rarely"/>
    <n v="326"/>
    <s v="Sales"/>
    <n v="8"/>
    <n v="2"/>
    <s v="Life Sciences"/>
    <n v="1"/>
    <s v="Male"/>
    <n v="31"/>
    <n v="3"/>
    <n v="3"/>
    <s v="Sales Executive"/>
    <n v="4"/>
    <s v="Divorced"/>
    <n v="10793"/>
    <n v="8386"/>
    <n v="1"/>
    <s v="No"/>
    <n v="18"/>
    <n v="3"/>
    <n v="1"/>
    <n v="1"/>
    <n v="13"/>
    <n v="5"/>
    <n v="3"/>
    <n v="13"/>
    <n v="7"/>
    <n v="9"/>
    <n v="9"/>
  </r>
  <r>
    <n v="46"/>
    <s v="Yes"/>
    <s v="Travel_Rarely"/>
    <n v="377"/>
    <s v="Sales"/>
    <n v="9"/>
    <n v="3"/>
    <s v="Marketing"/>
    <n v="1"/>
    <s v="Male"/>
    <n v="52"/>
    <n v="3"/>
    <n v="3"/>
    <s v="Sales Executive"/>
    <n v="4"/>
    <s v="Divorced"/>
    <n v="10096"/>
    <n v="15986"/>
    <n v="4"/>
    <s v="No"/>
    <n v="11"/>
    <n v="3"/>
    <n v="1"/>
    <n v="1"/>
    <n v="28"/>
    <n v="1"/>
    <n v="4"/>
    <n v="7"/>
    <n v="7"/>
    <n v="4"/>
    <n v="3"/>
  </r>
  <r>
    <n v="39"/>
    <s v="Yes"/>
    <s v="Non-Travel"/>
    <n v="592"/>
    <s v="Research &amp; Development"/>
    <n v="2"/>
    <n v="3"/>
    <s v="Life Sciences"/>
    <n v="1"/>
    <s v="Female"/>
    <n v="54"/>
    <n v="2"/>
    <n v="1"/>
    <s v="Laboratory Technician"/>
    <n v="1"/>
    <s v="Single"/>
    <n v="3646"/>
    <n v="17181"/>
    <n v="2"/>
    <s v="Yes"/>
    <n v="23"/>
    <n v="4"/>
    <n v="2"/>
    <n v="0"/>
    <n v="11"/>
    <n v="2"/>
    <n v="4"/>
    <n v="1"/>
    <n v="0"/>
    <n v="0"/>
    <n v="0"/>
  </r>
  <r>
    <n v="31"/>
    <s v="Yes"/>
    <s v="Travel_Frequently"/>
    <n v="1445"/>
    <s v="Research &amp; Development"/>
    <n v="1"/>
    <n v="5"/>
    <s v="Life Sciences"/>
    <n v="3"/>
    <s v="Female"/>
    <n v="100"/>
    <n v="4"/>
    <n v="3"/>
    <s v="Manufacturing Director"/>
    <n v="2"/>
    <s v="Single"/>
    <n v="7446"/>
    <n v="8931"/>
    <n v="1"/>
    <s v="No"/>
    <n v="11"/>
    <n v="3"/>
    <n v="1"/>
    <n v="0"/>
    <n v="10"/>
    <n v="2"/>
    <n v="3"/>
    <n v="10"/>
    <n v="8"/>
    <n v="4"/>
    <n v="7"/>
  </r>
  <r>
    <n v="45"/>
    <s v="No"/>
    <s v="Travel_Rarely"/>
    <n v="1038"/>
    <s v="Research &amp; Development"/>
    <n v="20"/>
    <n v="3"/>
    <s v="Medical"/>
    <n v="2"/>
    <s v="Male"/>
    <n v="95"/>
    <n v="1"/>
    <n v="3"/>
    <s v="Healthcare Representative"/>
    <n v="1"/>
    <s v="Divorced"/>
    <n v="10851"/>
    <n v="19863"/>
    <n v="2"/>
    <s v="Yes"/>
    <n v="18"/>
    <n v="3"/>
    <n v="2"/>
    <n v="1"/>
    <n v="24"/>
    <n v="2"/>
    <n v="3"/>
    <n v="7"/>
    <n v="7"/>
    <n v="0"/>
    <n v="7"/>
  </r>
  <r>
    <n v="31"/>
    <s v="No"/>
    <s v="Travel_Rarely"/>
    <n v="1398"/>
    <s v="Human Resources"/>
    <n v="8"/>
    <n v="2"/>
    <s v="Medical"/>
    <n v="4"/>
    <s v="Female"/>
    <n v="96"/>
    <n v="4"/>
    <n v="1"/>
    <s v="Human Resources"/>
    <n v="2"/>
    <s v="Single"/>
    <n v="2109"/>
    <n v="24609"/>
    <n v="9"/>
    <s v="No"/>
    <n v="18"/>
    <n v="3"/>
    <n v="4"/>
    <n v="0"/>
    <n v="8"/>
    <n v="3"/>
    <n v="3"/>
    <n v="3"/>
    <n v="2"/>
    <n v="0"/>
    <n v="2"/>
  </r>
  <r>
    <n v="31"/>
    <s v="Yes"/>
    <s v="Travel_Frequently"/>
    <n v="523"/>
    <s v="Research &amp; Development"/>
    <n v="2"/>
    <n v="3"/>
    <s v="Life Sciences"/>
    <n v="2"/>
    <s v="Male"/>
    <n v="94"/>
    <n v="3"/>
    <n v="1"/>
    <s v="Laboratory Technician"/>
    <n v="4"/>
    <s v="Married"/>
    <n v="3722"/>
    <n v="21081"/>
    <n v="6"/>
    <s v="Yes"/>
    <n v="13"/>
    <n v="3"/>
    <n v="3"/>
    <n v="1"/>
    <n v="7"/>
    <n v="2"/>
    <n v="1"/>
    <n v="2"/>
    <n v="2"/>
    <n v="2"/>
    <n v="2"/>
  </r>
  <r>
    <n v="45"/>
    <s v="No"/>
    <s v="Travel_Rarely"/>
    <n v="1448"/>
    <s v="Research &amp; Development"/>
    <n v="29"/>
    <n v="3"/>
    <s v="Technical Degree"/>
    <n v="2"/>
    <s v="Male"/>
    <n v="55"/>
    <n v="3"/>
    <n v="3"/>
    <s v="Manufacturing Director"/>
    <n v="4"/>
    <s v="Married"/>
    <n v="9380"/>
    <n v="14720"/>
    <n v="4"/>
    <s v="Yes"/>
    <n v="18"/>
    <n v="3"/>
    <n v="4"/>
    <n v="2"/>
    <n v="10"/>
    <n v="4"/>
    <n v="4"/>
    <n v="3"/>
    <n v="1"/>
    <n v="1"/>
    <n v="2"/>
  </r>
  <r>
    <n v="48"/>
    <s v="No"/>
    <s v="Travel_Rarely"/>
    <n v="1221"/>
    <s v="Sales"/>
    <n v="7"/>
    <n v="3"/>
    <s v="Marketing"/>
    <n v="3"/>
    <s v="Male"/>
    <n v="96"/>
    <n v="3"/>
    <n v="2"/>
    <s v="Sales Executive"/>
    <n v="1"/>
    <s v="Divorced"/>
    <n v="5486"/>
    <n v="24795"/>
    <n v="4"/>
    <s v="No"/>
    <n v="11"/>
    <n v="3"/>
    <n v="1"/>
    <n v="3"/>
    <n v="15"/>
    <n v="3"/>
    <n v="3"/>
    <n v="2"/>
    <n v="2"/>
    <n v="2"/>
    <n v="2"/>
  </r>
  <r>
    <n v="34"/>
    <s v="Yes"/>
    <s v="Travel_Rarely"/>
    <n v="1107"/>
    <s v="Human Resources"/>
    <n v="9"/>
    <n v="4"/>
    <s v="Technical Degree"/>
    <n v="1"/>
    <s v="Female"/>
    <n v="52"/>
    <n v="3"/>
    <n v="1"/>
    <s v="Human Resources"/>
    <n v="3"/>
    <s v="Married"/>
    <n v="2742"/>
    <n v="3072"/>
    <n v="1"/>
    <s v="No"/>
    <n v="15"/>
    <n v="3"/>
    <n v="4"/>
    <n v="0"/>
    <n v="2"/>
    <n v="0"/>
    <n v="3"/>
    <n v="2"/>
    <n v="2"/>
    <n v="2"/>
    <n v="2"/>
  </r>
  <r>
    <n v="40"/>
    <s v="No"/>
    <s v="Non-Travel"/>
    <n v="218"/>
    <s v="Research &amp; Development"/>
    <n v="8"/>
    <n v="1"/>
    <s v="Medical"/>
    <n v="4"/>
    <s v="Male"/>
    <n v="55"/>
    <n v="2"/>
    <n v="3"/>
    <s v="Research Director"/>
    <n v="2"/>
    <s v="Divorced"/>
    <n v="13757"/>
    <n v="25178"/>
    <n v="2"/>
    <s v="No"/>
    <n v="11"/>
    <n v="3"/>
    <n v="3"/>
    <n v="1"/>
    <n v="16"/>
    <n v="5"/>
    <n v="3"/>
    <n v="9"/>
    <n v="8"/>
    <n v="4"/>
    <n v="8"/>
  </r>
  <r>
    <n v="28"/>
    <s v="No"/>
    <s v="Travel_Rarely"/>
    <n v="866"/>
    <s v="Sales"/>
    <n v="5"/>
    <n v="3"/>
    <s v="Medical"/>
    <n v="4"/>
    <s v="Male"/>
    <n v="84"/>
    <n v="3"/>
    <n v="2"/>
    <s v="Sales Executive"/>
    <n v="1"/>
    <s v="Single"/>
    <n v="8463"/>
    <n v="23490"/>
    <n v="0"/>
    <s v="No"/>
    <n v="18"/>
    <n v="3"/>
    <n v="4"/>
    <n v="0"/>
    <n v="6"/>
    <n v="4"/>
    <n v="3"/>
    <n v="5"/>
    <n v="4"/>
    <n v="1"/>
    <n v="3"/>
  </r>
  <r>
    <n v="44"/>
    <s v="No"/>
    <s v="Non-Travel"/>
    <n v="981"/>
    <s v="Research &amp; Development"/>
    <n v="5"/>
    <n v="3"/>
    <s v="Life Sciences"/>
    <n v="3"/>
    <s v="Male"/>
    <n v="90"/>
    <n v="2"/>
    <n v="1"/>
    <s v="Laboratory Technician"/>
    <n v="3"/>
    <s v="Single"/>
    <n v="3162"/>
    <n v="7973"/>
    <n v="3"/>
    <s v="No"/>
    <n v="14"/>
    <n v="3"/>
    <n v="4"/>
    <n v="0"/>
    <n v="7"/>
    <n v="5"/>
    <n v="3"/>
    <n v="5"/>
    <n v="2"/>
    <n v="0"/>
    <n v="3"/>
  </r>
  <r>
    <n v="53"/>
    <s v="No"/>
    <s v="Travel_Rarely"/>
    <n v="447"/>
    <s v="Research &amp; Development"/>
    <n v="2"/>
    <n v="3"/>
    <s v="Medical"/>
    <n v="4"/>
    <s v="Male"/>
    <n v="39"/>
    <n v="4"/>
    <n v="4"/>
    <s v="Research Director"/>
    <n v="2"/>
    <s v="Single"/>
    <n v="16598"/>
    <n v="19764"/>
    <n v="4"/>
    <s v="No"/>
    <n v="12"/>
    <n v="3"/>
    <n v="2"/>
    <n v="0"/>
    <n v="35"/>
    <n v="2"/>
    <n v="2"/>
    <n v="9"/>
    <n v="8"/>
    <n v="8"/>
    <n v="8"/>
  </r>
  <r>
    <n v="49"/>
    <s v="No"/>
    <s v="Travel_Rarely"/>
    <n v="1495"/>
    <s v="Research &amp; Development"/>
    <n v="5"/>
    <n v="4"/>
    <s v="Technical Degree"/>
    <n v="1"/>
    <s v="Male"/>
    <n v="96"/>
    <n v="3"/>
    <n v="2"/>
    <s v="Healthcare Representative"/>
    <n v="3"/>
    <s v="Married"/>
    <n v="6651"/>
    <n v="21534"/>
    <n v="2"/>
    <s v="No"/>
    <n v="14"/>
    <n v="3"/>
    <n v="2"/>
    <n v="1"/>
    <n v="20"/>
    <n v="0"/>
    <n v="2"/>
    <n v="3"/>
    <n v="2"/>
    <n v="1"/>
    <n v="2"/>
  </r>
  <r>
    <n v="40"/>
    <s v="No"/>
    <s v="Travel_Rarely"/>
    <n v="896"/>
    <s v="Research &amp; Development"/>
    <n v="2"/>
    <n v="3"/>
    <s v="Medical"/>
    <n v="3"/>
    <s v="Male"/>
    <n v="68"/>
    <n v="3"/>
    <n v="1"/>
    <s v="Research Scientist"/>
    <n v="3"/>
    <s v="Divorced"/>
    <n v="2345"/>
    <n v="8045"/>
    <n v="2"/>
    <s v="No"/>
    <n v="14"/>
    <n v="3"/>
    <n v="3"/>
    <n v="1"/>
    <n v="8"/>
    <n v="3"/>
    <n v="4"/>
    <n v="3"/>
    <n v="1"/>
    <n v="1"/>
    <n v="2"/>
  </r>
  <r>
    <n v="44"/>
    <s v="No"/>
    <s v="Travel_Rarely"/>
    <n v="1467"/>
    <s v="Research &amp; Development"/>
    <n v="20"/>
    <n v="3"/>
    <s v="Life Sciences"/>
    <n v="4"/>
    <s v="Male"/>
    <n v="49"/>
    <n v="3"/>
    <n v="1"/>
    <s v="Research Scientist"/>
    <n v="2"/>
    <s v="Single"/>
    <n v="3420"/>
    <n v="21158"/>
    <n v="1"/>
    <s v="No"/>
    <n v="13"/>
    <n v="3"/>
    <n v="3"/>
    <n v="0"/>
    <n v="6"/>
    <n v="3"/>
    <n v="2"/>
    <n v="5"/>
    <n v="2"/>
    <n v="1"/>
    <n v="3"/>
  </r>
  <r>
    <n v="33"/>
    <s v="No"/>
    <s v="Travel_Frequently"/>
    <n v="430"/>
    <s v="Sales"/>
    <n v="7"/>
    <n v="3"/>
    <s v="Medical"/>
    <n v="4"/>
    <s v="Male"/>
    <n v="54"/>
    <n v="3"/>
    <n v="2"/>
    <s v="Sales Executive"/>
    <n v="1"/>
    <s v="Married"/>
    <n v="4373"/>
    <n v="17456"/>
    <n v="0"/>
    <s v="No"/>
    <n v="14"/>
    <n v="3"/>
    <n v="1"/>
    <n v="2"/>
    <n v="5"/>
    <n v="2"/>
    <n v="3"/>
    <n v="4"/>
    <n v="3"/>
    <n v="0"/>
    <n v="3"/>
  </r>
  <r>
    <n v="34"/>
    <s v="No"/>
    <s v="Travel_Rarely"/>
    <n v="1326"/>
    <s v="Sales"/>
    <n v="3"/>
    <n v="3"/>
    <s v="Other"/>
    <n v="4"/>
    <s v="Male"/>
    <n v="81"/>
    <n v="1"/>
    <n v="2"/>
    <s v="Sales Executive"/>
    <n v="1"/>
    <s v="Single"/>
    <n v="4759"/>
    <n v="15891"/>
    <n v="3"/>
    <s v="No"/>
    <n v="18"/>
    <n v="3"/>
    <n v="4"/>
    <n v="0"/>
    <n v="15"/>
    <n v="2"/>
    <n v="3"/>
    <n v="13"/>
    <n v="9"/>
    <n v="3"/>
    <n v="12"/>
  </r>
  <r>
    <n v="30"/>
    <s v="No"/>
    <s v="Travel_Rarely"/>
    <n v="1358"/>
    <s v="Sales"/>
    <n v="16"/>
    <n v="1"/>
    <s v="Life Sciences"/>
    <n v="4"/>
    <s v="Male"/>
    <n v="96"/>
    <n v="3"/>
    <n v="2"/>
    <s v="Sales Executive"/>
    <n v="3"/>
    <s v="Married"/>
    <n v="5301"/>
    <n v="2939"/>
    <n v="8"/>
    <s v="No"/>
    <n v="15"/>
    <n v="3"/>
    <n v="3"/>
    <n v="2"/>
    <n v="4"/>
    <n v="2"/>
    <n v="2"/>
    <n v="2"/>
    <n v="1"/>
    <n v="2"/>
    <n v="2"/>
  </r>
  <r>
    <n v="42"/>
    <s v="No"/>
    <s v="Travel_Frequently"/>
    <n v="748"/>
    <s v="Research &amp; Development"/>
    <n v="9"/>
    <n v="2"/>
    <s v="Medical"/>
    <n v="1"/>
    <s v="Female"/>
    <n v="74"/>
    <n v="3"/>
    <n v="1"/>
    <s v="Laboratory Technician"/>
    <n v="4"/>
    <s v="Single"/>
    <n v="3673"/>
    <n v="16458"/>
    <n v="1"/>
    <s v="No"/>
    <n v="13"/>
    <n v="3"/>
    <n v="3"/>
    <n v="0"/>
    <n v="12"/>
    <n v="3"/>
    <n v="3"/>
    <n v="12"/>
    <n v="9"/>
    <n v="5"/>
    <n v="8"/>
  </r>
  <r>
    <n v="44"/>
    <s v="No"/>
    <s v="Travel_Frequently"/>
    <n v="383"/>
    <s v="Sales"/>
    <n v="1"/>
    <n v="5"/>
    <s v="Marketing"/>
    <n v="1"/>
    <s v="Female"/>
    <n v="79"/>
    <n v="3"/>
    <n v="2"/>
    <s v="Sales Executive"/>
    <n v="3"/>
    <s v="Married"/>
    <n v="4768"/>
    <n v="9282"/>
    <n v="7"/>
    <s v="No"/>
    <n v="12"/>
    <n v="3"/>
    <n v="3"/>
    <n v="1"/>
    <n v="11"/>
    <n v="4"/>
    <n v="2"/>
    <n v="1"/>
    <n v="0"/>
    <n v="0"/>
    <n v="0"/>
  </r>
  <r>
    <n v="30"/>
    <s v="No"/>
    <s v="Non-Travel"/>
    <n v="990"/>
    <s v="Research &amp; Development"/>
    <n v="7"/>
    <n v="3"/>
    <s v="Technical Degree"/>
    <n v="3"/>
    <s v="Male"/>
    <n v="64"/>
    <n v="3"/>
    <n v="1"/>
    <s v="Research Scientist"/>
    <n v="3"/>
    <s v="Divorced"/>
    <n v="1274"/>
    <n v="7152"/>
    <n v="1"/>
    <s v="No"/>
    <n v="13"/>
    <n v="3"/>
    <n v="2"/>
    <n v="2"/>
    <n v="1"/>
    <n v="2"/>
    <n v="2"/>
    <n v="1"/>
    <n v="0"/>
    <n v="0"/>
    <n v="0"/>
  </r>
  <r>
    <n v="57"/>
    <s v="No"/>
    <s v="Travel_Rarely"/>
    <n v="405"/>
    <s v="Research &amp; Development"/>
    <n v="1"/>
    <n v="2"/>
    <s v="Life Sciences"/>
    <n v="2"/>
    <s v="Male"/>
    <n v="93"/>
    <n v="4"/>
    <n v="2"/>
    <s v="Research Scientist"/>
    <n v="3"/>
    <s v="Married"/>
    <n v="4900"/>
    <n v="2721"/>
    <n v="0"/>
    <s v="No"/>
    <n v="24"/>
    <n v="4"/>
    <n v="1"/>
    <n v="1"/>
    <n v="13"/>
    <n v="2"/>
    <n v="2"/>
    <n v="12"/>
    <n v="9"/>
    <n v="2"/>
    <n v="8"/>
  </r>
  <r>
    <n v="49"/>
    <s v="No"/>
    <s v="Travel_Rarely"/>
    <n v="1490"/>
    <s v="Research &amp; Development"/>
    <n v="7"/>
    <n v="4"/>
    <s v="Life Sciences"/>
    <n v="3"/>
    <s v="Male"/>
    <n v="35"/>
    <n v="3"/>
    <n v="3"/>
    <s v="Healthcare Representative"/>
    <n v="2"/>
    <s v="Divorced"/>
    <n v="10466"/>
    <n v="20948"/>
    <n v="3"/>
    <s v="No"/>
    <n v="14"/>
    <n v="3"/>
    <n v="2"/>
    <n v="2"/>
    <n v="29"/>
    <n v="3"/>
    <n v="3"/>
    <n v="8"/>
    <n v="7"/>
    <n v="0"/>
    <n v="7"/>
  </r>
  <r>
    <n v="34"/>
    <s v="No"/>
    <s v="Travel_Frequently"/>
    <n v="829"/>
    <s v="Research &amp; Development"/>
    <n v="15"/>
    <n v="3"/>
    <s v="Medical"/>
    <n v="2"/>
    <s v="Male"/>
    <n v="71"/>
    <n v="3"/>
    <n v="4"/>
    <s v="Research Director"/>
    <n v="1"/>
    <s v="Divorced"/>
    <n v="17007"/>
    <n v="11929"/>
    <n v="7"/>
    <s v="No"/>
    <n v="14"/>
    <n v="3"/>
    <n v="4"/>
    <n v="2"/>
    <n v="16"/>
    <n v="3"/>
    <n v="2"/>
    <n v="14"/>
    <n v="8"/>
    <n v="6"/>
    <n v="9"/>
  </r>
  <r>
    <n v="28"/>
    <s v="Yes"/>
    <s v="Travel_Frequently"/>
    <n v="1496"/>
    <s v="Sales"/>
    <n v="1"/>
    <n v="3"/>
    <s v="Technical Degree"/>
    <n v="1"/>
    <s v="Male"/>
    <n v="92"/>
    <n v="3"/>
    <n v="1"/>
    <s v="Sales Representative"/>
    <n v="3"/>
    <s v="Married"/>
    <n v="2909"/>
    <n v="15747"/>
    <n v="3"/>
    <s v="No"/>
    <n v="15"/>
    <n v="3"/>
    <n v="4"/>
    <n v="1"/>
    <n v="5"/>
    <n v="3"/>
    <n v="4"/>
    <n v="3"/>
    <n v="2"/>
    <n v="1"/>
    <n v="2"/>
  </r>
  <r>
    <n v="29"/>
    <s v="Yes"/>
    <s v="Travel_Frequently"/>
    <n v="115"/>
    <s v="Sales"/>
    <n v="13"/>
    <n v="3"/>
    <s v="Technical Degree"/>
    <n v="1"/>
    <s v="Female"/>
    <n v="51"/>
    <n v="3"/>
    <n v="2"/>
    <s v="Sales Executive"/>
    <n v="2"/>
    <s v="Single"/>
    <n v="5765"/>
    <n v="17485"/>
    <n v="5"/>
    <s v="No"/>
    <n v="11"/>
    <n v="3"/>
    <n v="1"/>
    <n v="0"/>
    <n v="7"/>
    <n v="4"/>
    <n v="1"/>
    <n v="5"/>
    <n v="3"/>
    <n v="0"/>
    <n v="0"/>
  </r>
  <r>
    <n v="34"/>
    <s v="Yes"/>
    <s v="Travel_Rarely"/>
    <n v="790"/>
    <s v="Sales"/>
    <n v="24"/>
    <n v="4"/>
    <s v="Medical"/>
    <n v="1"/>
    <s v="Female"/>
    <n v="40"/>
    <n v="2"/>
    <n v="2"/>
    <s v="Sales Executive"/>
    <n v="2"/>
    <s v="Single"/>
    <n v="4599"/>
    <n v="7815"/>
    <n v="0"/>
    <s v="Yes"/>
    <n v="23"/>
    <n v="4"/>
    <n v="3"/>
    <n v="0"/>
    <n v="16"/>
    <n v="2"/>
    <n v="4"/>
    <n v="15"/>
    <n v="9"/>
    <n v="10"/>
    <n v="10"/>
  </r>
  <r>
    <n v="35"/>
    <s v="No"/>
    <s v="Travel_Rarely"/>
    <n v="660"/>
    <s v="Sales"/>
    <n v="7"/>
    <n v="1"/>
    <s v="Life Sciences"/>
    <n v="4"/>
    <s v="Male"/>
    <n v="76"/>
    <n v="3"/>
    <n v="1"/>
    <s v="Sales Representative"/>
    <n v="3"/>
    <s v="Married"/>
    <n v="2404"/>
    <n v="16192"/>
    <n v="1"/>
    <s v="No"/>
    <n v="13"/>
    <n v="3"/>
    <n v="1"/>
    <n v="1"/>
    <n v="1"/>
    <n v="3"/>
    <n v="3"/>
    <n v="1"/>
    <n v="0"/>
    <n v="0"/>
    <n v="0"/>
  </r>
  <r>
    <n v="24"/>
    <s v="Yes"/>
    <s v="Travel_Frequently"/>
    <n v="381"/>
    <s v="Research &amp; Development"/>
    <n v="9"/>
    <n v="3"/>
    <s v="Medical"/>
    <n v="2"/>
    <s v="Male"/>
    <n v="89"/>
    <n v="3"/>
    <n v="1"/>
    <s v="Laboratory Technician"/>
    <n v="1"/>
    <s v="Single"/>
    <n v="3172"/>
    <n v="16998"/>
    <n v="2"/>
    <s v="Yes"/>
    <n v="11"/>
    <n v="3"/>
    <n v="3"/>
    <n v="0"/>
    <n v="4"/>
    <n v="2"/>
    <n v="2"/>
    <n v="0"/>
    <n v="0"/>
    <n v="0"/>
    <n v="0"/>
  </r>
  <r>
    <n v="24"/>
    <s v="No"/>
    <s v="Non-Travel"/>
    <n v="830"/>
    <s v="Sales"/>
    <n v="13"/>
    <n v="2"/>
    <s v="Life Sciences"/>
    <n v="4"/>
    <s v="Female"/>
    <n v="78"/>
    <n v="3"/>
    <n v="1"/>
    <s v="Sales Representative"/>
    <n v="2"/>
    <s v="Married"/>
    <n v="2033"/>
    <n v="7103"/>
    <n v="1"/>
    <s v="No"/>
    <n v="13"/>
    <n v="3"/>
    <n v="3"/>
    <n v="1"/>
    <n v="1"/>
    <n v="2"/>
    <n v="3"/>
    <n v="1"/>
    <n v="0"/>
    <n v="0"/>
    <n v="0"/>
  </r>
  <r>
    <n v="44"/>
    <s v="No"/>
    <s v="Travel_Frequently"/>
    <n v="1193"/>
    <s v="Research &amp; Development"/>
    <n v="2"/>
    <n v="1"/>
    <s v="Medical"/>
    <n v="2"/>
    <s v="Male"/>
    <n v="86"/>
    <n v="3"/>
    <n v="3"/>
    <s v="Manufacturing Director"/>
    <n v="3"/>
    <s v="Single"/>
    <n v="10209"/>
    <n v="19719"/>
    <n v="5"/>
    <s v="Yes"/>
    <n v="18"/>
    <n v="3"/>
    <n v="2"/>
    <n v="0"/>
    <n v="16"/>
    <n v="2"/>
    <n v="2"/>
    <n v="2"/>
    <n v="2"/>
    <n v="2"/>
    <n v="2"/>
  </r>
  <r>
    <n v="29"/>
    <s v="No"/>
    <s v="Travel_Rarely"/>
    <n v="1246"/>
    <s v="Sales"/>
    <n v="19"/>
    <n v="3"/>
    <s v="Life Sciences"/>
    <n v="3"/>
    <s v="Male"/>
    <n v="77"/>
    <n v="2"/>
    <n v="2"/>
    <s v="Sales Executive"/>
    <n v="3"/>
    <s v="Divorced"/>
    <n v="8620"/>
    <n v="23757"/>
    <n v="1"/>
    <s v="No"/>
    <n v="14"/>
    <n v="3"/>
    <n v="3"/>
    <n v="2"/>
    <n v="10"/>
    <n v="3"/>
    <n v="3"/>
    <n v="10"/>
    <n v="7"/>
    <n v="0"/>
    <n v="4"/>
  </r>
  <r>
    <n v="30"/>
    <s v="No"/>
    <s v="Travel_Rarely"/>
    <n v="330"/>
    <s v="Human Resources"/>
    <n v="1"/>
    <n v="3"/>
    <s v="Life Sciences"/>
    <n v="3"/>
    <s v="Male"/>
    <n v="46"/>
    <n v="3"/>
    <n v="1"/>
    <s v="Human Resources"/>
    <n v="3"/>
    <s v="Divorced"/>
    <n v="2064"/>
    <n v="15428"/>
    <n v="0"/>
    <s v="No"/>
    <n v="21"/>
    <n v="4"/>
    <n v="1"/>
    <n v="1"/>
    <n v="6"/>
    <n v="3"/>
    <n v="4"/>
    <n v="5"/>
    <n v="3"/>
    <n v="1"/>
    <n v="3"/>
  </r>
  <r>
    <n v="55"/>
    <s v="No"/>
    <s v="Travel_Rarely"/>
    <n v="1229"/>
    <s v="Research &amp; Development"/>
    <n v="4"/>
    <n v="4"/>
    <s v="Life Sciences"/>
    <n v="4"/>
    <s v="Male"/>
    <n v="30"/>
    <n v="3"/>
    <n v="2"/>
    <s v="Healthcare Representative"/>
    <n v="3"/>
    <s v="Married"/>
    <n v="4035"/>
    <n v="16143"/>
    <n v="0"/>
    <s v="Yes"/>
    <n v="16"/>
    <n v="3"/>
    <n v="2"/>
    <n v="0"/>
    <n v="4"/>
    <n v="2"/>
    <n v="3"/>
    <n v="3"/>
    <n v="2"/>
    <n v="1"/>
    <n v="2"/>
  </r>
  <r>
    <n v="33"/>
    <s v="No"/>
    <s v="Travel_Rarely"/>
    <n v="1099"/>
    <s v="Research &amp; Development"/>
    <n v="4"/>
    <n v="4"/>
    <s v="Medical"/>
    <n v="1"/>
    <s v="Female"/>
    <n v="82"/>
    <n v="2"/>
    <n v="1"/>
    <s v="Laboratory Technician"/>
    <n v="2"/>
    <s v="Married"/>
    <n v="3838"/>
    <n v="8192"/>
    <n v="8"/>
    <s v="No"/>
    <n v="11"/>
    <n v="3"/>
    <n v="4"/>
    <n v="0"/>
    <n v="8"/>
    <n v="5"/>
    <n v="3"/>
    <n v="5"/>
    <n v="4"/>
    <n v="0"/>
    <n v="2"/>
  </r>
  <r>
    <n v="47"/>
    <s v="No"/>
    <s v="Travel_Rarely"/>
    <n v="571"/>
    <s v="Sales"/>
    <n v="14"/>
    <n v="3"/>
    <s v="Medical"/>
    <n v="3"/>
    <s v="Female"/>
    <n v="78"/>
    <n v="3"/>
    <n v="2"/>
    <s v="Sales Executive"/>
    <n v="3"/>
    <s v="Married"/>
    <n v="4591"/>
    <n v="24200"/>
    <n v="3"/>
    <s v="Yes"/>
    <n v="17"/>
    <n v="3"/>
    <n v="3"/>
    <n v="1"/>
    <n v="11"/>
    <n v="4"/>
    <n v="2"/>
    <n v="5"/>
    <n v="4"/>
    <n v="1"/>
    <n v="2"/>
  </r>
  <r>
    <n v="28"/>
    <s v="Yes"/>
    <s v="Travel_Frequently"/>
    <n v="289"/>
    <s v="Research &amp; Development"/>
    <n v="2"/>
    <n v="2"/>
    <s v="Medical"/>
    <n v="3"/>
    <s v="Male"/>
    <n v="38"/>
    <n v="2"/>
    <n v="1"/>
    <s v="Laboratory Technician"/>
    <n v="1"/>
    <s v="Single"/>
    <n v="2561"/>
    <n v="5355"/>
    <n v="7"/>
    <s v="No"/>
    <n v="11"/>
    <n v="3"/>
    <n v="3"/>
    <n v="0"/>
    <n v="8"/>
    <n v="2"/>
    <n v="2"/>
    <n v="0"/>
    <n v="0"/>
    <n v="0"/>
    <n v="0"/>
  </r>
  <r>
    <n v="28"/>
    <s v="No"/>
    <s v="Travel_Rarely"/>
    <n v="1423"/>
    <s v="Research &amp; Development"/>
    <n v="1"/>
    <n v="3"/>
    <s v="Life Sciences"/>
    <n v="1"/>
    <s v="Male"/>
    <n v="72"/>
    <n v="2"/>
    <n v="1"/>
    <s v="Research Scientist"/>
    <n v="3"/>
    <s v="Divorced"/>
    <n v="1563"/>
    <n v="12530"/>
    <n v="1"/>
    <s v="No"/>
    <n v="14"/>
    <n v="3"/>
    <n v="4"/>
    <n v="1"/>
    <n v="1"/>
    <n v="2"/>
    <n v="1"/>
    <n v="1"/>
    <n v="0"/>
    <n v="0"/>
    <n v="0"/>
  </r>
  <r>
    <n v="28"/>
    <s v="No"/>
    <s v="Travel_Frequently"/>
    <n v="467"/>
    <s v="Sales"/>
    <n v="7"/>
    <n v="3"/>
    <s v="Life Sciences"/>
    <n v="3"/>
    <s v="Male"/>
    <n v="55"/>
    <n v="3"/>
    <n v="2"/>
    <s v="Sales Executive"/>
    <n v="1"/>
    <s v="Single"/>
    <n v="4898"/>
    <n v="11827"/>
    <n v="0"/>
    <s v="No"/>
    <n v="14"/>
    <n v="3"/>
    <n v="4"/>
    <n v="0"/>
    <n v="5"/>
    <n v="5"/>
    <n v="3"/>
    <n v="4"/>
    <n v="2"/>
    <n v="1"/>
    <n v="3"/>
  </r>
  <r>
    <n v="49"/>
    <s v="No"/>
    <s v="Travel_Rarely"/>
    <n v="271"/>
    <s v="Research &amp; Development"/>
    <n v="3"/>
    <n v="2"/>
    <s v="Medical"/>
    <n v="3"/>
    <s v="Female"/>
    <n v="43"/>
    <n v="2"/>
    <n v="2"/>
    <s v="Laboratory Technician"/>
    <n v="1"/>
    <s v="Married"/>
    <n v="4789"/>
    <n v="23070"/>
    <n v="4"/>
    <s v="No"/>
    <n v="25"/>
    <n v="4"/>
    <n v="1"/>
    <n v="1"/>
    <n v="10"/>
    <n v="3"/>
    <n v="3"/>
    <n v="3"/>
    <n v="2"/>
    <n v="1"/>
    <n v="2"/>
  </r>
  <r>
    <n v="29"/>
    <s v="No"/>
    <s v="Travel_Frequently"/>
    <n v="410"/>
    <s v="Research &amp; Development"/>
    <n v="2"/>
    <n v="1"/>
    <s v="Life Sciences"/>
    <n v="4"/>
    <s v="Female"/>
    <n v="97"/>
    <n v="3"/>
    <n v="1"/>
    <s v="Laboratory Technician"/>
    <n v="2"/>
    <s v="Married"/>
    <n v="3180"/>
    <n v="4668"/>
    <n v="0"/>
    <s v="No"/>
    <n v="13"/>
    <n v="3"/>
    <n v="3"/>
    <n v="3"/>
    <n v="4"/>
    <n v="3"/>
    <n v="3"/>
    <n v="3"/>
    <n v="2"/>
    <n v="0"/>
    <n v="2"/>
  </r>
  <r>
    <n v="28"/>
    <s v="No"/>
    <s v="Travel_Rarely"/>
    <n v="1083"/>
    <s v="Research &amp; Development"/>
    <n v="29"/>
    <n v="1"/>
    <s v="Life Sciences"/>
    <n v="3"/>
    <s v="Male"/>
    <n v="96"/>
    <n v="1"/>
    <n v="2"/>
    <s v="Manufacturing Director"/>
    <n v="2"/>
    <s v="Married"/>
    <n v="6549"/>
    <n v="3173"/>
    <n v="1"/>
    <s v="No"/>
    <n v="14"/>
    <n v="3"/>
    <n v="2"/>
    <n v="2"/>
    <n v="8"/>
    <n v="2"/>
    <n v="2"/>
    <n v="8"/>
    <n v="6"/>
    <n v="1"/>
    <n v="7"/>
  </r>
  <r>
    <n v="33"/>
    <s v="No"/>
    <s v="Travel_Rarely"/>
    <n v="516"/>
    <s v="Research &amp; Development"/>
    <n v="8"/>
    <n v="5"/>
    <s v="Life Sciences"/>
    <n v="4"/>
    <s v="Male"/>
    <n v="69"/>
    <n v="3"/>
    <n v="2"/>
    <s v="Healthcare Representative"/>
    <n v="3"/>
    <s v="Single"/>
    <n v="6388"/>
    <n v="22049"/>
    <n v="2"/>
    <s v="Yes"/>
    <n v="17"/>
    <n v="3"/>
    <n v="1"/>
    <n v="0"/>
    <n v="14"/>
    <n v="6"/>
    <n v="3"/>
    <n v="0"/>
    <n v="0"/>
    <n v="0"/>
    <n v="0"/>
  </r>
  <r>
    <n v="32"/>
    <s v="No"/>
    <s v="Travel_Rarely"/>
    <n v="495"/>
    <s v="Research &amp; Development"/>
    <n v="10"/>
    <n v="3"/>
    <s v="Medical"/>
    <n v="3"/>
    <s v="Male"/>
    <n v="64"/>
    <n v="3"/>
    <n v="3"/>
    <s v="Manager"/>
    <n v="4"/>
    <s v="Single"/>
    <n v="11244"/>
    <n v="21072"/>
    <n v="2"/>
    <s v="No"/>
    <n v="25"/>
    <n v="4"/>
    <n v="2"/>
    <n v="0"/>
    <n v="10"/>
    <n v="5"/>
    <n v="4"/>
    <n v="5"/>
    <n v="2"/>
    <n v="0"/>
    <n v="0"/>
  </r>
  <r>
    <n v="54"/>
    <s v="No"/>
    <s v="Travel_Frequently"/>
    <n v="1050"/>
    <s v="Research &amp; Development"/>
    <n v="11"/>
    <n v="4"/>
    <s v="Medical"/>
    <n v="2"/>
    <s v="Female"/>
    <n v="87"/>
    <n v="3"/>
    <n v="4"/>
    <s v="Manager"/>
    <n v="4"/>
    <s v="Divorced"/>
    <n v="16032"/>
    <n v="24456"/>
    <n v="3"/>
    <s v="No"/>
    <n v="20"/>
    <n v="4"/>
    <n v="1"/>
    <n v="1"/>
    <n v="26"/>
    <n v="2"/>
    <n v="3"/>
    <n v="14"/>
    <n v="9"/>
    <n v="1"/>
    <n v="12"/>
  </r>
  <r>
    <n v="29"/>
    <s v="Yes"/>
    <s v="Travel_Rarely"/>
    <n v="224"/>
    <s v="Research &amp; Development"/>
    <n v="1"/>
    <n v="4"/>
    <s v="Technical Degree"/>
    <n v="1"/>
    <s v="Male"/>
    <n v="100"/>
    <n v="2"/>
    <n v="1"/>
    <s v="Research Scientist"/>
    <n v="1"/>
    <s v="Single"/>
    <n v="2362"/>
    <n v="7568"/>
    <n v="6"/>
    <s v="No"/>
    <n v="13"/>
    <n v="3"/>
    <n v="3"/>
    <n v="0"/>
    <n v="11"/>
    <n v="2"/>
    <n v="1"/>
    <n v="9"/>
    <n v="7"/>
    <n v="0"/>
    <n v="7"/>
  </r>
  <r>
    <n v="44"/>
    <s v="No"/>
    <s v="Travel_Rarely"/>
    <n v="136"/>
    <s v="Research &amp; Development"/>
    <n v="28"/>
    <n v="3"/>
    <s v="Life Sciences"/>
    <n v="4"/>
    <s v="Male"/>
    <n v="32"/>
    <n v="3"/>
    <n v="4"/>
    <s v="Research Director"/>
    <n v="1"/>
    <s v="Married"/>
    <n v="16328"/>
    <n v="22074"/>
    <n v="3"/>
    <s v="No"/>
    <n v="13"/>
    <n v="3"/>
    <n v="3"/>
    <n v="1"/>
    <n v="24"/>
    <n v="1"/>
    <n v="4"/>
    <n v="20"/>
    <n v="6"/>
    <n v="14"/>
    <n v="17"/>
  </r>
  <r>
    <n v="39"/>
    <s v="No"/>
    <s v="Travel_Rarely"/>
    <n v="1089"/>
    <s v="Research &amp; Development"/>
    <n v="6"/>
    <n v="3"/>
    <s v="Life Sciences"/>
    <n v="2"/>
    <s v="Female"/>
    <n v="32"/>
    <n v="3"/>
    <n v="3"/>
    <s v="Manufacturing Director"/>
    <n v="2"/>
    <s v="Single"/>
    <n v="8376"/>
    <n v="9150"/>
    <n v="4"/>
    <s v="No"/>
    <n v="18"/>
    <n v="3"/>
    <n v="4"/>
    <n v="0"/>
    <n v="9"/>
    <n v="3"/>
    <n v="3"/>
    <n v="2"/>
    <n v="0"/>
    <n v="2"/>
    <n v="2"/>
  </r>
  <r>
    <n v="46"/>
    <s v="No"/>
    <s v="Travel_Rarely"/>
    <n v="228"/>
    <s v="Sales"/>
    <n v="3"/>
    <n v="3"/>
    <s v="Life Sciences"/>
    <n v="3"/>
    <s v="Female"/>
    <n v="51"/>
    <n v="3"/>
    <n v="4"/>
    <s v="Manager"/>
    <n v="2"/>
    <s v="Married"/>
    <n v="16606"/>
    <n v="11380"/>
    <n v="8"/>
    <s v="No"/>
    <n v="12"/>
    <n v="3"/>
    <n v="4"/>
    <n v="1"/>
    <n v="23"/>
    <n v="2"/>
    <n v="4"/>
    <n v="13"/>
    <n v="12"/>
    <n v="5"/>
    <n v="1"/>
  </r>
  <r>
    <n v="35"/>
    <s v="No"/>
    <s v="Travel_Rarely"/>
    <n v="1029"/>
    <s v="Research &amp; Development"/>
    <n v="16"/>
    <n v="3"/>
    <s v="Life Sciences"/>
    <n v="4"/>
    <s v="Female"/>
    <n v="91"/>
    <n v="2"/>
    <n v="3"/>
    <s v="Healthcare Representative"/>
    <n v="2"/>
    <s v="Single"/>
    <n v="8606"/>
    <n v="21195"/>
    <n v="1"/>
    <s v="No"/>
    <n v="19"/>
    <n v="3"/>
    <n v="4"/>
    <n v="0"/>
    <n v="11"/>
    <n v="3"/>
    <n v="1"/>
    <n v="11"/>
    <n v="8"/>
    <n v="3"/>
    <n v="3"/>
  </r>
  <r>
    <n v="23"/>
    <s v="No"/>
    <s v="Travel_Rarely"/>
    <n v="507"/>
    <s v="Research &amp; Development"/>
    <n v="20"/>
    <n v="1"/>
    <s v="Life Sciences"/>
    <n v="1"/>
    <s v="Male"/>
    <n v="97"/>
    <n v="3"/>
    <n v="2"/>
    <s v="Laboratory Technician"/>
    <n v="3"/>
    <s v="Single"/>
    <n v="2272"/>
    <n v="24812"/>
    <n v="0"/>
    <s v="No"/>
    <n v="14"/>
    <n v="3"/>
    <n v="2"/>
    <n v="0"/>
    <n v="5"/>
    <n v="2"/>
    <n v="3"/>
    <n v="4"/>
    <n v="3"/>
    <n v="1"/>
    <n v="2"/>
  </r>
  <r>
    <n v="40"/>
    <s v="Yes"/>
    <s v="Travel_Rarely"/>
    <n v="676"/>
    <s v="Research &amp; Development"/>
    <n v="9"/>
    <n v="4"/>
    <s v="Life Sciences"/>
    <n v="4"/>
    <s v="Male"/>
    <n v="86"/>
    <n v="3"/>
    <n v="1"/>
    <s v="Laboratory Technician"/>
    <n v="1"/>
    <s v="Single"/>
    <n v="2018"/>
    <n v="21831"/>
    <n v="3"/>
    <s v="No"/>
    <n v="14"/>
    <n v="3"/>
    <n v="2"/>
    <n v="0"/>
    <n v="15"/>
    <n v="3"/>
    <n v="1"/>
    <n v="5"/>
    <n v="4"/>
    <n v="1"/>
    <n v="0"/>
  </r>
  <r>
    <n v="34"/>
    <s v="No"/>
    <s v="Travel_Rarely"/>
    <n v="971"/>
    <s v="Sales"/>
    <n v="1"/>
    <n v="3"/>
    <s v="Technical Degree"/>
    <n v="4"/>
    <s v="Male"/>
    <n v="64"/>
    <n v="2"/>
    <n v="3"/>
    <s v="Sales Executive"/>
    <n v="3"/>
    <s v="Married"/>
    <n v="7083"/>
    <n v="12288"/>
    <n v="1"/>
    <s v="Yes"/>
    <n v="14"/>
    <n v="3"/>
    <n v="4"/>
    <n v="0"/>
    <n v="10"/>
    <n v="3"/>
    <n v="3"/>
    <n v="10"/>
    <n v="9"/>
    <n v="8"/>
    <n v="6"/>
  </r>
  <r>
    <n v="31"/>
    <s v="Yes"/>
    <s v="Travel_Frequently"/>
    <n v="561"/>
    <s v="Research &amp; Development"/>
    <n v="3"/>
    <n v="3"/>
    <s v="Life Sciences"/>
    <n v="4"/>
    <s v="Female"/>
    <n v="33"/>
    <n v="3"/>
    <n v="1"/>
    <s v="Research Scientist"/>
    <n v="3"/>
    <s v="Single"/>
    <n v="4084"/>
    <n v="4156"/>
    <n v="1"/>
    <s v="No"/>
    <n v="12"/>
    <n v="3"/>
    <n v="1"/>
    <n v="0"/>
    <n v="7"/>
    <n v="2"/>
    <n v="1"/>
    <n v="7"/>
    <n v="2"/>
    <n v="7"/>
    <n v="7"/>
  </r>
  <r>
    <n v="50"/>
    <s v="No"/>
    <s v="Travel_Frequently"/>
    <n v="333"/>
    <s v="Research &amp; Development"/>
    <n v="22"/>
    <n v="5"/>
    <s v="Medical"/>
    <n v="3"/>
    <s v="Male"/>
    <n v="88"/>
    <n v="1"/>
    <n v="4"/>
    <s v="Research Director"/>
    <n v="4"/>
    <s v="Single"/>
    <n v="14411"/>
    <n v="24450"/>
    <n v="1"/>
    <s v="Yes"/>
    <n v="13"/>
    <n v="3"/>
    <n v="4"/>
    <n v="0"/>
    <n v="32"/>
    <n v="2"/>
    <n v="3"/>
    <n v="32"/>
    <n v="6"/>
    <n v="13"/>
    <n v="9"/>
  </r>
  <r>
    <n v="34"/>
    <s v="No"/>
    <s v="Travel_Rarely"/>
    <n v="1440"/>
    <s v="Sales"/>
    <n v="7"/>
    <n v="2"/>
    <s v="Technical Degree"/>
    <n v="2"/>
    <s v="Male"/>
    <n v="55"/>
    <n v="3"/>
    <n v="1"/>
    <s v="Sales Representative"/>
    <n v="3"/>
    <s v="Married"/>
    <n v="2308"/>
    <n v="4944"/>
    <n v="0"/>
    <s v="Yes"/>
    <n v="25"/>
    <n v="4"/>
    <n v="2"/>
    <n v="1"/>
    <n v="12"/>
    <n v="4"/>
    <n v="3"/>
    <n v="11"/>
    <n v="10"/>
    <n v="5"/>
    <n v="7"/>
  </r>
  <r>
    <n v="42"/>
    <s v="No"/>
    <s v="Travel_Rarely"/>
    <n v="1210"/>
    <s v="Research &amp; Development"/>
    <n v="2"/>
    <n v="3"/>
    <s v="Medical"/>
    <n v="3"/>
    <s v="Male"/>
    <n v="68"/>
    <n v="2"/>
    <n v="1"/>
    <s v="Laboratory Technician"/>
    <n v="2"/>
    <s v="Married"/>
    <n v="4841"/>
    <n v="24052"/>
    <n v="4"/>
    <s v="No"/>
    <n v="14"/>
    <n v="3"/>
    <n v="2"/>
    <n v="1"/>
    <n v="4"/>
    <n v="3"/>
    <n v="3"/>
    <n v="1"/>
    <n v="0"/>
    <n v="0"/>
    <n v="0"/>
  </r>
  <r>
    <n v="37"/>
    <s v="No"/>
    <s v="Travel_Rarely"/>
    <n v="674"/>
    <s v="Research &amp; Development"/>
    <n v="13"/>
    <n v="3"/>
    <s v="Medical"/>
    <n v="1"/>
    <s v="Male"/>
    <n v="47"/>
    <n v="3"/>
    <n v="2"/>
    <s v="Research Scientist"/>
    <n v="4"/>
    <s v="Married"/>
    <n v="4285"/>
    <n v="3031"/>
    <n v="1"/>
    <s v="No"/>
    <n v="17"/>
    <n v="3"/>
    <n v="1"/>
    <n v="0"/>
    <n v="10"/>
    <n v="2"/>
    <n v="3"/>
    <n v="10"/>
    <n v="8"/>
    <n v="3"/>
    <n v="7"/>
  </r>
  <r>
    <n v="29"/>
    <s v="No"/>
    <s v="Travel_Rarely"/>
    <n v="441"/>
    <s v="Research &amp; Development"/>
    <n v="8"/>
    <n v="1"/>
    <s v="Other"/>
    <n v="3"/>
    <s v="Female"/>
    <n v="39"/>
    <n v="1"/>
    <n v="2"/>
    <s v="Healthcare Representative"/>
    <n v="1"/>
    <s v="Married"/>
    <n v="9715"/>
    <n v="7288"/>
    <n v="3"/>
    <s v="No"/>
    <n v="13"/>
    <n v="3"/>
    <n v="3"/>
    <n v="1"/>
    <n v="9"/>
    <n v="3"/>
    <n v="3"/>
    <n v="7"/>
    <n v="7"/>
    <n v="0"/>
    <n v="7"/>
  </r>
  <r>
    <n v="33"/>
    <s v="No"/>
    <s v="Travel_Rarely"/>
    <n v="575"/>
    <s v="Research &amp; Development"/>
    <n v="25"/>
    <n v="3"/>
    <s v="Life Sciences"/>
    <n v="4"/>
    <s v="Male"/>
    <n v="44"/>
    <n v="2"/>
    <n v="2"/>
    <s v="Manufacturing Director"/>
    <n v="2"/>
    <s v="Single"/>
    <n v="4320"/>
    <n v="24152"/>
    <n v="1"/>
    <s v="No"/>
    <n v="13"/>
    <n v="3"/>
    <n v="4"/>
    <n v="0"/>
    <n v="5"/>
    <n v="2"/>
    <n v="3"/>
    <n v="5"/>
    <n v="3"/>
    <n v="0"/>
    <n v="2"/>
  </r>
  <r>
    <n v="45"/>
    <s v="No"/>
    <s v="Travel_Rarely"/>
    <n v="950"/>
    <s v="Research &amp; Development"/>
    <n v="28"/>
    <n v="3"/>
    <s v="Technical Degree"/>
    <n v="4"/>
    <s v="Male"/>
    <n v="97"/>
    <n v="3"/>
    <n v="1"/>
    <s v="Research Scientist"/>
    <n v="4"/>
    <s v="Married"/>
    <n v="2132"/>
    <n v="4585"/>
    <n v="4"/>
    <s v="No"/>
    <n v="20"/>
    <n v="4"/>
    <n v="4"/>
    <n v="1"/>
    <n v="8"/>
    <n v="3"/>
    <n v="3"/>
    <n v="5"/>
    <n v="4"/>
    <n v="0"/>
    <n v="3"/>
  </r>
  <r>
    <n v="42"/>
    <s v="No"/>
    <s v="Travel_Frequently"/>
    <n v="288"/>
    <s v="Research &amp; Development"/>
    <n v="2"/>
    <n v="3"/>
    <s v="Life Sciences"/>
    <n v="4"/>
    <s v="Male"/>
    <n v="40"/>
    <n v="3"/>
    <n v="3"/>
    <s v="Healthcare Representative"/>
    <n v="4"/>
    <s v="Married"/>
    <n v="10124"/>
    <n v="18611"/>
    <n v="2"/>
    <s v="Yes"/>
    <n v="14"/>
    <n v="3"/>
    <n v="3"/>
    <n v="1"/>
    <n v="24"/>
    <n v="3"/>
    <n v="1"/>
    <n v="20"/>
    <n v="8"/>
    <n v="13"/>
    <n v="9"/>
  </r>
  <r>
    <n v="40"/>
    <s v="No"/>
    <s v="Travel_Rarely"/>
    <n v="1342"/>
    <s v="Sales"/>
    <n v="9"/>
    <n v="2"/>
    <s v="Medical"/>
    <n v="1"/>
    <s v="Male"/>
    <n v="47"/>
    <n v="3"/>
    <n v="2"/>
    <s v="Sales Executive"/>
    <n v="1"/>
    <s v="Married"/>
    <n v="5473"/>
    <n v="19345"/>
    <n v="0"/>
    <s v="No"/>
    <n v="12"/>
    <n v="3"/>
    <n v="4"/>
    <n v="0"/>
    <n v="9"/>
    <n v="5"/>
    <n v="4"/>
    <n v="8"/>
    <n v="4"/>
    <n v="7"/>
    <n v="1"/>
  </r>
  <r>
    <n v="33"/>
    <s v="No"/>
    <s v="Travel_Rarely"/>
    <n v="589"/>
    <s v="Research &amp; Development"/>
    <n v="28"/>
    <n v="4"/>
    <s v="Life Sciences"/>
    <n v="2"/>
    <s v="Male"/>
    <n v="79"/>
    <n v="3"/>
    <n v="2"/>
    <s v="Laboratory Technician"/>
    <n v="3"/>
    <s v="Married"/>
    <n v="5207"/>
    <n v="22949"/>
    <n v="1"/>
    <s v="Yes"/>
    <n v="12"/>
    <n v="3"/>
    <n v="2"/>
    <n v="1"/>
    <n v="15"/>
    <n v="3"/>
    <n v="3"/>
    <n v="15"/>
    <n v="14"/>
    <n v="5"/>
    <n v="7"/>
  </r>
  <r>
    <n v="40"/>
    <s v="No"/>
    <s v="Travel_Rarely"/>
    <n v="898"/>
    <s v="Human Resources"/>
    <n v="6"/>
    <n v="2"/>
    <s v="Medical"/>
    <n v="3"/>
    <s v="Male"/>
    <n v="38"/>
    <n v="3"/>
    <n v="4"/>
    <s v="Manager"/>
    <n v="4"/>
    <s v="Single"/>
    <n v="16437"/>
    <n v="17381"/>
    <n v="1"/>
    <s v="Yes"/>
    <n v="21"/>
    <n v="4"/>
    <n v="4"/>
    <n v="0"/>
    <n v="21"/>
    <n v="2"/>
    <n v="3"/>
    <n v="21"/>
    <n v="7"/>
    <n v="7"/>
    <n v="7"/>
  </r>
  <r>
    <n v="24"/>
    <s v="No"/>
    <s v="Travel_Rarely"/>
    <n v="350"/>
    <s v="Research &amp; Development"/>
    <n v="21"/>
    <n v="2"/>
    <s v="Technical Degree"/>
    <n v="3"/>
    <s v="Male"/>
    <n v="57"/>
    <n v="2"/>
    <n v="1"/>
    <s v="Laboratory Technician"/>
    <n v="1"/>
    <s v="Divorced"/>
    <n v="2296"/>
    <n v="10036"/>
    <n v="0"/>
    <s v="No"/>
    <n v="14"/>
    <n v="3"/>
    <n v="2"/>
    <n v="3"/>
    <n v="2"/>
    <n v="3"/>
    <n v="3"/>
    <n v="1"/>
    <n v="1"/>
    <n v="0"/>
    <n v="0"/>
  </r>
  <r>
    <n v="40"/>
    <s v="No"/>
    <s v="Non-Travel"/>
    <n v="1142"/>
    <s v="Research &amp; Development"/>
    <n v="8"/>
    <n v="2"/>
    <s v="Life Sciences"/>
    <n v="4"/>
    <s v="Male"/>
    <n v="72"/>
    <n v="3"/>
    <n v="2"/>
    <s v="Healthcare Representative"/>
    <n v="4"/>
    <s v="Divorced"/>
    <n v="4069"/>
    <n v="8841"/>
    <n v="3"/>
    <s v="Yes"/>
    <n v="18"/>
    <n v="3"/>
    <n v="3"/>
    <n v="0"/>
    <n v="8"/>
    <n v="2"/>
    <n v="3"/>
    <n v="2"/>
    <n v="2"/>
    <n v="2"/>
    <n v="2"/>
  </r>
  <r>
    <n v="45"/>
    <s v="No"/>
    <s v="Travel_Rarely"/>
    <n v="538"/>
    <s v="Research &amp; Development"/>
    <n v="1"/>
    <n v="4"/>
    <s v="Technical Degree"/>
    <n v="1"/>
    <s v="Male"/>
    <n v="66"/>
    <n v="3"/>
    <n v="3"/>
    <s v="Healthcare Representative"/>
    <n v="2"/>
    <s v="Divorced"/>
    <n v="7441"/>
    <n v="20933"/>
    <n v="1"/>
    <s v="No"/>
    <n v="12"/>
    <n v="3"/>
    <n v="1"/>
    <n v="3"/>
    <n v="10"/>
    <n v="4"/>
    <n v="3"/>
    <n v="10"/>
    <n v="8"/>
    <n v="7"/>
    <n v="7"/>
  </r>
  <r>
    <n v="35"/>
    <s v="No"/>
    <s v="Travel_Rarely"/>
    <n v="1402"/>
    <s v="Sales"/>
    <n v="28"/>
    <n v="4"/>
    <s v="Life Sciences"/>
    <n v="2"/>
    <s v="Female"/>
    <n v="98"/>
    <n v="2"/>
    <n v="1"/>
    <s v="Sales Representative"/>
    <n v="3"/>
    <s v="Married"/>
    <n v="2430"/>
    <n v="26204"/>
    <n v="0"/>
    <s v="No"/>
    <n v="23"/>
    <n v="4"/>
    <n v="1"/>
    <n v="2"/>
    <n v="6"/>
    <n v="5"/>
    <n v="3"/>
    <n v="5"/>
    <n v="3"/>
    <n v="4"/>
    <n v="2"/>
  </r>
  <r>
    <n v="32"/>
    <s v="No"/>
    <s v="Travel_Rarely"/>
    <n v="824"/>
    <s v="Research &amp; Development"/>
    <n v="5"/>
    <n v="2"/>
    <s v="Life Sciences"/>
    <n v="4"/>
    <s v="Female"/>
    <n v="67"/>
    <n v="2"/>
    <n v="2"/>
    <s v="Research Scientist"/>
    <n v="2"/>
    <s v="Married"/>
    <n v="5878"/>
    <n v="15624"/>
    <n v="3"/>
    <s v="No"/>
    <n v="12"/>
    <n v="3"/>
    <n v="1"/>
    <n v="1"/>
    <n v="12"/>
    <n v="2"/>
    <n v="3"/>
    <n v="7"/>
    <n v="1"/>
    <n v="2"/>
    <n v="5"/>
  </r>
  <r>
    <n v="36"/>
    <s v="No"/>
    <s v="Travel_Rarely"/>
    <n v="1157"/>
    <s v="Sales"/>
    <n v="2"/>
    <n v="4"/>
    <s v="Life Sciences"/>
    <n v="3"/>
    <s v="Male"/>
    <n v="70"/>
    <n v="3"/>
    <n v="1"/>
    <s v="Sales Representative"/>
    <n v="4"/>
    <s v="Single"/>
    <n v="2644"/>
    <n v="17001"/>
    <n v="3"/>
    <s v="Yes"/>
    <n v="21"/>
    <n v="4"/>
    <n v="4"/>
    <n v="0"/>
    <n v="7"/>
    <n v="3"/>
    <n v="2"/>
    <n v="3"/>
    <n v="2"/>
    <n v="1"/>
    <n v="2"/>
  </r>
  <r>
    <n v="48"/>
    <s v="No"/>
    <s v="Travel_Rarely"/>
    <n v="492"/>
    <s v="Sales"/>
    <n v="16"/>
    <n v="4"/>
    <s v="Life Sciences"/>
    <n v="3"/>
    <s v="Female"/>
    <n v="96"/>
    <n v="3"/>
    <n v="2"/>
    <s v="Sales Executive"/>
    <n v="3"/>
    <s v="Divorced"/>
    <n v="6439"/>
    <n v="13693"/>
    <n v="8"/>
    <s v="No"/>
    <n v="14"/>
    <n v="3"/>
    <n v="3"/>
    <n v="1"/>
    <n v="18"/>
    <n v="2"/>
    <n v="3"/>
    <n v="8"/>
    <n v="7"/>
    <n v="7"/>
    <n v="7"/>
  </r>
  <r>
    <n v="29"/>
    <s v="No"/>
    <s v="Travel_Rarely"/>
    <n v="598"/>
    <s v="Research &amp; Development"/>
    <n v="9"/>
    <n v="3"/>
    <s v="Life Sciences"/>
    <n v="3"/>
    <s v="Male"/>
    <n v="91"/>
    <n v="4"/>
    <n v="1"/>
    <s v="Research Scientist"/>
    <n v="3"/>
    <s v="Married"/>
    <n v="2451"/>
    <n v="22376"/>
    <n v="6"/>
    <s v="No"/>
    <n v="18"/>
    <n v="3"/>
    <n v="1"/>
    <n v="2"/>
    <n v="5"/>
    <n v="2"/>
    <n v="2"/>
    <n v="1"/>
    <n v="0"/>
    <n v="0"/>
    <n v="0"/>
  </r>
  <r>
    <n v="33"/>
    <s v="No"/>
    <s v="Travel_Rarely"/>
    <n v="1242"/>
    <s v="Sales"/>
    <n v="8"/>
    <n v="4"/>
    <s v="Life Sciences"/>
    <n v="1"/>
    <s v="Male"/>
    <n v="46"/>
    <n v="3"/>
    <n v="2"/>
    <s v="Sales Executive"/>
    <n v="1"/>
    <s v="Married"/>
    <n v="6392"/>
    <n v="10589"/>
    <n v="2"/>
    <s v="No"/>
    <n v="13"/>
    <n v="3"/>
    <n v="4"/>
    <n v="1"/>
    <n v="8"/>
    <n v="6"/>
    <n v="1"/>
    <n v="2"/>
    <n v="2"/>
    <n v="2"/>
    <n v="2"/>
  </r>
  <r>
    <n v="30"/>
    <s v="Yes"/>
    <s v="Travel_Rarely"/>
    <n v="740"/>
    <s v="Sales"/>
    <n v="1"/>
    <n v="3"/>
    <s v="Life Sciences"/>
    <n v="2"/>
    <s v="Male"/>
    <n v="64"/>
    <n v="2"/>
    <n v="2"/>
    <s v="Sales Executive"/>
    <n v="1"/>
    <s v="Married"/>
    <n v="9714"/>
    <n v="5323"/>
    <n v="1"/>
    <s v="No"/>
    <n v="11"/>
    <n v="3"/>
    <n v="4"/>
    <n v="1"/>
    <n v="10"/>
    <n v="4"/>
    <n v="3"/>
    <n v="10"/>
    <n v="8"/>
    <n v="6"/>
    <n v="7"/>
  </r>
  <r>
    <n v="38"/>
    <s v="No"/>
    <s v="Travel_Frequently"/>
    <n v="888"/>
    <s v="Human Resources"/>
    <n v="10"/>
    <n v="4"/>
    <s v="Human Resources"/>
    <n v="3"/>
    <s v="Male"/>
    <n v="71"/>
    <n v="3"/>
    <n v="2"/>
    <s v="Human Resources"/>
    <n v="3"/>
    <s v="Married"/>
    <n v="6077"/>
    <n v="14814"/>
    <n v="3"/>
    <s v="No"/>
    <n v="11"/>
    <n v="3"/>
    <n v="3"/>
    <n v="0"/>
    <n v="10"/>
    <n v="2"/>
    <n v="3"/>
    <n v="6"/>
    <n v="3"/>
    <n v="1"/>
    <n v="2"/>
  </r>
  <r>
    <n v="35"/>
    <s v="No"/>
    <s v="Travel_Rarely"/>
    <n v="992"/>
    <s v="Research &amp; Development"/>
    <n v="1"/>
    <n v="3"/>
    <s v="Medical"/>
    <n v="4"/>
    <s v="Male"/>
    <n v="68"/>
    <n v="2"/>
    <n v="1"/>
    <s v="Laboratory Technician"/>
    <n v="1"/>
    <s v="Single"/>
    <n v="2450"/>
    <n v="21731"/>
    <n v="1"/>
    <s v="No"/>
    <n v="19"/>
    <n v="3"/>
    <n v="2"/>
    <n v="0"/>
    <n v="3"/>
    <n v="3"/>
    <n v="3"/>
    <n v="3"/>
    <n v="0"/>
    <n v="1"/>
    <n v="2"/>
  </r>
  <r>
    <n v="30"/>
    <s v="No"/>
    <s v="Travel_Rarely"/>
    <n v="1288"/>
    <s v="Sales"/>
    <n v="29"/>
    <n v="4"/>
    <s v="Technical Degree"/>
    <n v="3"/>
    <s v="Male"/>
    <n v="33"/>
    <n v="3"/>
    <n v="3"/>
    <s v="Sales Executive"/>
    <n v="2"/>
    <s v="Married"/>
    <n v="9250"/>
    <n v="17799"/>
    <n v="3"/>
    <s v="No"/>
    <n v="12"/>
    <n v="3"/>
    <n v="2"/>
    <n v="1"/>
    <n v="9"/>
    <n v="3"/>
    <n v="3"/>
    <n v="4"/>
    <n v="2"/>
    <n v="1"/>
    <n v="3"/>
  </r>
  <r>
    <n v="35"/>
    <s v="Yes"/>
    <s v="Travel_Rarely"/>
    <n v="104"/>
    <s v="Research &amp; Development"/>
    <n v="2"/>
    <n v="3"/>
    <s v="Life Sciences"/>
    <n v="1"/>
    <s v="Female"/>
    <n v="69"/>
    <n v="3"/>
    <n v="1"/>
    <s v="Laboratory Technician"/>
    <n v="1"/>
    <s v="Divorced"/>
    <n v="2074"/>
    <n v="26619"/>
    <n v="1"/>
    <s v="Yes"/>
    <n v="12"/>
    <n v="3"/>
    <n v="4"/>
    <n v="1"/>
    <n v="1"/>
    <n v="2"/>
    <n v="3"/>
    <n v="1"/>
    <n v="0"/>
    <n v="0"/>
    <n v="0"/>
  </r>
  <r>
    <n v="53"/>
    <s v="Yes"/>
    <s v="Travel_Rarely"/>
    <n v="607"/>
    <s v="Research &amp; Development"/>
    <n v="2"/>
    <n v="5"/>
    <s v="Technical Degree"/>
    <n v="3"/>
    <s v="Female"/>
    <n v="78"/>
    <n v="2"/>
    <n v="3"/>
    <s v="Manufacturing Director"/>
    <n v="4"/>
    <s v="Married"/>
    <n v="10169"/>
    <n v="14618"/>
    <n v="0"/>
    <s v="No"/>
    <n v="16"/>
    <n v="3"/>
    <n v="2"/>
    <n v="1"/>
    <n v="34"/>
    <n v="4"/>
    <n v="3"/>
    <n v="33"/>
    <n v="7"/>
    <n v="1"/>
    <n v="9"/>
  </r>
  <r>
    <n v="38"/>
    <s v="Yes"/>
    <s v="Travel_Rarely"/>
    <n v="903"/>
    <s v="Research &amp; Development"/>
    <n v="2"/>
    <n v="3"/>
    <s v="Medical"/>
    <n v="3"/>
    <s v="Male"/>
    <n v="81"/>
    <n v="3"/>
    <n v="2"/>
    <s v="Manufacturing Director"/>
    <n v="2"/>
    <s v="Married"/>
    <n v="4855"/>
    <n v="7653"/>
    <n v="4"/>
    <s v="No"/>
    <n v="11"/>
    <n v="3"/>
    <n v="1"/>
    <n v="2"/>
    <n v="7"/>
    <n v="2"/>
    <n v="3"/>
    <n v="5"/>
    <n v="2"/>
    <n v="1"/>
    <n v="4"/>
  </r>
  <r>
    <n v="32"/>
    <s v="No"/>
    <s v="Non-Travel"/>
    <n v="1200"/>
    <s v="Research &amp; Development"/>
    <n v="1"/>
    <n v="4"/>
    <s v="Technical Degree"/>
    <n v="4"/>
    <s v="Male"/>
    <n v="62"/>
    <n v="3"/>
    <n v="2"/>
    <s v="Research Scientist"/>
    <n v="1"/>
    <s v="Married"/>
    <n v="4087"/>
    <n v="25174"/>
    <n v="4"/>
    <s v="No"/>
    <n v="14"/>
    <n v="3"/>
    <n v="2"/>
    <n v="1"/>
    <n v="9"/>
    <n v="3"/>
    <n v="2"/>
    <n v="6"/>
    <n v="5"/>
    <n v="1"/>
    <n v="2"/>
  </r>
  <r>
    <n v="48"/>
    <s v="No"/>
    <s v="Travel_Rarely"/>
    <n v="1108"/>
    <s v="Research &amp; Development"/>
    <n v="15"/>
    <n v="4"/>
    <s v="Other"/>
    <n v="3"/>
    <s v="Female"/>
    <n v="65"/>
    <n v="3"/>
    <n v="1"/>
    <s v="Research Scientist"/>
    <n v="1"/>
    <s v="Married"/>
    <n v="2367"/>
    <n v="16530"/>
    <n v="8"/>
    <s v="No"/>
    <n v="12"/>
    <n v="3"/>
    <n v="4"/>
    <n v="1"/>
    <n v="10"/>
    <n v="3"/>
    <n v="2"/>
    <n v="8"/>
    <n v="2"/>
    <n v="7"/>
    <n v="6"/>
  </r>
  <r>
    <n v="34"/>
    <s v="No"/>
    <s v="Travel_Rarely"/>
    <n v="479"/>
    <s v="Research &amp; Development"/>
    <n v="7"/>
    <n v="4"/>
    <s v="Medical"/>
    <n v="1"/>
    <s v="Male"/>
    <n v="35"/>
    <n v="3"/>
    <n v="1"/>
    <s v="Research Scientist"/>
    <n v="4"/>
    <s v="Single"/>
    <n v="2972"/>
    <n v="22061"/>
    <n v="1"/>
    <s v="No"/>
    <n v="13"/>
    <n v="3"/>
    <n v="3"/>
    <n v="0"/>
    <n v="1"/>
    <n v="4"/>
    <n v="1"/>
    <n v="1"/>
    <n v="0"/>
    <n v="0"/>
    <n v="0"/>
  </r>
  <r>
    <n v="55"/>
    <s v="No"/>
    <s v="Travel_Rarely"/>
    <n v="685"/>
    <s v="Sales"/>
    <n v="26"/>
    <n v="5"/>
    <s v="Marketing"/>
    <n v="3"/>
    <s v="Male"/>
    <n v="60"/>
    <n v="2"/>
    <n v="5"/>
    <s v="Manager"/>
    <n v="4"/>
    <s v="Married"/>
    <n v="19586"/>
    <n v="23037"/>
    <n v="1"/>
    <s v="No"/>
    <n v="21"/>
    <n v="4"/>
    <n v="3"/>
    <n v="1"/>
    <n v="36"/>
    <n v="3"/>
    <n v="3"/>
    <n v="36"/>
    <n v="6"/>
    <n v="2"/>
    <n v="13"/>
  </r>
  <r>
    <n v="34"/>
    <s v="No"/>
    <s v="Travel_Rarely"/>
    <n v="1351"/>
    <s v="Research &amp; Development"/>
    <n v="1"/>
    <n v="4"/>
    <s v="Life Sciences"/>
    <n v="2"/>
    <s v="Male"/>
    <n v="45"/>
    <n v="3"/>
    <n v="2"/>
    <s v="Research Scientist"/>
    <n v="4"/>
    <s v="Married"/>
    <n v="5484"/>
    <n v="13008"/>
    <n v="9"/>
    <s v="No"/>
    <n v="17"/>
    <n v="3"/>
    <n v="2"/>
    <n v="1"/>
    <n v="9"/>
    <n v="3"/>
    <n v="2"/>
    <n v="2"/>
    <n v="2"/>
    <n v="2"/>
    <n v="1"/>
  </r>
  <r>
    <n v="26"/>
    <s v="No"/>
    <s v="Travel_Rarely"/>
    <n v="474"/>
    <s v="Research &amp; Development"/>
    <n v="3"/>
    <n v="3"/>
    <s v="Life Sciences"/>
    <n v="1"/>
    <s v="Female"/>
    <n v="89"/>
    <n v="3"/>
    <n v="1"/>
    <s v="Research Scientist"/>
    <n v="4"/>
    <s v="Married"/>
    <n v="2061"/>
    <n v="11133"/>
    <n v="1"/>
    <s v="No"/>
    <n v="21"/>
    <n v="4"/>
    <n v="1"/>
    <n v="0"/>
    <n v="1"/>
    <n v="5"/>
    <n v="3"/>
    <n v="1"/>
    <n v="0"/>
    <n v="0"/>
    <n v="0"/>
  </r>
  <r>
    <n v="38"/>
    <s v="No"/>
    <s v="Travel_Rarely"/>
    <n v="1245"/>
    <s v="Sales"/>
    <n v="14"/>
    <n v="3"/>
    <s v="Life Sciences"/>
    <n v="3"/>
    <s v="Male"/>
    <n v="80"/>
    <n v="3"/>
    <n v="2"/>
    <s v="Sales Executive"/>
    <n v="2"/>
    <s v="Married"/>
    <n v="9924"/>
    <n v="12355"/>
    <n v="0"/>
    <s v="No"/>
    <n v="11"/>
    <n v="3"/>
    <n v="4"/>
    <n v="1"/>
    <n v="10"/>
    <n v="3"/>
    <n v="3"/>
    <n v="9"/>
    <n v="8"/>
    <n v="7"/>
    <n v="7"/>
  </r>
  <r>
    <n v="38"/>
    <s v="No"/>
    <s v="Travel_Rarely"/>
    <n v="437"/>
    <s v="Sales"/>
    <n v="16"/>
    <n v="3"/>
    <s v="Life Sciences"/>
    <n v="2"/>
    <s v="Female"/>
    <n v="90"/>
    <n v="3"/>
    <n v="2"/>
    <s v="Sales Executive"/>
    <n v="2"/>
    <s v="Single"/>
    <n v="4198"/>
    <n v="16379"/>
    <n v="2"/>
    <s v="No"/>
    <n v="12"/>
    <n v="3"/>
    <n v="2"/>
    <n v="0"/>
    <n v="8"/>
    <n v="5"/>
    <n v="4"/>
    <n v="3"/>
    <n v="2"/>
    <n v="1"/>
    <n v="2"/>
  </r>
  <r>
    <n v="36"/>
    <s v="No"/>
    <s v="Travel_Rarely"/>
    <n v="884"/>
    <s v="Sales"/>
    <n v="1"/>
    <n v="4"/>
    <s v="Life Sciences"/>
    <n v="2"/>
    <s v="Female"/>
    <n v="73"/>
    <n v="3"/>
    <n v="2"/>
    <s v="Sales Executive"/>
    <n v="3"/>
    <s v="Single"/>
    <n v="6815"/>
    <n v="21447"/>
    <n v="6"/>
    <s v="No"/>
    <n v="13"/>
    <n v="3"/>
    <n v="1"/>
    <n v="0"/>
    <n v="15"/>
    <n v="5"/>
    <n v="3"/>
    <n v="1"/>
    <n v="0"/>
    <n v="0"/>
    <n v="0"/>
  </r>
  <r>
    <n v="29"/>
    <s v="No"/>
    <s v="Travel_Rarely"/>
    <n v="1370"/>
    <s v="Research &amp; Development"/>
    <n v="3"/>
    <n v="1"/>
    <s v="Medical"/>
    <n v="2"/>
    <s v="Male"/>
    <n v="87"/>
    <n v="3"/>
    <n v="1"/>
    <s v="Laboratory Technician"/>
    <n v="1"/>
    <s v="Single"/>
    <n v="4723"/>
    <n v="16213"/>
    <n v="1"/>
    <s v="Yes"/>
    <n v="18"/>
    <n v="3"/>
    <n v="4"/>
    <n v="0"/>
    <n v="10"/>
    <n v="3"/>
    <n v="3"/>
    <n v="10"/>
    <n v="9"/>
    <n v="1"/>
    <n v="5"/>
  </r>
  <r>
    <n v="35"/>
    <s v="No"/>
    <s v="Travel_Rarely"/>
    <n v="670"/>
    <s v="Research &amp; Development"/>
    <n v="10"/>
    <n v="4"/>
    <s v="Medical"/>
    <n v="1"/>
    <s v="Female"/>
    <n v="51"/>
    <n v="3"/>
    <n v="2"/>
    <s v="Healthcare Representative"/>
    <n v="3"/>
    <s v="Single"/>
    <n v="6142"/>
    <n v="4223"/>
    <n v="3"/>
    <s v="Yes"/>
    <n v="16"/>
    <n v="3"/>
    <n v="3"/>
    <n v="0"/>
    <n v="10"/>
    <n v="4"/>
    <n v="3"/>
    <n v="5"/>
    <n v="2"/>
    <n v="0"/>
    <n v="4"/>
  </r>
  <r>
    <n v="39"/>
    <s v="No"/>
    <s v="Travel_Rarely"/>
    <n v="1462"/>
    <s v="Sales"/>
    <n v="6"/>
    <n v="3"/>
    <s v="Medical"/>
    <n v="4"/>
    <s v="Male"/>
    <n v="38"/>
    <n v="4"/>
    <n v="3"/>
    <s v="Sales Executive"/>
    <n v="3"/>
    <s v="Married"/>
    <n v="8237"/>
    <n v="4658"/>
    <n v="2"/>
    <s v="No"/>
    <n v="11"/>
    <n v="3"/>
    <n v="1"/>
    <n v="1"/>
    <n v="11"/>
    <n v="3"/>
    <n v="3"/>
    <n v="7"/>
    <n v="6"/>
    <n v="7"/>
    <n v="6"/>
  </r>
  <r>
    <n v="29"/>
    <s v="No"/>
    <s v="Travel_Frequently"/>
    <n v="995"/>
    <s v="Research &amp; Development"/>
    <n v="2"/>
    <n v="1"/>
    <s v="Life Sciences"/>
    <n v="1"/>
    <s v="Male"/>
    <n v="87"/>
    <n v="3"/>
    <n v="2"/>
    <s v="Healthcare Representative"/>
    <n v="4"/>
    <s v="Divorced"/>
    <n v="8853"/>
    <n v="24483"/>
    <n v="1"/>
    <s v="No"/>
    <n v="19"/>
    <n v="3"/>
    <n v="4"/>
    <n v="1"/>
    <n v="6"/>
    <n v="0"/>
    <n v="4"/>
    <n v="6"/>
    <n v="4"/>
    <n v="1"/>
    <n v="3"/>
  </r>
  <r>
    <n v="50"/>
    <s v="No"/>
    <s v="Travel_Rarely"/>
    <n v="264"/>
    <s v="Sales"/>
    <n v="9"/>
    <n v="3"/>
    <s v="Marketing"/>
    <n v="3"/>
    <s v="Male"/>
    <n v="59"/>
    <n v="3"/>
    <n v="5"/>
    <s v="Manager"/>
    <n v="3"/>
    <s v="Married"/>
    <n v="19331"/>
    <n v="19519"/>
    <n v="4"/>
    <s v="Yes"/>
    <n v="16"/>
    <n v="3"/>
    <n v="3"/>
    <n v="1"/>
    <n v="27"/>
    <n v="2"/>
    <n v="3"/>
    <n v="1"/>
    <n v="0"/>
    <n v="0"/>
    <n v="0"/>
  </r>
  <r>
    <n v="23"/>
    <s v="No"/>
    <s v="Travel_Rarely"/>
    <n v="977"/>
    <s v="Research &amp; Development"/>
    <n v="10"/>
    <n v="3"/>
    <s v="Technical Degree"/>
    <n v="4"/>
    <s v="Male"/>
    <n v="45"/>
    <n v="4"/>
    <n v="1"/>
    <s v="Research Scientist"/>
    <n v="3"/>
    <s v="Married"/>
    <n v="2073"/>
    <n v="12826"/>
    <n v="2"/>
    <s v="No"/>
    <n v="16"/>
    <n v="3"/>
    <n v="4"/>
    <n v="1"/>
    <n v="4"/>
    <n v="2"/>
    <n v="3"/>
    <n v="2"/>
    <n v="2"/>
    <n v="2"/>
    <n v="2"/>
  </r>
  <r>
    <n v="36"/>
    <s v="No"/>
    <s v="Travel_Frequently"/>
    <n v="1302"/>
    <s v="Research &amp; Development"/>
    <n v="6"/>
    <n v="4"/>
    <s v="Life Sciences"/>
    <n v="1"/>
    <s v="Male"/>
    <n v="80"/>
    <n v="4"/>
    <n v="2"/>
    <s v="Laboratory Technician"/>
    <n v="1"/>
    <s v="Married"/>
    <n v="5562"/>
    <n v="19711"/>
    <n v="3"/>
    <s v="Yes"/>
    <n v="13"/>
    <n v="3"/>
    <n v="4"/>
    <n v="1"/>
    <n v="9"/>
    <n v="3"/>
    <n v="3"/>
    <n v="3"/>
    <n v="2"/>
    <n v="0"/>
    <n v="2"/>
  </r>
  <r>
    <n v="42"/>
    <s v="No"/>
    <s v="Travel_Rarely"/>
    <n v="1059"/>
    <s v="Research &amp; Development"/>
    <n v="9"/>
    <n v="2"/>
    <s v="Other"/>
    <n v="4"/>
    <s v="Male"/>
    <n v="93"/>
    <n v="2"/>
    <n v="5"/>
    <s v="Manager"/>
    <n v="4"/>
    <s v="Single"/>
    <n v="19613"/>
    <n v="26362"/>
    <n v="8"/>
    <s v="No"/>
    <n v="22"/>
    <n v="4"/>
    <n v="4"/>
    <n v="0"/>
    <n v="24"/>
    <n v="2"/>
    <n v="3"/>
    <n v="1"/>
    <n v="0"/>
    <n v="0"/>
    <n v="1"/>
  </r>
  <r>
    <n v="35"/>
    <s v="No"/>
    <s v="Travel_Rarely"/>
    <n v="750"/>
    <s v="Research &amp; Development"/>
    <n v="28"/>
    <n v="3"/>
    <s v="Life Sciences"/>
    <n v="2"/>
    <s v="Male"/>
    <n v="46"/>
    <n v="4"/>
    <n v="2"/>
    <s v="Laboratory Technician"/>
    <n v="3"/>
    <s v="Married"/>
    <n v="3407"/>
    <n v="25348"/>
    <n v="1"/>
    <s v="No"/>
    <n v="17"/>
    <n v="3"/>
    <n v="4"/>
    <n v="2"/>
    <n v="10"/>
    <n v="3"/>
    <n v="2"/>
    <n v="10"/>
    <n v="9"/>
    <n v="6"/>
    <n v="8"/>
  </r>
  <r>
    <n v="34"/>
    <s v="No"/>
    <s v="Travel_Frequently"/>
    <n v="653"/>
    <s v="Research &amp; Development"/>
    <n v="10"/>
    <n v="4"/>
    <s v="Technical Degree"/>
    <n v="4"/>
    <s v="Male"/>
    <n v="92"/>
    <n v="2"/>
    <n v="2"/>
    <s v="Healthcare Representative"/>
    <n v="3"/>
    <s v="Married"/>
    <n v="5063"/>
    <n v="15332"/>
    <n v="1"/>
    <s v="No"/>
    <n v="14"/>
    <n v="3"/>
    <n v="2"/>
    <n v="1"/>
    <n v="8"/>
    <n v="3"/>
    <n v="2"/>
    <n v="8"/>
    <n v="2"/>
    <n v="7"/>
    <n v="7"/>
  </r>
  <r>
    <n v="40"/>
    <s v="No"/>
    <s v="Travel_Rarely"/>
    <n v="118"/>
    <s v="Sales"/>
    <n v="14"/>
    <n v="2"/>
    <s v="Life Sciences"/>
    <n v="4"/>
    <s v="Female"/>
    <n v="84"/>
    <n v="3"/>
    <n v="2"/>
    <s v="Sales Executive"/>
    <n v="1"/>
    <s v="Married"/>
    <n v="4639"/>
    <n v="11262"/>
    <n v="1"/>
    <s v="No"/>
    <n v="15"/>
    <n v="3"/>
    <n v="3"/>
    <n v="1"/>
    <n v="5"/>
    <n v="2"/>
    <n v="3"/>
    <n v="5"/>
    <n v="4"/>
    <n v="1"/>
    <n v="2"/>
  </r>
  <r>
    <n v="43"/>
    <s v="No"/>
    <s v="Travel_Rarely"/>
    <n v="990"/>
    <s v="Research &amp; Development"/>
    <n v="27"/>
    <n v="3"/>
    <s v="Technical Degree"/>
    <n v="4"/>
    <s v="Male"/>
    <n v="87"/>
    <n v="4"/>
    <n v="1"/>
    <s v="Laboratory Technician"/>
    <n v="2"/>
    <s v="Divorced"/>
    <n v="4876"/>
    <n v="5855"/>
    <n v="5"/>
    <s v="No"/>
    <n v="12"/>
    <n v="3"/>
    <n v="3"/>
    <n v="1"/>
    <n v="8"/>
    <n v="0"/>
    <n v="3"/>
    <n v="6"/>
    <n v="4"/>
    <n v="0"/>
    <n v="2"/>
  </r>
  <r>
    <n v="35"/>
    <s v="No"/>
    <s v="Travel_Rarely"/>
    <n v="1349"/>
    <s v="Research &amp; Development"/>
    <n v="7"/>
    <n v="2"/>
    <s v="Life Sciences"/>
    <n v="3"/>
    <s v="Male"/>
    <n v="63"/>
    <n v="2"/>
    <n v="1"/>
    <s v="Laboratory Technician"/>
    <n v="4"/>
    <s v="Married"/>
    <n v="2690"/>
    <n v="7713"/>
    <n v="1"/>
    <s v="No"/>
    <n v="18"/>
    <n v="3"/>
    <n v="4"/>
    <n v="1"/>
    <n v="1"/>
    <n v="5"/>
    <n v="2"/>
    <n v="1"/>
    <n v="0"/>
    <n v="0"/>
    <n v="1"/>
  </r>
  <r>
    <n v="46"/>
    <s v="No"/>
    <s v="Travel_Rarely"/>
    <n v="563"/>
    <s v="Sales"/>
    <n v="1"/>
    <n v="4"/>
    <s v="Life Sciences"/>
    <n v="4"/>
    <s v="Male"/>
    <n v="56"/>
    <n v="4"/>
    <n v="4"/>
    <s v="Manager"/>
    <n v="1"/>
    <s v="Single"/>
    <n v="17567"/>
    <n v="3156"/>
    <n v="1"/>
    <s v="No"/>
    <n v="15"/>
    <n v="3"/>
    <n v="2"/>
    <n v="0"/>
    <n v="27"/>
    <n v="5"/>
    <n v="1"/>
    <n v="26"/>
    <n v="0"/>
    <n v="0"/>
    <n v="12"/>
  </r>
  <r>
    <n v="28"/>
    <s v="Yes"/>
    <s v="Travel_Rarely"/>
    <n v="329"/>
    <s v="Research &amp; Development"/>
    <n v="24"/>
    <n v="3"/>
    <s v="Medical"/>
    <n v="3"/>
    <s v="Male"/>
    <n v="51"/>
    <n v="3"/>
    <n v="1"/>
    <s v="Laboratory Technician"/>
    <n v="2"/>
    <s v="Married"/>
    <n v="2408"/>
    <n v="7324"/>
    <n v="1"/>
    <s v="Yes"/>
    <n v="17"/>
    <n v="3"/>
    <n v="3"/>
    <n v="3"/>
    <n v="1"/>
    <n v="3"/>
    <n v="3"/>
    <n v="1"/>
    <n v="1"/>
    <n v="0"/>
    <n v="0"/>
  </r>
  <r>
    <n v="22"/>
    <s v="No"/>
    <s v="Non-Travel"/>
    <n v="457"/>
    <s v="Research &amp; Development"/>
    <n v="26"/>
    <n v="2"/>
    <s v="Other"/>
    <n v="2"/>
    <s v="Female"/>
    <n v="85"/>
    <n v="2"/>
    <n v="1"/>
    <s v="Research Scientist"/>
    <n v="3"/>
    <s v="Married"/>
    <n v="2814"/>
    <n v="10293"/>
    <n v="1"/>
    <s v="Yes"/>
    <n v="14"/>
    <n v="3"/>
    <n v="2"/>
    <n v="0"/>
    <n v="4"/>
    <n v="2"/>
    <n v="2"/>
    <n v="4"/>
    <n v="2"/>
    <n v="1"/>
    <n v="3"/>
  </r>
  <r>
    <n v="50"/>
    <s v="No"/>
    <s v="Travel_Frequently"/>
    <n v="1234"/>
    <s v="Research &amp; Development"/>
    <n v="20"/>
    <n v="5"/>
    <s v="Medical"/>
    <n v="2"/>
    <s v="Male"/>
    <n v="41"/>
    <n v="3"/>
    <n v="4"/>
    <s v="Healthcare Representative"/>
    <n v="3"/>
    <s v="Married"/>
    <n v="11245"/>
    <n v="20689"/>
    <n v="2"/>
    <s v="Yes"/>
    <n v="15"/>
    <n v="3"/>
    <n v="3"/>
    <n v="1"/>
    <n v="32"/>
    <n v="3"/>
    <n v="3"/>
    <n v="30"/>
    <n v="8"/>
    <n v="12"/>
    <n v="13"/>
  </r>
  <r>
    <n v="32"/>
    <s v="No"/>
    <s v="Travel_Rarely"/>
    <n v="634"/>
    <s v="Research &amp; Development"/>
    <n v="5"/>
    <n v="4"/>
    <s v="Other"/>
    <n v="2"/>
    <s v="Female"/>
    <n v="35"/>
    <n v="4"/>
    <n v="1"/>
    <s v="Research Scientist"/>
    <n v="4"/>
    <s v="Married"/>
    <n v="3312"/>
    <n v="18783"/>
    <n v="3"/>
    <s v="No"/>
    <n v="17"/>
    <n v="3"/>
    <n v="4"/>
    <n v="2"/>
    <n v="6"/>
    <n v="3"/>
    <n v="3"/>
    <n v="3"/>
    <n v="2"/>
    <n v="0"/>
    <n v="2"/>
  </r>
  <r>
    <n v="44"/>
    <s v="No"/>
    <s v="Travel_Rarely"/>
    <n v="1313"/>
    <s v="Research &amp; Development"/>
    <n v="7"/>
    <n v="3"/>
    <s v="Medical"/>
    <n v="2"/>
    <s v="Female"/>
    <n v="31"/>
    <n v="3"/>
    <n v="5"/>
    <s v="Research Director"/>
    <n v="4"/>
    <s v="Divorced"/>
    <n v="19049"/>
    <n v="3549"/>
    <n v="0"/>
    <s v="Yes"/>
    <n v="14"/>
    <n v="3"/>
    <n v="4"/>
    <n v="1"/>
    <n v="23"/>
    <n v="4"/>
    <n v="2"/>
    <n v="22"/>
    <n v="7"/>
    <n v="1"/>
    <n v="10"/>
  </r>
  <r>
    <n v="30"/>
    <s v="No"/>
    <s v="Travel_Rarely"/>
    <n v="241"/>
    <s v="Research &amp; Development"/>
    <n v="7"/>
    <n v="3"/>
    <s v="Medical"/>
    <n v="2"/>
    <s v="Male"/>
    <n v="48"/>
    <n v="2"/>
    <n v="1"/>
    <s v="Research Scientist"/>
    <n v="2"/>
    <s v="Married"/>
    <n v="2141"/>
    <n v="5348"/>
    <n v="1"/>
    <s v="No"/>
    <n v="12"/>
    <n v="3"/>
    <n v="2"/>
    <n v="1"/>
    <n v="6"/>
    <n v="3"/>
    <n v="2"/>
    <n v="6"/>
    <n v="4"/>
    <n v="1"/>
    <n v="1"/>
  </r>
  <r>
    <n v="45"/>
    <s v="No"/>
    <s v="Travel_Rarely"/>
    <n v="1015"/>
    <s v="Research &amp; Development"/>
    <n v="5"/>
    <n v="5"/>
    <s v="Medical"/>
    <n v="3"/>
    <s v="Female"/>
    <n v="50"/>
    <n v="1"/>
    <n v="2"/>
    <s v="Laboratory Technician"/>
    <n v="1"/>
    <s v="Single"/>
    <n v="5769"/>
    <n v="23447"/>
    <n v="1"/>
    <s v="Yes"/>
    <n v="14"/>
    <n v="3"/>
    <n v="1"/>
    <n v="0"/>
    <n v="10"/>
    <n v="3"/>
    <n v="3"/>
    <n v="10"/>
    <n v="7"/>
    <n v="1"/>
    <n v="4"/>
  </r>
  <r>
    <n v="45"/>
    <s v="No"/>
    <s v="Non-Travel"/>
    <n v="336"/>
    <s v="Sales"/>
    <n v="26"/>
    <n v="3"/>
    <s v="Marketing"/>
    <n v="1"/>
    <s v="Male"/>
    <n v="52"/>
    <n v="2"/>
    <n v="2"/>
    <s v="Sales Executive"/>
    <n v="1"/>
    <s v="Married"/>
    <n v="4385"/>
    <n v="24162"/>
    <n v="1"/>
    <s v="No"/>
    <n v="15"/>
    <n v="3"/>
    <n v="1"/>
    <n v="1"/>
    <n v="10"/>
    <n v="2"/>
    <n v="3"/>
    <n v="10"/>
    <n v="7"/>
    <n v="4"/>
    <n v="5"/>
  </r>
  <r>
    <n v="31"/>
    <s v="No"/>
    <s v="Travel_Frequently"/>
    <n v="715"/>
    <s v="Sales"/>
    <n v="2"/>
    <n v="4"/>
    <s v="Other"/>
    <n v="4"/>
    <s v="Male"/>
    <n v="54"/>
    <n v="3"/>
    <n v="2"/>
    <s v="Sales Executive"/>
    <n v="1"/>
    <s v="Single"/>
    <n v="5332"/>
    <n v="21602"/>
    <n v="7"/>
    <s v="No"/>
    <n v="13"/>
    <n v="3"/>
    <n v="4"/>
    <n v="0"/>
    <n v="10"/>
    <n v="3"/>
    <n v="3"/>
    <n v="5"/>
    <n v="2"/>
    <n v="0"/>
    <n v="3"/>
  </r>
  <r>
    <n v="36"/>
    <s v="No"/>
    <s v="Travel_Rarely"/>
    <n v="559"/>
    <s v="Research &amp; Development"/>
    <n v="12"/>
    <n v="4"/>
    <s v="Life Sciences"/>
    <n v="3"/>
    <s v="Female"/>
    <n v="76"/>
    <n v="3"/>
    <n v="2"/>
    <s v="Manufacturing Director"/>
    <n v="3"/>
    <s v="Married"/>
    <n v="4663"/>
    <n v="12421"/>
    <n v="9"/>
    <s v="Yes"/>
    <n v="12"/>
    <n v="3"/>
    <n v="2"/>
    <n v="2"/>
    <n v="7"/>
    <n v="2"/>
    <n v="3"/>
    <n v="3"/>
    <n v="2"/>
    <n v="1"/>
    <n v="1"/>
  </r>
  <r>
    <n v="34"/>
    <s v="No"/>
    <s v="Travel_Frequently"/>
    <n v="426"/>
    <s v="Research &amp; Development"/>
    <n v="10"/>
    <n v="4"/>
    <s v="Life Sciences"/>
    <n v="3"/>
    <s v="Male"/>
    <n v="42"/>
    <n v="4"/>
    <n v="2"/>
    <s v="Manufacturing Director"/>
    <n v="4"/>
    <s v="Divorced"/>
    <n v="4724"/>
    <n v="17000"/>
    <n v="1"/>
    <s v="No"/>
    <n v="13"/>
    <n v="3"/>
    <n v="1"/>
    <n v="1"/>
    <n v="9"/>
    <n v="3"/>
    <n v="3"/>
    <n v="9"/>
    <n v="7"/>
    <n v="7"/>
    <n v="2"/>
  </r>
  <r>
    <n v="49"/>
    <s v="No"/>
    <s v="Travel_Rarely"/>
    <n v="722"/>
    <s v="Research &amp; Development"/>
    <n v="25"/>
    <n v="4"/>
    <s v="Life Sciences"/>
    <n v="3"/>
    <s v="Female"/>
    <n v="84"/>
    <n v="3"/>
    <n v="1"/>
    <s v="Laboratory Technician"/>
    <n v="1"/>
    <s v="Married"/>
    <n v="3211"/>
    <n v="22102"/>
    <n v="1"/>
    <s v="No"/>
    <n v="14"/>
    <n v="3"/>
    <n v="4"/>
    <n v="1"/>
    <n v="10"/>
    <n v="3"/>
    <n v="2"/>
    <n v="9"/>
    <n v="6"/>
    <n v="1"/>
    <n v="4"/>
  </r>
  <r>
    <n v="39"/>
    <s v="No"/>
    <s v="Travel_Rarely"/>
    <n v="1387"/>
    <s v="Research &amp; Development"/>
    <n v="10"/>
    <n v="5"/>
    <s v="Medical"/>
    <n v="2"/>
    <s v="Male"/>
    <n v="76"/>
    <n v="3"/>
    <n v="2"/>
    <s v="Manufacturing Director"/>
    <n v="1"/>
    <s v="Married"/>
    <n v="5377"/>
    <n v="3835"/>
    <n v="2"/>
    <s v="No"/>
    <n v="13"/>
    <n v="3"/>
    <n v="4"/>
    <n v="3"/>
    <n v="10"/>
    <n v="3"/>
    <n v="3"/>
    <n v="7"/>
    <n v="7"/>
    <n v="7"/>
    <n v="7"/>
  </r>
  <r>
    <n v="27"/>
    <s v="No"/>
    <s v="Travel_Rarely"/>
    <n v="1302"/>
    <s v="Research &amp; Development"/>
    <n v="19"/>
    <n v="3"/>
    <s v="Other"/>
    <n v="4"/>
    <s v="Male"/>
    <n v="67"/>
    <n v="2"/>
    <n v="1"/>
    <s v="Laboratory Technician"/>
    <n v="1"/>
    <s v="Divorced"/>
    <n v="4066"/>
    <n v="16290"/>
    <n v="1"/>
    <s v="No"/>
    <n v="11"/>
    <n v="3"/>
    <n v="1"/>
    <n v="2"/>
    <n v="7"/>
    <n v="3"/>
    <n v="3"/>
    <n v="7"/>
    <n v="7"/>
    <n v="0"/>
    <n v="7"/>
  </r>
  <r>
    <n v="35"/>
    <s v="No"/>
    <s v="Travel_Rarely"/>
    <n v="819"/>
    <s v="Research &amp; Development"/>
    <n v="18"/>
    <n v="5"/>
    <s v="Life Sciences"/>
    <n v="2"/>
    <s v="Male"/>
    <n v="48"/>
    <n v="4"/>
    <n v="2"/>
    <s v="Research Scientist"/>
    <n v="1"/>
    <s v="Married"/>
    <n v="5208"/>
    <n v="26312"/>
    <n v="1"/>
    <s v="No"/>
    <n v="11"/>
    <n v="3"/>
    <n v="4"/>
    <n v="0"/>
    <n v="16"/>
    <n v="2"/>
    <n v="3"/>
    <n v="16"/>
    <n v="15"/>
    <n v="1"/>
    <n v="10"/>
  </r>
  <r>
    <n v="28"/>
    <s v="No"/>
    <s v="Travel_Rarely"/>
    <n v="580"/>
    <s v="Research &amp; Development"/>
    <n v="27"/>
    <n v="3"/>
    <s v="Medical"/>
    <n v="2"/>
    <s v="Female"/>
    <n v="39"/>
    <n v="1"/>
    <n v="2"/>
    <s v="Manufacturing Director"/>
    <n v="1"/>
    <s v="Divorced"/>
    <n v="4877"/>
    <n v="20460"/>
    <n v="0"/>
    <s v="No"/>
    <n v="21"/>
    <n v="4"/>
    <n v="2"/>
    <n v="1"/>
    <n v="6"/>
    <n v="5"/>
    <n v="2"/>
    <n v="5"/>
    <n v="3"/>
    <n v="0"/>
    <n v="0"/>
  </r>
  <r>
    <n v="21"/>
    <s v="No"/>
    <s v="Travel_Rarely"/>
    <n v="546"/>
    <s v="Research &amp; Development"/>
    <n v="5"/>
    <n v="1"/>
    <s v="Medical"/>
    <n v="3"/>
    <s v="Male"/>
    <n v="97"/>
    <n v="3"/>
    <n v="1"/>
    <s v="Research Scientist"/>
    <n v="4"/>
    <s v="Single"/>
    <n v="3117"/>
    <n v="26009"/>
    <n v="1"/>
    <s v="No"/>
    <n v="18"/>
    <n v="3"/>
    <n v="3"/>
    <n v="0"/>
    <n v="3"/>
    <n v="2"/>
    <n v="3"/>
    <n v="2"/>
    <n v="2"/>
    <n v="2"/>
    <n v="2"/>
  </r>
  <r>
    <n v="18"/>
    <s v="Yes"/>
    <s v="Travel_Frequently"/>
    <n v="544"/>
    <s v="Sales"/>
    <n v="3"/>
    <n v="2"/>
    <s v="Medical"/>
    <n v="2"/>
    <s v="Female"/>
    <n v="70"/>
    <n v="3"/>
    <n v="1"/>
    <s v="Sales Representative"/>
    <n v="4"/>
    <s v="Single"/>
    <n v="1569"/>
    <n v="18420"/>
    <n v="1"/>
    <s v="Yes"/>
    <n v="12"/>
    <n v="3"/>
    <n v="3"/>
    <n v="0"/>
    <n v="0"/>
    <n v="2"/>
    <n v="4"/>
    <n v="0"/>
    <n v="0"/>
    <n v="0"/>
    <n v="0"/>
  </r>
  <r>
    <n v="47"/>
    <s v="No"/>
    <s v="Travel_Rarely"/>
    <n v="1176"/>
    <s v="Human Resources"/>
    <n v="26"/>
    <n v="4"/>
    <s v="Life Sciences"/>
    <n v="4"/>
    <s v="Female"/>
    <n v="98"/>
    <n v="3"/>
    <n v="5"/>
    <s v="Manager"/>
    <n v="3"/>
    <s v="Married"/>
    <n v="19658"/>
    <n v="5220"/>
    <n v="3"/>
    <s v="No"/>
    <n v="11"/>
    <n v="3"/>
    <n v="3"/>
    <n v="1"/>
    <n v="27"/>
    <n v="2"/>
    <n v="3"/>
    <n v="5"/>
    <n v="2"/>
    <n v="1"/>
    <n v="0"/>
  </r>
  <r>
    <n v="39"/>
    <s v="No"/>
    <s v="Travel_Rarely"/>
    <n v="170"/>
    <s v="Research &amp; Development"/>
    <n v="3"/>
    <n v="2"/>
    <s v="Medical"/>
    <n v="3"/>
    <s v="Male"/>
    <n v="76"/>
    <n v="2"/>
    <n v="2"/>
    <s v="Laboratory Technician"/>
    <n v="3"/>
    <s v="Divorced"/>
    <n v="3069"/>
    <n v="10302"/>
    <n v="0"/>
    <s v="No"/>
    <n v="15"/>
    <n v="3"/>
    <n v="4"/>
    <n v="1"/>
    <n v="11"/>
    <n v="3"/>
    <n v="3"/>
    <n v="10"/>
    <n v="8"/>
    <n v="0"/>
    <n v="7"/>
  </r>
  <r>
    <n v="40"/>
    <s v="No"/>
    <s v="Travel_Rarely"/>
    <n v="884"/>
    <s v="Research &amp; Development"/>
    <n v="15"/>
    <n v="3"/>
    <s v="Life Sciences"/>
    <n v="1"/>
    <s v="Female"/>
    <n v="80"/>
    <n v="2"/>
    <n v="3"/>
    <s v="Manufacturing Director"/>
    <n v="3"/>
    <s v="Married"/>
    <n v="10435"/>
    <n v="25800"/>
    <n v="1"/>
    <s v="No"/>
    <n v="13"/>
    <n v="3"/>
    <n v="4"/>
    <n v="2"/>
    <n v="18"/>
    <n v="2"/>
    <n v="3"/>
    <n v="18"/>
    <n v="15"/>
    <n v="14"/>
    <n v="12"/>
  </r>
  <r>
    <n v="35"/>
    <s v="No"/>
    <s v="Non-Travel"/>
    <n v="208"/>
    <s v="Research &amp; Development"/>
    <n v="8"/>
    <n v="4"/>
    <s v="Life Sciences"/>
    <n v="3"/>
    <s v="Female"/>
    <n v="52"/>
    <n v="3"/>
    <n v="2"/>
    <s v="Healthcare Representative"/>
    <n v="3"/>
    <s v="Married"/>
    <n v="4148"/>
    <n v="12250"/>
    <n v="1"/>
    <s v="No"/>
    <n v="12"/>
    <n v="3"/>
    <n v="4"/>
    <n v="1"/>
    <n v="15"/>
    <n v="5"/>
    <n v="3"/>
    <n v="14"/>
    <n v="11"/>
    <n v="2"/>
    <n v="9"/>
  </r>
  <r>
    <n v="37"/>
    <s v="No"/>
    <s v="Travel_Rarely"/>
    <n v="671"/>
    <s v="Research &amp; Development"/>
    <n v="19"/>
    <n v="3"/>
    <s v="Life Sciences"/>
    <n v="3"/>
    <s v="Male"/>
    <n v="85"/>
    <n v="3"/>
    <n v="2"/>
    <s v="Manufacturing Director"/>
    <n v="3"/>
    <s v="Married"/>
    <n v="5768"/>
    <n v="26493"/>
    <n v="3"/>
    <s v="No"/>
    <n v="17"/>
    <n v="3"/>
    <n v="1"/>
    <n v="3"/>
    <n v="9"/>
    <n v="2"/>
    <n v="2"/>
    <n v="4"/>
    <n v="3"/>
    <n v="0"/>
    <n v="2"/>
  </r>
  <r>
    <n v="39"/>
    <s v="No"/>
    <s v="Travel_Frequently"/>
    <n v="711"/>
    <s v="Research &amp; Development"/>
    <n v="4"/>
    <n v="3"/>
    <s v="Medical"/>
    <n v="1"/>
    <s v="Female"/>
    <n v="81"/>
    <n v="3"/>
    <n v="2"/>
    <s v="Manufacturing Director"/>
    <n v="3"/>
    <s v="Single"/>
    <n v="5042"/>
    <n v="3140"/>
    <n v="0"/>
    <s v="No"/>
    <n v="13"/>
    <n v="3"/>
    <n v="4"/>
    <n v="0"/>
    <n v="10"/>
    <n v="2"/>
    <n v="1"/>
    <n v="9"/>
    <n v="2"/>
    <n v="3"/>
    <n v="8"/>
  </r>
  <r>
    <n v="45"/>
    <s v="No"/>
    <s v="Travel_Rarely"/>
    <n v="1329"/>
    <s v="Research &amp; Development"/>
    <n v="2"/>
    <n v="2"/>
    <s v="Other"/>
    <n v="4"/>
    <s v="Female"/>
    <n v="59"/>
    <n v="2"/>
    <n v="2"/>
    <s v="Manufacturing Director"/>
    <n v="4"/>
    <s v="Divorced"/>
    <n v="5770"/>
    <n v="5388"/>
    <n v="1"/>
    <s v="No"/>
    <n v="19"/>
    <n v="3"/>
    <n v="1"/>
    <n v="2"/>
    <n v="10"/>
    <n v="3"/>
    <n v="3"/>
    <n v="10"/>
    <n v="7"/>
    <n v="3"/>
    <n v="9"/>
  </r>
  <r>
    <n v="38"/>
    <s v="No"/>
    <s v="Travel_Rarely"/>
    <n v="397"/>
    <s v="Research &amp; Development"/>
    <n v="2"/>
    <n v="2"/>
    <s v="Medical"/>
    <n v="4"/>
    <s v="Female"/>
    <n v="54"/>
    <n v="2"/>
    <n v="3"/>
    <s v="Manufacturing Director"/>
    <n v="3"/>
    <s v="Married"/>
    <n v="7756"/>
    <n v="14199"/>
    <n v="3"/>
    <s v="Yes"/>
    <n v="19"/>
    <n v="3"/>
    <n v="4"/>
    <n v="1"/>
    <n v="10"/>
    <n v="6"/>
    <n v="4"/>
    <n v="5"/>
    <n v="4"/>
    <n v="0"/>
    <n v="2"/>
  </r>
  <r>
    <n v="35"/>
    <s v="Yes"/>
    <s v="Travel_Rarely"/>
    <n v="737"/>
    <s v="Sales"/>
    <n v="10"/>
    <n v="3"/>
    <s v="Medical"/>
    <n v="4"/>
    <s v="Male"/>
    <n v="55"/>
    <n v="2"/>
    <n v="3"/>
    <s v="Sales Executive"/>
    <n v="1"/>
    <s v="Married"/>
    <n v="10306"/>
    <n v="21530"/>
    <n v="9"/>
    <s v="No"/>
    <n v="17"/>
    <n v="3"/>
    <n v="3"/>
    <n v="0"/>
    <n v="15"/>
    <n v="3"/>
    <n v="3"/>
    <n v="13"/>
    <n v="12"/>
    <n v="6"/>
    <n v="0"/>
  </r>
  <r>
    <n v="37"/>
    <s v="No"/>
    <s v="Travel_Rarely"/>
    <n v="1470"/>
    <s v="Research &amp; Development"/>
    <n v="10"/>
    <n v="3"/>
    <s v="Medical"/>
    <n v="2"/>
    <s v="Female"/>
    <n v="71"/>
    <n v="3"/>
    <n v="1"/>
    <s v="Research Scientist"/>
    <n v="2"/>
    <s v="Married"/>
    <n v="3936"/>
    <n v="9953"/>
    <n v="1"/>
    <s v="No"/>
    <n v="11"/>
    <n v="3"/>
    <n v="1"/>
    <n v="1"/>
    <n v="8"/>
    <n v="2"/>
    <n v="1"/>
    <n v="8"/>
    <n v="4"/>
    <n v="7"/>
    <n v="7"/>
  </r>
  <r>
    <n v="40"/>
    <s v="No"/>
    <s v="Travel_Rarely"/>
    <n v="448"/>
    <s v="Research &amp; Development"/>
    <n v="16"/>
    <n v="3"/>
    <s v="Life Sciences"/>
    <n v="3"/>
    <s v="Female"/>
    <n v="84"/>
    <n v="3"/>
    <n v="3"/>
    <s v="Manufacturing Director"/>
    <n v="4"/>
    <s v="Single"/>
    <n v="7945"/>
    <n v="19948"/>
    <n v="6"/>
    <s v="Yes"/>
    <n v="15"/>
    <n v="3"/>
    <n v="4"/>
    <n v="0"/>
    <n v="18"/>
    <n v="2"/>
    <n v="2"/>
    <n v="4"/>
    <n v="2"/>
    <n v="3"/>
    <n v="3"/>
  </r>
  <r>
    <n v="44"/>
    <s v="No"/>
    <s v="Travel_Frequently"/>
    <n v="602"/>
    <s v="Human Resources"/>
    <n v="1"/>
    <n v="5"/>
    <s v="Human Resources"/>
    <n v="1"/>
    <s v="Male"/>
    <n v="37"/>
    <n v="3"/>
    <n v="2"/>
    <s v="Human Resources"/>
    <n v="4"/>
    <s v="Married"/>
    <n v="5743"/>
    <n v="10503"/>
    <n v="4"/>
    <s v="Yes"/>
    <n v="11"/>
    <n v="3"/>
    <n v="3"/>
    <n v="0"/>
    <n v="14"/>
    <n v="3"/>
    <n v="3"/>
    <n v="10"/>
    <n v="7"/>
    <n v="0"/>
    <n v="2"/>
  </r>
  <r>
    <n v="48"/>
    <s v="No"/>
    <s v="Travel_Frequently"/>
    <n v="365"/>
    <s v="Research &amp; Development"/>
    <n v="4"/>
    <n v="5"/>
    <s v="Medical"/>
    <n v="3"/>
    <s v="Male"/>
    <n v="89"/>
    <n v="2"/>
    <n v="4"/>
    <s v="Manager"/>
    <n v="4"/>
    <s v="Married"/>
    <n v="15202"/>
    <n v="5602"/>
    <n v="2"/>
    <s v="No"/>
    <n v="25"/>
    <n v="4"/>
    <n v="2"/>
    <n v="1"/>
    <n v="23"/>
    <n v="3"/>
    <n v="3"/>
    <n v="2"/>
    <n v="2"/>
    <n v="2"/>
    <n v="2"/>
  </r>
  <r>
    <n v="35"/>
    <s v="Yes"/>
    <s v="Travel_Rarely"/>
    <n v="763"/>
    <s v="Sales"/>
    <n v="15"/>
    <n v="2"/>
    <s v="Medical"/>
    <n v="1"/>
    <s v="Male"/>
    <n v="59"/>
    <n v="1"/>
    <n v="2"/>
    <s v="Sales Executive"/>
    <n v="4"/>
    <s v="Divorced"/>
    <n v="5440"/>
    <n v="22098"/>
    <n v="6"/>
    <s v="Yes"/>
    <n v="14"/>
    <n v="3"/>
    <n v="4"/>
    <n v="2"/>
    <n v="7"/>
    <n v="2"/>
    <n v="2"/>
    <n v="2"/>
    <n v="2"/>
    <n v="2"/>
    <n v="2"/>
  </r>
  <r>
    <n v="24"/>
    <s v="No"/>
    <s v="Travel_Frequently"/>
    <n v="567"/>
    <s v="Research &amp; Development"/>
    <n v="2"/>
    <n v="1"/>
    <s v="Technical Degree"/>
    <n v="1"/>
    <s v="Female"/>
    <n v="32"/>
    <n v="3"/>
    <n v="1"/>
    <s v="Research Scientist"/>
    <n v="4"/>
    <s v="Single"/>
    <n v="3760"/>
    <n v="17218"/>
    <n v="1"/>
    <s v="Yes"/>
    <n v="13"/>
    <n v="3"/>
    <n v="3"/>
    <n v="0"/>
    <n v="6"/>
    <n v="2"/>
    <n v="3"/>
    <n v="6"/>
    <n v="3"/>
    <n v="1"/>
    <n v="3"/>
  </r>
  <r>
    <n v="27"/>
    <s v="No"/>
    <s v="Travel_Rarely"/>
    <n v="486"/>
    <s v="Research &amp; Development"/>
    <n v="8"/>
    <n v="3"/>
    <s v="Medical"/>
    <n v="2"/>
    <s v="Female"/>
    <n v="86"/>
    <n v="4"/>
    <n v="1"/>
    <s v="Research Scientist"/>
    <n v="3"/>
    <s v="Married"/>
    <n v="3517"/>
    <n v="22490"/>
    <n v="7"/>
    <s v="No"/>
    <n v="17"/>
    <n v="3"/>
    <n v="1"/>
    <n v="0"/>
    <n v="5"/>
    <n v="0"/>
    <n v="3"/>
    <n v="3"/>
    <n v="2"/>
    <n v="0"/>
    <n v="2"/>
  </r>
  <r>
    <n v="27"/>
    <s v="No"/>
    <s v="Travel_Frequently"/>
    <n v="591"/>
    <s v="Research &amp; Development"/>
    <n v="2"/>
    <n v="3"/>
    <s v="Medical"/>
    <n v="4"/>
    <s v="Male"/>
    <n v="87"/>
    <n v="3"/>
    <n v="1"/>
    <s v="Research Scientist"/>
    <n v="4"/>
    <s v="Single"/>
    <n v="2580"/>
    <n v="6297"/>
    <n v="2"/>
    <s v="No"/>
    <n v="13"/>
    <n v="3"/>
    <n v="3"/>
    <n v="0"/>
    <n v="6"/>
    <n v="0"/>
    <n v="2"/>
    <n v="4"/>
    <n v="2"/>
    <n v="1"/>
    <n v="2"/>
  </r>
  <r>
    <n v="40"/>
    <s v="Yes"/>
    <s v="Travel_Rarely"/>
    <n v="1329"/>
    <s v="Research &amp; Development"/>
    <n v="7"/>
    <n v="3"/>
    <s v="Life Sciences"/>
    <n v="1"/>
    <s v="Male"/>
    <n v="73"/>
    <n v="3"/>
    <n v="1"/>
    <s v="Laboratory Technician"/>
    <n v="1"/>
    <s v="Single"/>
    <n v="2166"/>
    <n v="3339"/>
    <n v="3"/>
    <s v="Yes"/>
    <n v="14"/>
    <n v="3"/>
    <n v="2"/>
    <n v="0"/>
    <n v="10"/>
    <n v="3"/>
    <n v="1"/>
    <n v="4"/>
    <n v="2"/>
    <n v="0"/>
    <n v="3"/>
  </r>
  <r>
    <n v="29"/>
    <s v="No"/>
    <s v="Travel_Rarely"/>
    <n v="469"/>
    <s v="Sales"/>
    <n v="10"/>
    <n v="3"/>
    <s v="Medical"/>
    <n v="3"/>
    <s v="Male"/>
    <n v="42"/>
    <n v="2"/>
    <n v="2"/>
    <s v="Sales Executive"/>
    <n v="3"/>
    <s v="Single"/>
    <n v="5869"/>
    <n v="23413"/>
    <n v="9"/>
    <s v="No"/>
    <n v="11"/>
    <n v="3"/>
    <n v="3"/>
    <n v="0"/>
    <n v="8"/>
    <n v="2"/>
    <n v="3"/>
    <n v="5"/>
    <n v="2"/>
    <n v="1"/>
    <n v="4"/>
  </r>
  <r>
    <n v="36"/>
    <s v="No"/>
    <s v="Travel_Rarely"/>
    <n v="711"/>
    <s v="Research &amp; Development"/>
    <n v="5"/>
    <n v="4"/>
    <s v="Life Sciences"/>
    <n v="2"/>
    <s v="Female"/>
    <n v="42"/>
    <n v="3"/>
    <n v="3"/>
    <s v="Healthcare Representative"/>
    <n v="1"/>
    <s v="Married"/>
    <n v="8008"/>
    <n v="22792"/>
    <n v="4"/>
    <s v="No"/>
    <n v="12"/>
    <n v="3"/>
    <n v="3"/>
    <n v="2"/>
    <n v="9"/>
    <n v="6"/>
    <n v="3"/>
    <n v="3"/>
    <n v="2"/>
    <n v="0"/>
    <n v="2"/>
  </r>
  <r>
    <n v="25"/>
    <s v="No"/>
    <s v="Travel_Frequently"/>
    <n v="772"/>
    <s v="Research &amp; Development"/>
    <n v="2"/>
    <n v="1"/>
    <s v="Life Sciences"/>
    <n v="4"/>
    <s v="Male"/>
    <n v="77"/>
    <n v="4"/>
    <n v="2"/>
    <s v="Manufacturing Director"/>
    <n v="3"/>
    <s v="Divorced"/>
    <n v="5206"/>
    <n v="4973"/>
    <n v="1"/>
    <s v="No"/>
    <n v="17"/>
    <n v="3"/>
    <n v="3"/>
    <n v="2"/>
    <n v="7"/>
    <n v="6"/>
    <n v="3"/>
    <n v="7"/>
    <n v="7"/>
    <n v="0"/>
    <n v="7"/>
  </r>
  <r>
    <n v="39"/>
    <s v="No"/>
    <s v="Travel_Rarely"/>
    <n v="492"/>
    <s v="Research &amp; Development"/>
    <n v="12"/>
    <n v="3"/>
    <s v="Medical"/>
    <n v="4"/>
    <s v="Male"/>
    <n v="66"/>
    <n v="3"/>
    <n v="2"/>
    <s v="Manufacturing Director"/>
    <n v="2"/>
    <s v="Married"/>
    <n v="5295"/>
    <n v="7693"/>
    <n v="4"/>
    <s v="No"/>
    <n v="21"/>
    <n v="4"/>
    <n v="3"/>
    <n v="0"/>
    <n v="7"/>
    <n v="3"/>
    <n v="3"/>
    <n v="5"/>
    <n v="4"/>
    <n v="1"/>
    <n v="0"/>
  </r>
  <r>
    <n v="49"/>
    <s v="No"/>
    <s v="Travel_Rarely"/>
    <n v="301"/>
    <s v="Research &amp; Development"/>
    <n v="22"/>
    <n v="4"/>
    <s v="Other"/>
    <n v="1"/>
    <s v="Female"/>
    <n v="72"/>
    <n v="3"/>
    <n v="4"/>
    <s v="Research Director"/>
    <n v="2"/>
    <s v="Married"/>
    <n v="16413"/>
    <n v="3498"/>
    <n v="3"/>
    <s v="No"/>
    <n v="16"/>
    <n v="3"/>
    <n v="2"/>
    <n v="2"/>
    <n v="27"/>
    <n v="2"/>
    <n v="3"/>
    <n v="4"/>
    <n v="2"/>
    <n v="1"/>
    <n v="2"/>
  </r>
  <r>
    <n v="50"/>
    <s v="No"/>
    <s v="Travel_Rarely"/>
    <n v="813"/>
    <s v="Research &amp; Development"/>
    <n v="17"/>
    <n v="5"/>
    <s v="Life Sciences"/>
    <n v="4"/>
    <s v="Female"/>
    <n v="50"/>
    <n v="2"/>
    <n v="3"/>
    <s v="Research Director"/>
    <n v="1"/>
    <s v="Divorced"/>
    <n v="13269"/>
    <n v="21981"/>
    <n v="5"/>
    <s v="No"/>
    <n v="15"/>
    <n v="3"/>
    <n v="3"/>
    <n v="3"/>
    <n v="19"/>
    <n v="3"/>
    <n v="3"/>
    <n v="14"/>
    <n v="11"/>
    <n v="1"/>
    <n v="11"/>
  </r>
  <r>
    <n v="20"/>
    <s v="No"/>
    <s v="Travel_Rarely"/>
    <n v="1141"/>
    <s v="Sales"/>
    <n v="2"/>
    <n v="3"/>
    <s v="Medical"/>
    <n v="3"/>
    <s v="Female"/>
    <n v="31"/>
    <n v="3"/>
    <n v="1"/>
    <s v="Sales Representative"/>
    <n v="3"/>
    <s v="Single"/>
    <n v="2783"/>
    <n v="13251"/>
    <n v="1"/>
    <s v="No"/>
    <n v="19"/>
    <n v="3"/>
    <n v="1"/>
    <n v="0"/>
    <n v="2"/>
    <n v="3"/>
    <n v="3"/>
    <n v="2"/>
    <n v="2"/>
    <n v="2"/>
    <n v="2"/>
  </r>
  <r>
    <n v="34"/>
    <s v="No"/>
    <s v="Travel_Rarely"/>
    <n v="1130"/>
    <s v="Research &amp; Development"/>
    <n v="3"/>
    <n v="3"/>
    <s v="Life Sciences"/>
    <n v="4"/>
    <s v="Female"/>
    <n v="66"/>
    <n v="3"/>
    <n v="2"/>
    <s v="Research Scientist"/>
    <n v="2"/>
    <s v="Divorced"/>
    <n v="5433"/>
    <n v="19332"/>
    <n v="1"/>
    <s v="No"/>
    <n v="12"/>
    <n v="3"/>
    <n v="3"/>
    <n v="1"/>
    <n v="11"/>
    <n v="2"/>
    <n v="3"/>
    <n v="11"/>
    <n v="8"/>
    <n v="7"/>
    <n v="9"/>
  </r>
  <r>
    <n v="36"/>
    <s v="No"/>
    <s v="Travel_Rarely"/>
    <n v="311"/>
    <s v="Research &amp; Development"/>
    <n v="7"/>
    <n v="3"/>
    <s v="Life Sciences"/>
    <n v="1"/>
    <s v="Male"/>
    <n v="77"/>
    <n v="3"/>
    <n v="1"/>
    <s v="Laboratory Technician"/>
    <n v="2"/>
    <s v="Single"/>
    <n v="2013"/>
    <n v="10950"/>
    <n v="2"/>
    <s v="No"/>
    <n v="11"/>
    <n v="3"/>
    <n v="3"/>
    <n v="0"/>
    <n v="15"/>
    <n v="4"/>
    <n v="3"/>
    <n v="4"/>
    <n v="3"/>
    <n v="1"/>
    <n v="3"/>
  </r>
  <r>
    <n v="49"/>
    <s v="No"/>
    <s v="Travel_Rarely"/>
    <n v="465"/>
    <s v="Research &amp; Development"/>
    <n v="6"/>
    <n v="1"/>
    <s v="Life Sciences"/>
    <n v="3"/>
    <s v="Female"/>
    <n v="41"/>
    <n v="2"/>
    <n v="4"/>
    <s v="Healthcare Representative"/>
    <n v="3"/>
    <s v="Married"/>
    <n v="13966"/>
    <n v="11652"/>
    <n v="2"/>
    <s v="Yes"/>
    <n v="19"/>
    <n v="3"/>
    <n v="2"/>
    <n v="1"/>
    <n v="30"/>
    <n v="3"/>
    <n v="3"/>
    <n v="15"/>
    <n v="11"/>
    <n v="2"/>
    <n v="12"/>
  </r>
  <r>
    <n v="36"/>
    <s v="No"/>
    <s v="Non-Travel"/>
    <n v="894"/>
    <s v="Research &amp; Development"/>
    <n v="1"/>
    <n v="4"/>
    <s v="Medical"/>
    <n v="4"/>
    <s v="Female"/>
    <n v="33"/>
    <n v="2"/>
    <n v="2"/>
    <s v="Manufacturing Director"/>
    <n v="3"/>
    <s v="Married"/>
    <n v="4374"/>
    <n v="15411"/>
    <n v="0"/>
    <s v="No"/>
    <n v="15"/>
    <n v="3"/>
    <n v="3"/>
    <n v="0"/>
    <n v="4"/>
    <n v="6"/>
    <n v="3"/>
    <n v="3"/>
    <n v="2"/>
    <n v="1"/>
    <n v="2"/>
  </r>
  <r>
    <n v="36"/>
    <s v="No"/>
    <s v="Travel_Rarely"/>
    <n v="1040"/>
    <s v="Research &amp; Development"/>
    <n v="3"/>
    <n v="2"/>
    <s v="Life Sciences"/>
    <n v="4"/>
    <s v="Male"/>
    <n v="79"/>
    <n v="4"/>
    <n v="2"/>
    <s v="Healthcare Representative"/>
    <n v="1"/>
    <s v="Divorced"/>
    <n v="6842"/>
    <n v="26308"/>
    <n v="6"/>
    <s v="No"/>
    <n v="20"/>
    <n v="4"/>
    <n v="1"/>
    <n v="1"/>
    <n v="13"/>
    <n v="3"/>
    <n v="3"/>
    <n v="5"/>
    <n v="4"/>
    <n v="0"/>
    <n v="4"/>
  </r>
  <r>
    <n v="54"/>
    <s v="No"/>
    <s v="Travel_Rarely"/>
    <n v="584"/>
    <s v="Research &amp; Development"/>
    <n v="22"/>
    <n v="5"/>
    <s v="Medical"/>
    <n v="2"/>
    <s v="Female"/>
    <n v="91"/>
    <n v="3"/>
    <n v="4"/>
    <s v="Manager"/>
    <n v="3"/>
    <s v="Married"/>
    <n v="17426"/>
    <n v="18685"/>
    <n v="3"/>
    <s v="No"/>
    <n v="25"/>
    <n v="4"/>
    <n v="3"/>
    <n v="1"/>
    <n v="36"/>
    <n v="6"/>
    <n v="3"/>
    <n v="10"/>
    <n v="8"/>
    <n v="4"/>
    <n v="7"/>
  </r>
  <r>
    <n v="43"/>
    <s v="No"/>
    <s v="Travel_Rarely"/>
    <n v="1291"/>
    <s v="Research &amp; Development"/>
    <n v="15"/>
    <n v="2"/>
    <s v="Life Sciences"/>
    <n v="3"/>
    <s v="Male"/>
    <n v="65"/>
    <n v="2"/>
    <n v="4"/>
    <s v="Research Director"/>
    <n v="3"/>
    <s v="Married"/>
    <n v="17603"/>
    <n v="3525"/>
    <n v="1"/>
    <s v="No"/>
    <n v="24"/>
    <n v="4"/>
    <n v="1"/>
    <n v="1"/>
    <n v="14"/>
    <n v="3"/>
    <n v="3"/>
    <n v="14"/>
    <n v="10"/>
    <n v="6"/>
    <n v="11"/>
  </r>
  <r>
    <n v="35"/>
    <s v="Yes"/>
    <s v="Travel_Frequently"/>
    <n v="880"/>
    <s v="Sales"/>
    <n v="12"/>
    <n v="4"/>
    <s v="Other"/>
    <n v="4"/>
    <s v="Male"/>
    <n v="36"/>
    <n v="3"/>
    <n v="2"/>
    <s v="Sales Executive"/>
    <n v="4"/>
    <s v="Single"/>
    <n v="4581"/>
    <n v="10414"/>
    <n v="3"/>
    <s v="Yes"/>
    <n v="24"/>
    <n v="4"/>
    <n v="1"/>
    <n v="0"/>
    <n v="13"/>
    <n v="2"/>
    <n v="4"/>
    <n v="11"/>
    <n v="9"/>
    <n v="6"/>
    <n v="7"/>
  </r>
  <r>
    <n v="38"/>
    <s v="No"/>
    <s v="Travel_Frequently"/>
    <n v="1189"/>
    <s v="Research &amp; Development"/>
    <n v="1"/>
    <n v="3"/>
    <s v="Life Sciences"/>
    <n v="4"/>
    <s v="Male"/>
    <n v="90"/>
    <n v="3"/>
    <n v="2"/>
    <s v="Research Scientist"/>
    <n v="4"/>
    <s v="Married"/>
    <n v="4735"/>
    <n v="9867"/>
    <n v="7"/>
    <s v="No"/>
    <n v="15"/>
    <n v="3"/>
    <n v="4"/>
    <n v="2"/>
    <n v="19"/>
    <n v="4"/>
    <n v="4"/>
    <n v="13"/>
    <n v="11"/>
    <n v="2"/>
    <n v="9"/>
  </r>
  <r>
    <n v="29"/>
    <s v="No"/>
    <s v="Travel_Rarely"/>
    <n v="991"/>
    <s v="Sales"/>
    <n v="5"/>
    <n v="3"/>
    <s v="Medical"/>
    <n v="1"/>
    <s v="Male"/>
    <n v="43"/>
    <n v="2"/>
    <n v="2"/>
    <s v="Sales Executive"/>
    <n v="2"/>
    <s v="Divorced"/>
    <n v="4187"/>
    <n v="3356"/>
    <n v="1"/>
    <s v="Yes"/>
    <n v="13"/>
    <n v="3"/>
    <n v="2"/>
    <n v="1"/>
    <n v="10"/>
    <n v="3"/>
    <n v="2"/>
    <n v="10"/>
    <n v="0"/>
    <n v="0"/>
    <n v="9"/>
  </r>
  <r>
    <n v="33"/>
    <s v="No"/>
    <s v="Travel_Rarely"/>
    <n v="392"/>
    <s v="Sales"/>
    <n v="2"/>
    <n v="4"/>
    <s v="Medical"/>
    <n v="4"/>
    <s v="Male"/>
    <n v="93"/>
    <n v="3"/>
    <n v="2"/>
    <s v="Sales Executive"/>
    <n v="4"/>
    <s v="Divorced"/>
    <n v="5505"/>
    <n v="3921"/>
    <n v="1"/>
    <s v="No"/>
    <n v="14"/>
    <n v="3"/>
    <n v="3"/>
    <n v="2"/>
    <n v="6"/>
    <n v="5"/>
    <n v="3"/>
    <n v="6"/>
    <n v="2"/>
    <n v="0"/>
    <n v="4"/>
  </r>
  <r>
    <n v="32"/>
    <s v="No"/>
    <s v="Travel_Rarely"/>
    <n v="977"/>
    <s v="Research &amp; Development"/>
    <n v="2"/>
    <n v="3"/>
    <s v="Medical"/>
    <n v="4"/>
    <s v="Male"/>
    <n v="45"/>
    <n v="3"/>
    <n v="2"/>
    <s v="Research Scientist"/>
    <n v="2"/>
    <s v="Divorced"/>
    <n v="5470"/>
    <n v="25518"/>
    <n v="0"/>
    <s v="No"/>
    <n v="13"/>
    <n v="3"/>
    <n v="3"/>
    <n v="2"/>
    <n v="10"/>
    <n v="4"/>
    <n v="2"/>
    <n v="9"/>
    <n v="5"/>
    <n v="1"/>
    <n v="6"/>
  </r>
  <r>
    <n v="31"/>
    <s v="No"/>
    <s v="Travel_Rarely"/>
    <n v="1112"/>
    <s v="Sales"/>
    <n v="5"/>
    <n v="4"/>
    <s v="Life Sciences"/>
    <n v="1"/>
    <s v="Female"/>
    <n v="67"/>
    <n v="3"/>
    <n v="2"/>
    <s v="Sales Executive"/>
    <n v="4"/>
    <s v="Married"/>
    <n v="5476"/>
    <n v="22589"/>
    <n v="1"/>
    <s v="No"/>
    <n v="11"/>
    <n v="3"/>
    <n v="1"/>
    <n v="2"/>
    <n v="10"/>
    <n v="2"/>
    <n v="3"/>
    <n v="10"/>
    <n v="0"/>
    <n v="0"/>
    <n v="2"/>
  </r>
  <r>
    <n v="49"/>
    <s v="No"/>
    <s v="Travel_Rarely"/>
    <n v="464"/>
    <s v="Research &amp; Development"/>
    <n v="16"/>
    <n v="3"/>
    <s v="Medical"/>
    <n v="4"/>
    <s v="Female"/>
    <n v="74"/>
    <n v="3"/>
    <n v="1"/>
    <s v="Laboratory Technician"/>
    <n v="1"/>
    <s v="Divorced"/>
    <n v="2587"/>
    <n v="24941"/>
    <n v="4"/>
    <s v="Yes"/>
    <n v="16"/>
    <n v="3"/>
    <n v="2"/>
    <n v="1"/>
    <n v="17"/>
    <n v="2"/>
    <n v="2"/>
    <n v="2"/>
    <n v="2"/>
    <n v="2"/>
    <n v="2"/>
  </r>
  <r>
    <n v="38"/>
    <s v="No"/>
    <s v="Travel_Frequently"/>
    <n v="148"/>
    <s v="Research &amp; Development"/>
    <n v="2"/>
    <n v="3"/>
    <s v="Medical"/>
    <n v="4"/>
    <s v="Female"/>
    <n v="42"/>
    <n v="2"/>
    <n v="1"/>
    <s v="Laboratory Technician"/>
    <n v="2"/>
    <s v="Single"/>
    <n v="2440"/>
    <n v="23826"/>
    <n v="1"/>
    <s v="No"/>
    <n v="22"/>
    <n v="4"/>
    <n v="2"/>
    <n v="0"/>
    <n v="4"/>
    <n v="3"/>
    <n v="3"/>
    <n v="4"/>
    <n v="3"/>
    <n v="3"/>
    <n v="3"/>
  </r>
  <r>
    <n v="47"/>
    <s v="No"/>
    <s v="Travel_Rarely"/>
    <n v="1225"/>
    <s v="Sales"/>
    <n v="2"/>
    <n v="4"/>
    <s v="Life Sciences"/>
    <n v="2"/>
    <s v="Female"/>
    <n v="47"/>
    <n v="4"/>
    <n v="4"/>
    <s v="Manager"/>
    <n v="2"/>
    <s v="Divorced"/>
    <n v="15972"/>
    <n v="21086"/>
    <n v="6"/>
    <s v="No"/>
    <n v="14"/>
    <n v="3"/>
    <n v="3"/>
    <n v="3"/>
    <n v="29"/>
    <n v="2"/>
    <n v="3"/>
    <n v="3"/>
    <n v="2"/>
    <n v="1"/>
    <n v="2"/>
  </r>
  <r>
    <n v="49"/>
    <s v="No"/>
    <s v="Travel_Rarely"/>
    <n v="809"/>
    <s v="Research &amp; Development"/>
    <n v="1"/>
    <n v="3"/>
    <s v="Life Sciences"/>
    <n v="3"/>
    <s v="Male"/>
    <n v="36"/>
    <n v="3"/>
    <n v="4"/>
    <s v="Manager"/>
    <n v="3"/>
    <s v="Single"/>
    <n v="15379"/>
    <n v="22384"/>
    <n v="4"/>
    <s v="No"/>
    <n v="14"/>
    <n v="3"/>
    <n v="1"/>
    <n v="0"/>
    <n v="23"/>
    <n v="2"/>
    <n v="3"/>
    <n v="8"/>
    <n v="7"/>
    <n v="0"/>
    <n v="0"/>
  </r>
  <r>
    <n v="41"/>
    <s v="No"/>
    <s v="Travel_Rarely"/>
    <n v="1206"/>
    <s v="Sales"/>
    <n v="23"/>
    <n v="2"/>
    <s v="Life Sciences"/>
    <n v="4"/>
    <s v="Male"/>
    <n v="80"/>
    <n v="3"/>
    <n v="3"/>
    <s v="Sales Executive"/>
    <n v="3"/>
    <s v="Single"/>
    <n v="7082"/>
    <n v="11591"/>
    <n v="3"/>
    <s v="Yes"/>
    <n v="16"/>
    <n v="3"/>
    <n v="4"/>
    <n v="0"/>
    <n v="21"/>
    <n v="2"/>
    <n v="3"/>
    <n v="2"/>
    <n v="0"/>
    <n v="0"/>
    <n v="2"/>
  </r>
  <r>
    <n v="20"/>
    <s v="No"/>
    <s v="Travel_Rarely"/>
    <n v="727"/>
    <s v="Sales"/>
    <n v="9"/>
    <n v="1"/>
    <s v="Life Sciences"/>
    <n v="4"/>
    <s v="Male"/>
    <n v="54"/>
    <n v="3"/>
    <n v="1"/>
    <s v="Sales Representative"/>
    <n v="1"/>
    <s v="Single"/>
    <n v="2728"/>
    <n v="21082"/>
    <n v="1"/>
    <s v="No"/>
    <n v="11"/>
    <n v="3"/>
    <n v="1"/>
    <n v="0"/>
    <n v="2"/>
    <n v="3"/>
    <n v="3"/>
    <n v="2"/>
    <n v="2"/>
    <n v="0"/>
    <n v="2"/>
  </r>
  <r>
    <n v="33"/>
    <s v="No"/>
    <s v="Non-Travel"/>
    <n v="530"/>
    <s v="Sales"/>
    <n v="16"/>
    <n v="3"/>
    <s v="Life Sciences"/>
    <n v="3"/>
    <s v="Female"/>
    <n v="36"/>
    <n v="3"/>
    <n v="2"/>
    <s v="Sales Executive"/>
    <n v="4"/>
    <s v="Divorced"/>
    <n v="5368"/>
    <n v="16130"/>
    <n v="1"/>
    <s v="Yes"/>
    <n v="25"/>
    <n v="4"/>
    <n v="3"/>
    <n v="1"/>
    <n v="7"/>
    <n v="2"/>
    <n v="3"/>
    <n v="6"/>
    <n v="5"/>
    <n v="1"/>
    <n v="2"/>
  </r>
  <r>
    <n v="36"/>
    <s v="No"/>
    <s v="Travel_Rarely"/>
    <n v="1351"/>
    <s v="Research &amp; Development"/>
    <n v="26"/>
    <n v="4"/>
    <s v="Life Sciences"/>
    <n v="1"/>
    <s v="Male"/>
    <n v="80"/>
    <n v="3"/>
    <n v="2"/>
    <s v="Healthcare Representative"/>
    <n v="3"/>
    <s v="Married"/>
    <n v="5347"/>
    <n v="7419"/>
    <n v="6"/>
    <s v="No"/>
    <n v="14"/>
    <n v="3"/>
    <n v="2"/>
    <n v="2"/>
    <n v="10"/>
    <n v="2"/>
    <n v="2"/>
    <n v="3"/>
    <n v="2"/>
    <n v="0"/>
    <n v="2"/>
  </r>
  <r>
    <n v="44"/>
    <s v="No"/>
    <s v="Travel_Rarely"/>
    <n v="528"/>
    <s v="Human Resources"/>
    <n v="1"/>
    <n v="3"/>
    <s v="Life Sciences"/>
    <n v="3"/>
    <s v="Female"/>
    <n v="44"/>
    <n v="3"/>
    <n v="1"/>
    <s v="Human Resources"/>
    <n v="4"/>
    <s v="Divorced"/>
    <n v="3195"/>
    <n v="4167"/>
    <n v="4"/>
    <s v="Yes"/>
    <n v="18"/>
    <n v="3"/>
    <n v="1"/>
    <n v="3"/>
    <n v="8"/>
    <n v="2"/>
    <n v="3"/>
    <n v="2"/>
    <n v="2"/>
    <n v="2"/>
    <n v="2"/>
  </r>
  <r>
    <n v="23"/>
    <s v="Yes"/>
    <s v="Travel_Rarely"/>
    <n v="1320"/>
    <s v="Research &amp; Development"/>
    <n v="8"/>
    <n v="1"/>
    <s v="Medical"/>
    <n v="4"/>
    <s v="Male"/>
    <n v="93"/>
    <n v="2"/>
    <n v="1"/>
    <s v="Laboratory Technician"/>
    <n v="3"/>
    <s v="Single"/>
    <n v="3989"/>
    <n v="20586"/>
    <n v="1"/>
    <s v="Yes"/>
    <n v="11"/>
    <n v="3"/>
    <n v="1"/>
    <n v="0"/>
    <n v="5"/>
    <n v="2"/>
    <n v="3"/>
    <n v="5"/>
    <n v="4"/>
    <n v="1"/>
    <n v="2"/>
  </r>
  <r>
    <n v="38"/>
    <s v="No"/>
    <s v="Travel_Rarely"/>
    <n v="1495"/>
    <s v="Research &amp; Development"/>
    <n v="4"/>
    <n v="2"/>
    <s v="Medical"/>
    <n v="4"/>
    <s v="Female"/>
    <n v="87"/>
    <n v="3"/>
    <n v="1"/>
    <s v="Laboratory Technician"/>
    <n v="3"/>
    <s v="Married"/>
    <n v="3306"/>
    <n v="26176"/>
    <n v="7"/>
    <s v="No"/>
    <n v="19"/>
    <n v="3"/>
    <n v="4"/>
    <n v="1"/>
    <n v="7"/>
    <n v="5"/>
    <n v="2"/>
    <n v="0"/>
    <n v="0"/>
    <n v="0"/>
    <n v="0"/>
  </r>
  <r>
    <n v="53"/>
    <s v="No"/>
    <s v="Travel_Rarely"/>
    <n v="1395"/>
    <s v="Research &amp; Development"/>
    <n v="24"/>
    <n v="4"/>
    <s v="Medical"/>
    <n v="2"/>
    <s v="Male"/>
    <n v="48"/>
    <n v="4"/>
    <n v="3"/>
    <s v="Healthcare Representative"/>
    <n v="4"/>
    <s v="Married"/>
    <n v="7005"/>
    <n v="3458"/>
    <n v="3"/>
    <s v="No"/>
    <n v="15"/>
    <n v="3"/>
    <n v="3"/>
    <n v="0"/>
    <n v="11"/>
    <n v="2"/>
    <n v="3"/>
    <n v="4"/>
    <n v="3"/>
    <n v="1"/>
    <n v="2"/>
  </r>
  <r>
    <n v="48"/>
    <s v="Yes"/>
    <s v="Travel_Frequently"/>
    <n v="708"/>
    <s v="Sales"/>
    <n v="7"/>
    <n v="2"/>
    <s v="Medical"/>
    <n v="4"/>
    <s v="Female"/>
    <n v="95"/>
    <n v="3"/>
    <n v="1"/>
    <s v="Sales Representative"/>
    <n v="3"/>
    <s v="Married"/>
    <n v="2655"/>
    <n v="11740"/>
    <n v="2"/>
    <s v="Yes"/>
    <n v="11"/>
    <n v="3"/>
    <n v="3"/>
    <n v="2"/>
    <n v="19"/>
    <n v="3"/>
    <n v="3"/>
    <n v="9"/>
    <n v="7"/>
    <n v="7"/>
    <n v="7"/>
  </r>
  <r>
    <n v="32"/>
    <s v="Yes"/>
    <s v="Travel_Rarely"/>
    <n v="1259"/>
    <s v="Research &amp; Development"/>
    <n v="2"/>
    <n v="4"/>
    <s v="Life Sciences"/>
    <n v="4"/>
    <s v="Male"/>
    <n v="95"/>
    <n v="3"/>
    <n v="1"/>
    <s v="Laboratory Technician"/>
    <n v="2"/>
    <s v="Single"/>
    <n v="1393"/>
    <n v="24852"/>
    <n v="1"/>
    <s v="No"/>
    <n v="12"/>
    <n v="3"/>
    <n v="1"/>
    <n v="0"/>
    <n v="1"/>
    <n v="2"/>
    <n v="3"/>
    <n v="1"/>
    <n v="0"/>
    <n v="0"/>
    <n v="0"/>
  </r>
  <r>
    <n v="26"/>
    <s v="No"/>
    <s v="Non-Travel"/>
    <n v="786"/>
    <s v="Research &amp; Development"/>
    <n v="7"/>
    <n v="3"/>
    <s v="Medical"/>
    <n v="4"/>
    <s v="Male"/>
    <n v="76"/>
    <n v="3"/>
    <n v="1"/>
    <s v="Laboratory Technician"/>
    <n v="4"/>
    <s v="Single"/>
    <n v="2570"/>
    <n v="11925"/>
    <n v="1"/>
    <s v="No"/>
    <n v="20"/>
    <n v="4"/>
    <n v="3"/>
    <n v="0"/>
    <n v="7"/>
    <n v="5"/>
    <n v="3"/>
    <n v="7"/>
    <n v="7"/>
    <n v="5"/>
    <n v="7"/>
  </r>
  <r>
    <n v="55"/>
    <s v="No"/>
    <s v="Travel_Rarely"/>
    <n v="1441"/>
    <s v="Research &amp; Development"/>
    <n v="22"/>
    <n v="3"/>
    <s v="Technical Degree"/>
    <n v="1"/>
    <s v="Male"/>
    <n v="94"/>
    <n v="2"/>
    <n v="1"/>
    <s v="Research Scientist"/>
    <n v="2"/>
    <s v="Divorced"/>
    <n v="3537"/>
    <n v="23737"/>
    <n v="5"/>
    <s v="No"/>
    <n v="12"/>
    <n v="3"/>
    <n v="4"/>
    <n v="1"/>
    <n v="8"/>
    <n v="1"/>
    <n v="3"/>
    <n v="4"/>
    <n v="2"/>
    <n v="1"/>
    <n v="2"/>
  </r>
  <r>
    <n v="34"/>
    <s v="No"/>
    <s v="Travel_Rarely"/>
    <n v="1157"/>
    <s v="Research &amp; Development"/>
    <n v="5"/>
    <n v="2"/>
    <s v="Medical"/>
    <n v="2"/>
    <s v="Male"/>
    <n v="57"/>
    <n v="2"/>
    <n v="2"/>
    <s v="Laboratory Technician"/>
    <n v="4"/>
    <s v="Married"/>
    <n v="3986"/>
    <n v="11912"/>
    <n v="1"/>
    <s v="No"/>
    <n v="14"/>
    <n v="3"/>
    <n v="3"/>
    <n v="1"/>
    <n v="15"/>
    <n v="3"/>
    <n v="4"/>
    <n v="15"/>
    <n v="10"/>
    <n v="4"/>
    <n v="13"/>
  </r>
  <r>
    <n v="60"/>
    <s v="No"/>
    <s v="Travel_Rarely"/>
    <n v="370"/>
    <s v="Research &amp; Development"/>
    <n v="1"/>
    <n v="4"/>
    <s v="Medical"/>
    <n v="3"/>
    <s v="Male"/>
    <n v="92"/>
    <n v="1"/>
    <n v="3"/>
    <s v="Healthcare Representative"/>
    <n v="4"/>
    <s v="Divorced"/>
    <n v="10883"/>
    <n v="20467"/>
    <n v="3"/>
    <s v="No"/>
    <n v="20"/>
    <n v="4"/>
    <n v="3"/>
    <n v="1"/>
    <n v="19"/>
    <n v="2"/>
    <n v="4"/>
    <n v="1"/>
    <n v="0"/>
    <n v="0"/>
    <n v="0"/>
  </r>
  <r>
    <n v="33"/>
    <s v="No"/>
    <s v="Travel_Rarely"/>
    <n v="267"/>
    <s v="Research &amp; Development"/>
    <n v="21"/>
    <n v="3"/>
    <s v="Medical"/>
    <n v="2"/>
    <s v="Male"/>
    <n v="79"/>
    <n v="4"/>
    <n v="1"/>
    <s v="Laboratory Technician"/>
    <n v="2"/>
    <s v="Married"/>
    <n v="2028"/>
    <n v="13637"/>
    <n v="1"/>
    <s v="No"/>
    <n v="18"/>
    <n v="3"/>
    <n v="4"/>
    <n v="3"/>
    <n v="14"/>
    <n v="6"/>
    <n v="3"/>
    <n v="14"/>
    <n v="11"/>
    <n v="2"/>
    <n v="13"/>
  </r>
  <r>
    <n v="37"/>
    <s v="No"/>
    <s v="Travel_Frequently"/>
    <n v="1278"/>
    <s v="Sales"/>
    <n v="1"/>
    <n v="4"/>
    <s v="Medical"/>
    <n v="3"/>
    <s v="Male"/>
    <n v="31"/>
    <n v="1"/>
    <n v="2"/>
    <s v="Sales Executive"/>
    <n v="4"/>
    <s v="Divorced"/>
    <n v="9525"/>
    <n v="7677"/>
    <n v="1"/>
    <s v="No"/>
    <n v="14"/>
    <n v="3"/>
    <n v="3"/>
    <n v="2"/>
    <n v="6"/>
    <n v="2"/>
    <n v="2"/>
    <n v="6"/>
    <n v="3"/>
    <n v="1"/>
    <n v="3"/>
  </r>
  <r>
    <n v="34"/>
    <s v="No"/>
    <s v="Travel_Rarely"/>
    <n v="678"/>
    <s v="Research &amp; Development"/>
    <n v="19"/>
    <n v="3"/>
    <s v="Life Sciences"/>
    <n v="2"/>
    <s v="Female"/>
    <n v="35"/>
    <n v="2"/>
    <n v="1"/>
    <s v="Research Scientist"/>
    <n v="4"/>
    <s v="Married"/>
    <n v="2929"/>
    <n v="20338"/>
    <n v="1"/>
    <s v="No"/>
    <n v="12"/>
    <n v="3"/>
    <n v="2"/>
    <n v="0"/>
    <n v="10"/>
    <n v="3"/>
    <n v="3"/>
    <n v="10"/>
    <n v="9"/>
    <n v="8"/>
    <n v="7"/>
  </r>
  <r>
    <n v="23"/>
    <s v="Yes"/>
    <s v="Travel_Rarely"/>
    <n v="427"/>
    <s v="Sales"/>
    <n v="7"/>
    <n v="3"/>
    <s v="Life Sciences"/>
    <n v="3"/>
    <s v="Male"/>
    <n v="99"/>
    <n v="3"/>
    <n v="1"/>
    <s v="Sales Representative"/>
    <n v="4"/>
    <s v="Divorced"/>
    <n v="2275"/>
    <n v="25103"/>
    <n v="1"/>
    <s v="Yes"/>
    <n v="21"/>
    <n v="4"/>
    <n v="2"/>
    <n v="1"/>
    <n v="3"/>
    <n v="2"/>
    <n v="3"/>
    <n v="3"/>
    <n v="2"/>
    <n v="0"/>
    <n v="2"/>
  </r>
  <r>
    <n v="44"/>
    <s v="No"/>
    <s v="Travel_Rarely"/>
    <n v="921"/>
    <s v="Research &amp; Development"/>
    <n v="2"/>
    <n v="3"/>
    <s v="Life Sciences"/>
    <n v="3"/>
    <s v="Female"/>
    <n v="96"/>
    <n v="4"/>
    <n v="3"/>
    <s v="Healthcare Representative"/>
    <n v="4"/>
    <s v="Married"/>
    <n v="7879"/>
    <n v="14810"/>
    <n v="1"/>
    <s v="Yes"/>
    <n v="19"/>
    <n v="3"/>
    <n v="2"/>
    <n v="1"/>
    <n v="9"/>
    <n v="2"/>
    <n v="3"/>
    <n v="8"/>
    <n v="7"/>
    <n v="6"/>
    <n v="7"/>
  </r>
  <r>
    <n v="35"/>
    <s v="No"/>
    <s v="Travel_Frequently"/>
    <n v="146"/>
    <s v="Research &amp; Development"/>
    <n v="2"/>
    <n v="4"/>
    <s v="Medical"/>
    <n v="1"/>
    <s v="Male"/>
    <n v="79"/>
    <n v="2"/>
    <n v="1"/>
    <s v="Research Scientist"/>
    <n v="4"/>
    <s v="Single"/>
    <n v="4930"/>
    <n v="13970"/>
    <n v="0"/>
    <s v="Yes"/>
    <n v="14"/>
    <n v="3"/>
    <n v="3"/>
    <n v="0"/>
    <n v="6"/>
    <n v="2"/>
    <n v="4"/>
    <n v="5"/>
    <n v="4"/>
    <n v="1"/>
    <n v="4"/>
  </r>
  <r>
    <n v="43"/>
    <s v="No"/>
    <s v="Travel_Rarely"/>
    <n v="1179"/>
    <s v="Sales"/>
    <n v="2"/>
    <n v="3"/>
    <s v="Medical"/>
    <n v="4"/>
    <s v="Male"/>
    <n v="73"/>
    <n v="3"/>
    <n v="2"/>
    <s v="Sales Executive"/>
    <n v="4"/>
    <s v="Married"/>
    <n v="7847"/>
    <n v="6069"/>
    <n v="1"/>
    <s v="Yes"/>
    <n v="17"/>
    <n v="3"/>
    <n v="1"/>
    <n v="1"/>
    <n v="10"/>
    <n v="3"/>
    <n v="3"/>
    <n v="10"/>
    <n v="9"/>
    <n v="8"/>
    <n v="8"/>
  </r>
  <r>
    <n v="24"/>
    <s v="No"/>
    <s v="Travel_Rarely"/>
    <n v="581"/>
    <s v="Research &amp; Development"/>
    <n v="9"/>
    <n v="3"/>
    <s v="Medical"/>
    <n v="3"/>
    <s v="Male"/>
    <n v="62"/>
    <n v="4"/>
    <n v="1"/>
    <s v="Research Scientist"/>
    <n v="3"/>
    <s v="Married"/>
    <n v="4401"/>
    <n v="17616"/>
    <n v="1"/>
    <s v="No"/>
    <n v="16"/>
    <n v="3"/>
    <n v="4"/>
    <n v="1"/>
    <n v="5"/>
    <n v="1"/>
    <n v="3"/>
    <n v="5"/>
    <n v="3"/>
    <n v="0"/>
    <n v="4"/>
  </r>
  <r>
    <n v="41"/>
    <s v="No"/>
    <s v="Travel_Rarely"/>
    <n v="918"/>
    <s v="Sales"/>
    <n v="6"/>
    <n v="3"/>
    <s v="Marketing"/>
    <n v="4"/>
    <s v="Male"/>
    <n v="35"/>
    <n v="3"/>
    <n v="3"/>
    <s v="Sales Executive"/>
    <n v="3"/>
    <s v="Single"/>
    <n v="9241"/>
    <n v="15869"/>
    <n v="1"/>
    <s v="No"/>
    <n v="12"/>
    <n v="3"/>
    <n v="2"/>
    <n v="0"/>
    <n v="10"/>
    <n v="3"/>
    <n v="3"/>
    <n v="10"/>
    <n v="8"/>
    <n v="8"/>
    <n v="7"/>
  </r>
  <r>
    <n v="29"/>
    <s v="No"/>
    <s v="Travel_Rarely"/>
    <n v="1082"/>
    <s v="Research &amp; Development"/>
    <n v="9"/>
    <n v="4"/>
    <s v="Medical"/>
    <n v="4"/>
    <s v="Female"/>
    <n v="43"/>
    <n v="3"/>
    <n v="1"/>
    <s v="Laboratory Technician"/>
    <n v="3"/>
    <s v="Married"/>
    <n v="2974"/>
    <n v="25412"/>
    <n v="9"/>
    <s v="No"/>
    <n v="17"/>
    <n v="3"/>
    <n v="3"/>
    <n v="1"/>
    <n v="9"/>
    <n v="2"/>
    <n v="3"/>
    <n v="5"/>
    <n v="3"/>
    <n v="1"/>
    <n v="2"/>
  </r>
  <r>
    <n v="36"/>
    <s v="No"/>
    <s v="Travel_Rarely"/>
    <n v="530"/>
    <s v="Sales"/>
    <n v="2"/>
    <n v="4"/>
    <s v="Life Sciences"/>
    <n v="3"/>
    <s v="Female"/>
    <n v="51"/>
    <n v="3"/>
    <n v="2"/>
    <s v="Sales Representative"/>
    <n v="4"/>
    <s v="Single"/>
    <n v="4502"/>
    <n v="7439"/>
    <n v="3"/>
    <s v="No"/>
    <n v="15"/>
    <n v="3"/>
    <n v="3"/>
    <n v="0"/>
    <n v="17"/>
    <n v="2"/>
    <n v="2"/>
    <n v="13"/>
    <n v="7"/>
    <n v="6"/>
    <n v="7"/>
  </r>
  <r>
    <n v="45"/>
    <s v="No"/>
    <s v="Non-Travel"/>
    <n v="1238"/>
    <s v="Research &amp; Development"/>
    <n v="1"/>
    <n v="1"/>
    <s v="Life Sciences"/>
    <n v="3"/>
    <s v="Male"/>
    <n v="74"/>
    <n v="2"/>
    <n v="3"/>
    <s v="Healthcare Representative"/>
    <n v="3"/>
    <s v="Married"/>
    <n v="10748"/>
    <n v="3395"/>
    <n v="3"/>
    <s v="No"/>
    <n v="23"/>
    <n v="4"/>
    <n v="4"/>
    <n v="1"/>
    <n v="25"/>
    <n v="3"/>
    <n v="2"/>
    <n v="23"/>
    <n v="15"/>
    <n v="14"/>
    <n v="4"/>
  </r>
  <r>
    <n v="24"/>
    <s v="Yes"/>
    <s v="Travel_Rarely"/>
    <n v="240"/>
    <s v="Human Resources"/>
    <n v="22"/>
    <n v="1"/>
    <s v="Human Resources"/>
    <n v="4"/>
    <s v="Male"/>
    <n v="58"/>
    <n v="1"/>
    <n v="1"/>
    <s v="Human Resources"/>
    <n v="3"/>
    <s v="Married"/>
    <n v="1555"/>
    <n v="11585"/>
    <n v="1"/>
    <s v="No"/>
    <n v="11"/>
    <n v="3"/>
    <n v="3"/>
    <n v="1"/>
    <n v="1"/>
    <n v="2"/>
    <n v="3"/>
    <n v="1"/>
    <n v="0"/>
    <n v="0"/>
    <n v="0"/>
  </r>
  <r>
    <n v="47"/>
    <s v="Yes"/>
    <s v="Travel_Frequently"/>
    <n v="1093"/>
    <s v="Sales"/>
    <n v="9"/>
    <n v="3"/>
    <s v="Life Sciences"/>
    <n v="3"/>
    <s v="Male"/>
    <n v="82"/>
    <n v="1"/>
    <n v="4"/>
    <s v="Sales Executive"/>
    <n v="3"/>
    <s v="Married"/>
    <n v="12936"/>
    <n v="24164"/>
    <n v="7"/>
    <s v="No"/>
    <n v="11"/>
    <n v="3"/>
    <n v="3"/>
    <n v="0"/>
    <n v="25"/>
    <n v="3"/>
    <n v="1"/>
    <n v="23"/>
    <n v="5"/>
    <n v="14"/>
    <n v="10"/>
  </r>
  <r>
    <n v="26"/>
    <s v="No"/>
    <s v="Travel_Rarely"/>
    <n v="390"/>
    <s v="Research &amp; Development"/>
    <n v="17"/>
    <n v="4"/>
    <s v="Medical"/>
    <n v="4"/>
    <s v="Male"/>
    <n v="62"/>
    <n v="1"/>
    <n v="1"/>
    <s v="Laboratory Technician"/>
    <n v="3"/>
    <s v="Married"/>
    <n v="2305"/>
    <n v="6217"/>
    <n v="1"/>
    <s v="No"/>
    <n v="15"/>
    <n v="3"/>
    <n v="3"/>
    <n v="3"/>
    <n v="3"/>
    <n v="3"/>
    <n v="4"/>
    <n v="3"/>
    <n v="2"/>
    <n v="0"/>
    <n v="2"/>
  </r>
  <r>
    <n v="45"/>
    <s v="No"/>
    <s v="Travel_Rarely"/>
    <n v="1005"/>
    <s v="Research &amp; Development"/>
    <n v="28"/>
    <n v="2"/>
    <s v="Technical Degree"/>
    <n v="4"/>
    <s v="Female"/>
    <n v="48"/>
    <n v="2"/>
    <n v="4"/>
    <s v="Research Director"/>
    <n v="2"/>
    <s v="Single"/>
    <n v="16704"/>
    <n v="17119"/>
    <n v="1"/>
    <s v="No"/>
    <n v="11"/>
    <n v="3"/>
    <n v="3"/>
    <n v="0"/>
    <n v="21"/>
    <n v="2"/>
    <n v="3"/>
    <n v="21"/>
    <n v="6"/>
    <n v="8"/>
    <n v="6"/>
  </r>
  <r>
    <n v="32"/>
    <s v="No"/>
    <s v="Travel_Frequently"/>
    <n v="585"/>
    <s v="Research &amp; Development"/>
    <n v="10"/>
    <n v="3"/>
    <s v="Life Sciences"/>
    <n v="1"/>
    <s v="Male"/>
    <n v="56"/>
    <n v="3"/>
    <n v="1"/>
    <s v="Research Scientist"/>
    <n v="3"/>
    <s v="Married"/>
    <n v="3433"/>
    <n v="17360"/>
    <n v="6"/>
    <s v="No"/>
    <n v="13"/>
    <n v="3"/>
    <n v="1"/>
    <n v="1"/>
    <n v="10"/>
    <n v="3"/>
    <n v="2"/>
    <n v="5"/>
    <n v="2"/>
    <n v="1"/>
    <n v="3"/>
  </r>
  <r>
    <n v="31"/>
    <s v="No"/>
    <s v="Travel_Rarely"/>
    <n v="741"/>
    <s v="Research &amp; Development"/>
    <n v="2"/>
    <n v="4"/>
    <s v="Life Sciences"/>
    <n v="2"/>
    <s v="Male"/>
    <n v="69"/>
    <n v="3"/>
    <n v="1"/>
    <s v="Laboratory Technician"/>
    <n v="3"/>
    <s v="Married"/>
    <n v="3477"/>
    <n v="18103"/>
    <n v="1"/>
    <s v="No"/>
    <n v="14"/>
    <n v="3"/>
    <n v="4"/>
    <n v="1"/>
    <n v="6"/>
    <n v="2"/>
    <n v="4"/>
    <n v="5"/>
    <n v="2"/>
    <n v="0"/>
    <n v="3"/>
  </r>
  <r>
    <n v="41"/>
    <s v="No"/>
    <s v="Non-Travel"/>
    <n v="552"/>
    <s v="Human Resources"/>
    <n v="4"/>
    <n v="3"/>
    <s v="Human Resources"/>
    <n v="3"/>
    <s v="Male"/>
    <n v="60"/>
    <n v="1"/>
    <n v="2"/>
    <s v="Human Resources"/>
    <n v="2"/>
    <s v="Married"/>
    <n v="6430"/>
    <n v="20794"/>
    <n v="6"/>
    <s v="No"/>
    <n v="19"/>
    <n v="3"/>
    <n v="2"/>
    <n v="1"/>
    <n v="10"/>
    <n v="4"/>
    <n v="3"/>
    <n v="3"/>
    <n v="2"/>
    <n v="1"/>
    <n v="2"/>
  </r>
  <r>
    <n v="40"/>
    <s v="No"/>
    <s v="Travel_Rarely"/>
    <n v="369"/>
    <s v="Research &amp; Development"/>
    <n v="8"/>
    <n v="2"/>
    <s v="Life Sciences"/>
    <n v="2"/>
    <s v="Female"/>
    <n v="92"/>
    <n v="3"/>
    <n v="2"/>
    <s v="Manufacturing Director"/>
    <n v="1"/>
    <s v="Married"/>
    <n v="6516"/>
    <n v="5041"/>
    <n v="2"/>
    <s v="Yes"/>
    <n v="16"/>
    <n v="3"/>
    <n v="2"/>
    <n v="1"/>
    <n v="18"/>
    <n v="3"/>
    <n v="3"/>
    <n v="1"/>
    <n v="0"/>
    <n v="0"/>
    <n v="0"/>
  </r>
  <r>
    <n v="24"/>
    <s v="No"/>
    <s v="Travel_Rarely"/>
    <n v="506"/>
    <s v="Research &amp; Development"/>
    <n v="29"/>
    <n v="1"/>
    <s v="Medical"/>
    <n v="2"/>
    <s v="Male"/>
    <n v="91"/>
    <n v="3"/>
    <n v="1"/>
    <s v="Laboratory Technician"/>
    <n v="1"/>
    <s v="Divorced"/>
    <n v="3907"/>
    <n v="3622"/>
    <n v="1"/>
    <s v="No"/>
    <n v="13"/>
    <n v="3"/>
    <n v="2"/>
    <n v="3"/>
    <n v="6"/>
    <n v="2"/>
    <n v="4"/>
    <n v="6"/>
    <n v="2"/>
    <n v="1"/>
    <n v="2"/>
  </r>
  <r>
    <n v="46"/>
    <s v="No"/>
    <s v="Travel_Rarely"/>
    <n v="717"/>
    <s v="Research &amp; Development"/>
    <n v="13"/>
    <n v="4"/>
    <s v="Life Sciences"/>
    <n v="3"/>
    <s v="Male"/>
    <n v="34"/>
    <n v="3"/>
    <n v="2"/>
    <s v="Healthcare Representative"/>
    <n v="2"/>
    <s v="Single"/>
    <n v="5562"/>
    <n v="9697"/>
    <n v="6"/>
    <s v="No"/>
    <n v="14"/>
    <n v="3"/>
    <n v="4"/>
    <n v="0"/>
    <n v="19"/>
    <n v="3"/>
    <n v="3"/>
    <n v="10"/>
    <n v="7"/>
    <n v="0"/>
    <n v="9"/>
  </r>
  <r>
    <n v="35"/>
    <s v="No"/>
    <s v="Travel_Rarely"/>
    <n v="1370"/>
    <s v="Research &amp; Development"/>
    <n v="27"/>
    <n v="4"/>
    <s v="Life Sciences"/>
    <n v="4"/>
    <s v="Male"/>
    <n v="49"/>
    <n v="3"/>
    <n v="2"/>
    <s v="Manufacturing Director"/>
    <n v="3"/>
    <s v="Married"/>
    <n v="6883"/>
    <n v="5151"/>
    <n v="2"/>
    <s v="No"/>
    <n v="16"/>
    <n v="3"/>
    <n v="2"/>
    <n v="1"/>
    <n v="17"/>
    <n v="3"/>
    <n v="3"/>
    <n v="7"/>
    <n v="7"/>
    <n v="0"/>
    <n v="7"/>
  </r>
  <r>
    <n v="30"/>
    <s v="No"/>
    <s v="Travel_Rarely"/>
    <n v="793"/>
    <s v="Research &amp; Development"/>
    <n v="16"/>
    <n v="1"/>
    <s v="Life Sciences"/>
    <n v="2"/>
    <s v="Male"/>
    <n v="33"/>
    <n v="3"/>
    <n v="1"/>
    <s v="Research Scientist"/>
    <n v="4"/>
    <s v="Married"/>
    <n v="2862"/>
    <n v="3811"/>
    <n v="1"/>
    <s v="No"/>
    <n v="12"/>
    <n v="3"/>
    <n v="2"/>
    <n v="1"/>
    <n v="10"/>
    <n v="2"/>
    <n v="2"/>
    <n v="10"/>
    <n v="0"/>
    <n v="0"/>
    <n v="8"/>
  </r>
  <r>
    <n v="47"/>
    <s v="No"/>
    <s v="Non-Travel"/>
    <n v="543"/>
    <s v="Sales"/>
    <n v="2"/>
    <n v="4"/>
    <s v="Marketing"/>
    <n v="3"/>
    <s v="Male"/>
    <n v="87"/>
    <n v="3"/>
    <n v="2"/>
    <s v="Sales Executive"/>
    <n v="2"/>
    <s v="Married"/>
    <n v="4978"/>
    <n v="3536"/>
    <n v="7"/>
    <s v="No"/>
    <n v="11"/>
    <n v="3"/>
    <n v="4"/>
    <n v="1"/>
    <n v="4"/>
    <n v="3"/>
    <n v="1"/>
    <n v="1"/>
    <n v="0"/>
    <n v="0"/>
    <n v="0"/>
  </r>
  <r>
    <n v="46"/>
    <s v="No"/>
    <s v="Travel_Rarely"/>
    <n v="1277"/>
    <s v="Sales"/>
    <n v="2"/>
    <n v="3"/>
    <s v="Life Sciences"/>
    <n v="3"/>
    <s v="Male"/>
    <n v="74"/>
    <n v="3"/>
    <n v="3"/>
    <s v="Sales Executive"/>
    <n v="4"/>
    <s v="Divorced"/>
    <n v="10368"/>
    <n v="5596"/>
    <n v="4"/>
    <s v="Yes"/>
    <n v="12"/>
    <n v="3"/>
    <n v="2"/>
    <n v="1"/>
    <n v="13"/>
    <n v="5"/>
    <n v="2"/>
    <n v="10"/>
    <n v="6"/>
    <n v="0"/>
    <n v="3"/>
  </r>
  <r>
    <n v="36"/>
    <s v="Yes"/>
    <s v="Travel_Rarely"/>
    <n v="1456"/>
    <s v="Sales"/>
    <n v="13"/>
    <n v="5"/>
    <s v="Marketing"/>
    <n v="2"/>
    <s v="Male"/>
    <n v="96"/>
    <n v="2"/>
    <n v="2"/>
    <s v="Sales Executive"/>
    <n v="1"/>
    <s v="Divorced"/>
    <n v="6134"/>
    <n v="8658"/>
    <n v="5"/>
    <s v="Yes"/>
    <n v="13"/>
    <n v="3"/>
    <n v="2"/>
    <n v="3"/>
    <n v="16"/>
    <n v="3"/>
    <n v="3"/>
    <n v="2"/>
    <n v="2"/>
    <n v="2"/>
    <n v="2"/>
  </r>
  <r>
    <n v="32"/>
    <s v="Yes"/>
    <s v="Travel_Rarely"/>
    <n v="964"/>
    <s v="Sales"/>
    <n v="1"/>
    <n v="2"/>
    <s v="Life Sciences"/>
    <n v="1"/>
    <s v="Male"/>
    <n v="34"/>
    <n v="1"/>
    <n v="2"/>
    <s v="Sales Executive"/>
    <n v="2"/>
    <s v="Single"/>
    <n v="6735"/>
    <n v="12147"/>
    <n v="6"/>
    <s v="No"/>
    <n v="15"/>
    <n v="3"/>
    <n v="2"/>
    <n v="0"/>
    <n v="10"/>
    <n v="2"/>
    <n v="3"/>
    <n v="0"/>
    <n v="0"/>
    <n v="0"/>
    <n v="0"/>
  </r>
  <r>
    <n v="23"/>
    <s v="No"/>
    <s v="Travel_Rarely"/>
    <n v="160"/>
    <s v="Research &amp; Development"/>
    <n v="4"/>
    <n v="1"/>
    <s v="Medical"/>
    <n v="3"/>
    <s v="Female"/>
    <n v="51"/>
    <n v="3"/>
    <n v="1"/>
    <s v="Laboratory Technician"/>
    <n v="2"/>
    <s v="Single"/>
    <n v="3295"/>
    <n v="12862"/>
    <n v="1"/>
    <s v="No"/>
    <n v="13"/>
    <n v="3"/>
    <n v="3"/>
    <n v="0"/>
    <n v="3"/>
    <n v="3"/>
    <n v="1"/>
    <n v="3"/>
    <n v="2"/>
    <n v="1"/>
    <n v="2"/>
  </r>
  <r>
    <n v="31"/>
    <s v="No"/>
    <s v="Travel_Frequently"/>
    <n v="163"/>
    <s v="Research &amp; Development"/>
    <n v="24"/>
    <n v="1"/>
    <s v="Technical Degree"/>
    <n v="4"/>
    <s v="Female"/>
    <n v="30"/>
    <n v="3"/>
    <n v="2"/>
    <s v="Manufacturing Director"/>
    <n v="4"/>
    <s v="Single"/>
    <n v="5238"/>
    <n v="6670"/>
    <n v="2"/>
    <s v="No"/>
    <n v="20"/>
    <n v="4"/>
    <n v="4"/>
    <n v="0"/>
    <n v="9"/>
    <n v="3"/>
    <n v="2"/>
    <n v="5"/>
    <n v="4"/>
    <n v="1"/>
    <n v="4"/>
  </r>
  <r>
    <n v="39"/>
    <s v="No"/>
    <s v="Non-Travel"/>
    <n v="792"/>
    <s v="Research &amp; Development"/>
    <n v="1"/>
    <n v="3"/>
    <s v="Life Sciences"/>
    <n v="4"/>
    <s v="Male"/>
    <n v="77"/>
    <n v="3"/>
    <n v="2"/>
    <s v="Laboratory Technician"/>
    <n v="4"/>
    <s v="Married"/>
    <n v="6472"/>
    <n v="8989"/>
    <n v="1"/>
    <s v="Yes"/>
    <n v="15"/>
    <n v="3"/>
    <n v="4"/>
    <n v="1"/>
    <n v="9"/>
    <n v="2"/>
    <n v="3"/>
    <n v="9"/>
    <n v="8"/>
    <n v="5"/>
    <n v="8"/>
  </r>
  <r>
    <n v="32"/>
    <s v="No"/>
    <s v="Travel_Rarely"/>
    <n v="371"/>
    <s v="Sales"/>
    <n v="19"/>
    <n v="3"/>
    <s v="Life Sciences"/>
    <n v="4"/>
    <s v="Male"/>
    <n v="80"/>
    <n v="1"/>
    <n v="3"/>
    <s v="Sales Executive"/>
    <n v="3"/>
    <s v="Married"/>
    <n v="9610"/>
    <n v="3840"/>
    <n v="3"/>
    <s v="No"/>
    <n v="13"/>
    <n v="3"/>
    <n v="3"/>
    <n v="1"/>
    <n v="10"/>
    <n v="2"/>
    <n v="1"/>
    <n v="4"/>
    <n v="3"/>
    <n v="0"/>
    <n v="2"/>
  </r>
  <r>
    <n v="40"/>
    <s v="No"/>
    <s v="Travel_Rarely"/>
    <n v="611"/>
    <s v="Sales"/>
    <n v="7"/>
    <n v="4"/>
    <s v="Medical"/>
    <n v="2"/>
    <s v="Male"/>
    <n v="88"/>
    <n v="3"/>
    <n v="5"/>
    <s v="Manager"/>
    <n v="2"/>
    <s v="Single"/>
    <n v="19833"/>
    <n v="4349"/>
    <n v="1"/>
    <s v="No"/>
    <n v="14"/>
    <n v="3"/>
    <n v="2"/>
    <n v="0"/>
    <n v="21"/>
    <n v="3"/>
    <n v="2"/>
    <n v="21"/>
    <n v="8"/>
    <n v="12"/>
    <n v="8"/>
  </r>
  <r>
    <n v="45"/>
    <s v="No"/>
    <s v="Travel_Rarely"/>
    <n v="176"/>
    <s v="Human Resources"/>
    <n v="4"/>
    <n v="3"/>
    <s v="Life Sciences"/>
    <n v="3"/>
    <s v="Female"/>
    <n v="56"/>
    <n v="1"/>
    <n v="3"/>
    <s v="Human Resources"/>
    <n v="3"/>
    <s v="Married"/>
    <n v="9756"/>
    <n v="6595"/>
    <n v="4"/>
    <s v="No"/>
    <n v="21"/>
    <n v="4"/>
    <n v="3"/>
    <n v="2"/>
    <n v="9"/>
    <n v="2"/>
    <n v="4"/>
    <n v="5"/>
    <n v="0"/>
    <n v="0"/>
    <n v="3"/>
  </r>
  <r>
    <n v="30"/>
    <s v="No"/>
    <s v="Travel_Frequently"/>
    <n v="1312"/>
    <s v="Research &amp; Development"/>
    <n v="2"/>
    <n v="4"/>
    <s v="Technical Degree"/>
    <n v="4"/>
    <s v="Female"/>
    <n v="78"/>
    <n v="2"/>
    <n v="1"/>
    <s v="Research Scientist"/>
    <n v="1"/>
    <s v="Single"/>
    <n v="4968"/>
    <n v="26427"/>
    <n v="0"/>
    <s v="No"/>
    <n v="16"/>
    <n v="3"/>
    <n v="4"/>
    <n v="0"/>
    <n v="10"/>
    <n v="2"/>
    <n v="3"/>
    <n v="9"/>
    <n v="7"/>
    <n v="0"/>
    <n v="7"/>
  </r>
  <r>
    <n v="24"/>
    <s v="No"/>
    <s v="Travel_Frequently"/>
    <n v="897"/>
    <s v="Human Resources"/>
    <n v="10"/>
    <n v="3"/>
    <s v="Medical"/>
    <n v="1"/>
    <s v="Male"/>
    <n v="59"/>
    <n v="3"/>
    <n v="1"/>
    <s v="Human Resources"/>
    <n v="4"/>
    <s v="Married"/>
    <n v="2145"/>
    <n v="2097"/>
    <n v="0"/>
    <s v="No"/>
    <n v="14"/>
    <n v="3"/>
    <n v="4"/>
    <n v="1"/>
    <n v="3"/>
    <n v="2"/>
    <n v="3"/>
    <n v="2"/>
    <n v="2"/>
    <n v="2"/>
    <n v="1"/>
  </r>
  <r>
    <n v="30"/>
    <s v="Yes"/>
    <s v="Travel_Frequently"/>
    <n v="600"/>
    <s v="Human Resources"/>
    <n v="8"/>
    <n v="3"/>
    <s v="Human Resources"/>
    <n v="3"/>
    <s v="Female"/>
    <n v="66"/>
    <n v="2"/>
    <n v="1"/>
    <s v="Human Resources"/>
    <n v="4"/>
    <s v="Divorced"/>
    <n v="2180"/>
    <n v="9732"/>
    <n v="6"/>
    <s v="No"/>
    <n v="11"/>
    <n v="3"/>
    <n v="3"/>
    <n v="1"/>
    <n v="6"/>
    <n v="0"/>
    <n v="2"/>
    <n v="4"/>
    <n v="2"/>
    <n v="1"/>
    <n v="2"/>
  </r>
  <r>
    <n v="31"/>
    <s v="No"/>
    <s v="Travel_Rarely"/>
    <n v="1003"/>
    <s v="Sales"/>
    <n v="5"/>
    <n v="3"/>
    <s v="Technical Degree"/>
    <n v="1"/>
    <s v="Male"/>
    <n v="51"/>
    <n v="3"/>
    <n v="2"/>
    <s v="Sales Executive"/>
    <n v="3"/>
    <s v="Married"/>
    <n v="8346"/>
    <n v="20943"/>
    <n v="1"/>
    <s v="No"/>
    <n v="19"/>
    <n v="3"/>
    <n v="3"/>
    <n v="1"/>
    <n v="6"/>
    <n v="3"/>
    <n v="3"/>
    <n v="5"/>
    <n v="2"/>
    <n v="0"/>
    <n v="2"/>
  </r>
  <r>
    <n v="27"/>
    <s v="No"/>
    <s v="Travel_Rarely"/>
    <n v="1054"/>
    <s v="Research &amp; Development"/>
    <n v="8"/>
    <n v="3"/>
    <s v="Medical"/>
    <n v="3"/>
    <s v="Female"/>
    <n v="67"/>
    <n v="3"/>
    <n v="1"/>
    <s v="Research Scientist"/>
    <n v="4"/>
    <s v="Single"/>
    <n v="3445"/>
    <n v="6152"/>
    <n v="1"/>
    <s v="No"/>
    <n v="11"/>
    <n v="3"/>
    <n v="3"/>
    <n v="0"/>
    <n v="6"/>
    <n v="5"/>
    <n v="2"/>
    <n v="6"/>
    <n v="2"/>
    <n v="1"/>
    <n v="4"/>
  </r>
  <r>
    <n v="29"/>
    <s v="Yes"/>
    <s v="Travel_Rarely"/>
    <n v="428"/>
    <s v="Sales"/>
    <n v="9"/>
    <n v="3"/>
    <s v="Marketing"/>
    <n v="2"/>
    <s v="Female"/>
    <n v="52"/>
    <n v="1"/>
    <n v="1"/>
    <s v="Sales Representative"/>
    <n v="2"/>
    <s v="Single"/>
    <n v="2760"/>
    <n v="14630"/>
    <n v="1"/>
    <s v="No"/>
    <n v="13"/>
    <n v="3"/>
    <n v="3"/>
    <n v="0"/>
    <n v="2"/>
    <n v="3"/>
    <n v="3"/>
    <n v="2"/>
    <n v="2"/>
    <n v="2"/>
    <n v="2"/>
  </r>
  <r>
    <n v="29"/>
    <s v="No"/>
    <s v="Travel_Frequently"/>
    <n v="461"/>
    <s v="Research &amp; Development"/>
    <n v="1"/>
    <n v="3"/>
    <s v="Life Sciences"/>
    <n v="4"/>
    <s v="Male"/>
    <n v="70"/>
    <n v="4"/>
    <n v="2"/>
    <s v="Healthcare Representative"/>
    <n v="3"/>
    <s v="Single"/>
    <n v="6294"/>
    <n v="23060"/>
    <n v="8"/>
    <s v="Yes"/>
    <n v="12"/>
    <n v="3"/>
    <n v="4"/>
    <n v="0"/>
    <n v="10"/>
    <n v="5"/>
    <n v="4"/>
    <n v="3"/>
    <n v="2"/>
    <n v="0"/>
    <n v="2"/>
  </r>
  <r>
    <n v="30"/>
    <s v="No"/>
    <s v="Travel_Rarely"/>
    <n v="979"/>
    <s v="Sales"/>
    <n v="15"/>
    <n v="2"/>
    <s v="Marketing"/>
    <n v="3"/>
    <s v="Male"/>
    <n v="94"/>
    <n v="2"/>
    <n v="3"/>
    <s v="Sales Executive"/>
    <n v="1"/>
    <s v="Divorced"/>
    <n v="7140"/>
    <n v="3088"/>
    <n v="2"/>
    <s v="No"/>
    <n v="11"/>
    <n v="3"/>
    <n v="1"/>
    <n v="1"/>
    <n v="12"/>
    <n v="2"/>
    <n v="3"/>
    <n v="7"/>
    <n v="7"/>
    <n v="1"/>
    <n v="7"/>
  </r>
  <r>
    <n v="34"/>
    <s v="No"/>
    <s v="Travel_Rarely"/>
    <n v="181"/>
    <s v="Research &amp; Development"/>
    <n v="2"/>
    <n v="4"/>
    <s v="Medical"/>
    <n v="4"/>
    <s v="Male"/>
    <n v="97"/>
    <n v="4"/>
    <n v="1"/>
    <s v="Research Scientist"/>
    <n v="4"/>
    <s v="Married"/>
    <n v="2932"/>
    <n v="5586"/>
    <n v="0"/>
    <s v="Yes"/>
    <n v="14"/>
    <n v="3"/>
    <n v="1"/>
    <n v="3"/>
    <n v="6"/>
    <n v="3"/>
    <n v="3"/>
    <n v="5"/>
    <n v="0"/>
    <n v="1"/>
    <n v="2"/>
  </r>
  <r>
    <n v="33"/>
    <s v="No"/>
    <s v="Non-Travel"/>
    <n v="1283"/>
    <s v="Sales"/>
    <n v="2"/>
    <n v="3"/>
    <s v="Marketing"/>
    <n v="4"/>
    <s v="Female"/>
    <n v="62"/>
    <n v="3"/>
    <n v="2"/>
    <s v="Sales Executive"/>
    <n v="2"/>
    <s v="Single"/>
    <n v="5147"/>
    <n v="10697"/>
    <n v="8"/>
    <s v="No"/>
    <n v="15"/>
    <n v="3"/>
    <n v="4"/>
    <n v="0"/>
    <n v="13"/>
    <n v="2"/>
    <n v="2"/>
    <n v="11"/>
    <n v="7"/>
    <n v="1"/>
    <n v="7"/>
  </r>
  <r>
    <n v="49"/>
    <s v="No"/>
    <s v="Travel_Rarely"/>
    <n v="1313"/>
    <s v="Sales"/>
    <n v="11"/>
    <n v="4"/>
    <s v="Marketing"/>
    <n v="4"/>
    <s v="Female"/>
    <n v="80"/>
    <n v="3"/>
    <n v="2"/>
    <s v="Sales Executive"/>
    <n v="4"/>
    <s v="Single"/>
    <n v="4507"/>
    <n v="8191"/>
    <n v="3"/>
    <s v="No"/>
    <n v="12"/>
    <n v="3"/>
    <n v="3"/>
    <n v="0"/>
    <n v="8"/>
    <n v="1"/>
    <n v="4"/>
    <n v="5"/>
    <n v="1"/>
    <n v="0"/>
    <n v="4"/>
  </r>
  <r>
    <n v="33"/>
    <s v="Yes"/>
    <s v="Travel_Rarely"/>
    <n v="211"/>
    <s v="Sales"/>
    <n v="16"/>
    <n v="3"/>
    <s v="Life Sciences"/>
    <n v="1"/>
    <s v="Female"/>
    <n v="74"/>
    <n v="3"/>
    <n v="3"/>
    <s v="Sales Executive"/>
    <n v="1"/>
    <s v="Single"/>
    <n v="8564"/>
    <n v="10092"/>
    <n v="2"/>
    <s v="Yes"/>
    <n v="20"/>
    <n v="4"/>
    <n v="3"/>
    <n v="0"/>
    <n v="11"/>
    <n v="2"/>
    <n v="2"/>
    <n v="0"/>
    <n v="0"/>
    <n v="0"/>
    <n v="0"/>
  </r>
  <r>
    <n v="38"/>
    <s v="No"/>
    <s v="Travel_Frequently"/>
    <n v="594"/>
    <s v="Research &amp; Development"/>
    <n v="2"/>
    <n v="2"/>
    <s v="Medical"/>
    <n v="3"/>
    <s v="Female"/>
    <n v="75"/>
    <n v="2"/>
    <n v="1"/>
    <s v="Laboratory Technician"/>
    <n v="2"/>
    <s v="Married"/>
    <n v="2468"/>
    <n v="15963"/>
    <n v="4"/>
    <s v="No"/>
    <n v="14"/>
    <n v="3"/>
    <n v="2"/>
    <n v="1"/>
    <n v="9"/>
    <n v="4"/>
    <n v="2"/>
    <n v="6"/>
    <n v="1"/>
    <n v="0"/>
    <n v="5"/>
  </r>
  <r>
    <n v="31"/>
    <s v="Yes"/>
    <s v="Travel_Rarely"/>
    <n v="1079"/>
    <s v="Sales"/>
    <n v="16"/>
    <n v="4"/>
    <s v="Marketing"/>
    <n v="1"/>
    <s v="Male"/>
    <n v="70"/>
    <n v="3"/>
    <n v="3"/>
    <s v="Sales Executive"/>
    <n v="3"/>
    <s v="Married"/>
    <n v="8161"/>
    <n v="19002"/>
    <n v="2"/>
    <s v="No"/>
    <n v="13"/>
    <n v="3"/>
    <n v="1"/>
    <n v="3"/>
    <n v="10"/>
    <n v="2"/>
    <n v="3"/>
    <n v="1"/>
    <n v="0"/>
    <n v="0"/>
    <n v="0"/>
  </r>
  <r>
    <n v="29"/>
    <s v="No"/>
    <s v="Travel_Rarely"/>
    <n v="590"/>
    <s v="Research &amp; Development"/>
    <n v="4"/>
    <n v="3"/>
    <s v="Technical Degree"/>
    <n v="4"/>
    <s v="Female"/>
    <n v="91"/>
    <n v="2"/>
    <n v="1"/>
    <s v="Research Scientist"/>
    <n v="1"/>
    <s v="Divorced"/>
    <n v="2109"/>
    <n v="10007"/>
    <n v="1"/>
    <s v="No"/>
    <n v="13"/>
    <n v="3"/>
    <n v="3"/>
    <n v="1"/>
    <n v="1"/>
    <n v="2"/>
    <n v="3"/>
    <n v="1"/>
    <n v="0"/>
    <n v="0"/>
    <n v="0"/>
  </r>
  <r>
    <n v="30"/>
    <s v="No"/>
    <s v="Travel_Rarely"/>
    <n v="305"/>
    <s v="Research &amp; Development"/>
    <n v="16"/>
    <n v="3"/>
    <s v="Life Sciences"/>
    <n v="3"/>
    <s v="Male"/>
    <n v="58"/>
    <n v="4"/>
    <n v="2"/>
    <s v="Healthcare Representative"/>
    <n v="3"/>
    <s v="Married"/>
    <n v="5294"/>
    <n v="9128"/>
    <n v="3"/>
    <s v="No"/>
    <n v="16"/>
    <n v="3"/>
    <n v="3"/>
    <n v="1"/>
    <n v="10"/>
    <n v="3"/>
    <n v="3"/>
    <n v="7"/>
    <n v="0"/>
    <n v="1"/>
    <n v="7"/>
  </r>
  <r>
    <n v="32"/>
    <s v="No"/>
    <s v="Non-Travel"/>
    <n v="953"/>
    <s v="Research &amp; Development"/>
    <n v="5"/>
    <n v="4"/>
    <s v="Technical Degree"/>
    <n v="2"/>
    <s v="Male"/>
    <n v="65"/>
    <n v="3"/>
    <n v="1"/>
    <s v="Research Scientist"/>
    <n v="2"/>
    <s v="Single"/>
    <n v="2718"/>
    <n v="17674"/>
    <n v="2"/>
    <s v="No"/>
    <n v="14"/>
    <n v="3"/>
    <n v="2"/>
    <n v="0"/>
    <n v="12"/>
    <n v="3"/>
    <n v="3"/>
    <n v="7"/>
    <n v="7"/>
    <n v="0"/>
    <n v="7"/>
  </r>
  <r>
    <n v="38"/>
    <s v="No"/>
    <s v="Travel_Rarely"/>
    <n v="833"/>
    <s v="Research &amp; Development"/>
    <n v="18"/>
    <n v="3"/>
    <s v="Medical"/>
    <n v="2"/>
    <s v="Male"/>
    <n v="60"/>
    <n v="1"/>
    <n v="2"/>
    <s v="Healthcare Representative"/>
    <n v="4"/>
    <s v="Married"/>
    <n v="5811"/>
    <n v="24539"/>
    <n v="3"/>
    <s v="Yes"/>
    <n v="16"/>
    <n v="3"/>
    <n v="3"/>
    <n v="1"/>
    <n v="15"/>
    <n v="2"/>
    <n v="3"/>
    <n v="1"/>
    <n v="0"/>
    <n v="1"/>
    <n v="0"/>
  </r>
  <r>
    <n v="43"/>
    <s v="Yes"/>
    <s v="Travel_Frequently"/>
    <n v="807"/>
    <s v="Research &amp; Development"/>
    <n v="17"/>
    <n v="3"/>
    <s v="Technical Degree"/>
    <n v="3"/>
    <s v="Male"/>
    <n v="38"/>
    <n v="2"/>
    <n v="1"/>
    <s v="Research Scientist"/>
    <n v="3"/>
    <s v="Married"/>
    <n v="2437"/>
    <n v="15587"/>
    <n v="9"/>
    <s v="Yes"/>
    <n v="16"/>
    <n v="3"/>
    <n v="4"/>
    <n v="1"/>
    <n v="6"/>
    <n v="4"/>
    <n v="3"/>
    <n v="1"/>
    <n v="0"/>
    <n v="0"/>
    <n v="0"/>
  </r>
  <r>
    <n v="42"/>
    <s v="No"/>
    <s v="Travel_Rarely"/>
    <n v="855"/>
    <s v="Research &amp; Development"/>
    <n v="12"/>
    <n v="3"/>
    <s v="Medical"/>
    <n v="2"/>
    <s v="Male"/>
    <n v="57"/>
    <n v="3"/>
    <n v="1"/>
    <s v="Laboratory Technician"/>
    <n v="2"/>
    <s v="Divorced"/>
    <n v="2766"/>
    <n v="8952"/>
    <n v="8"/>
    <s v="No"/>
    <n v="22"/>
    <n v="4"/>
    <n v="2"/>
    <n v="3"/>
    <n v="7"/>
    <n v="6"/>
    <n v="2"/>
    <n v="5"/>
    <n v="3"/>
    <n v="0"/>
    <n v="4"/>
  </r>
  <r>
    <n v="55"/>
    <s v="No"/>
    <s v="Travel_Rarely"/>
    <n v="478"/>
    <s v="Research &amp; Development"/>
    <n v="2"/>
    <n v="3"/>
    <s v="Medical"/>
    <n v="3"/>
    <s v="Male"/>
    <n v="60"/>
    <n v="2"/>
    <n v="5"/>
    <s v="Research Director"/>
    <n v="1"/>
    <s v="Married"/>
    <n v="19038"/>
    <n v="19805"/>
    <n v="8"/>
    <s v="No"/>
    <n v="12"/>
    <n v="3"/>
    <n v="2"/>
    <n v="3"/>
    <n v="34"/>
    <n v="2"/>
    <n v="3"/>
    <n v="1"/>
    <n v="0"/>
    <n v="0"/>
    <n v="0"/>
  </r>
  <r>
    <n v="33"/>
    <s v="No"/>
    <s v="Non-Travel"/>
    <n v="775"/>
    <s v="Research &amp; Development"/>
    <n v="4"/>
    <n v="3"/>
    <s v="Technical Degree"/>
    <n v="4"/>
    <s v="Male"/>
    <n v="90"/>
    <n v="3"/>
    <n v="2"/>
    <s v="Research Scientist"/>
    <n v="2"/>
    <s v="Divorced"/>
    <n v="3055"/>
    <n v="6194"/>
    <n v="5"/>
    <s v="No"/>
    <n v="15"/>
    <n v="3"/>
    <n v="4"/>
    <n v="2"/>
    <n v="11"/>
    <n v="2"/>
    <n v="2"/>
    <n v="9"/>
    <n v="8"/>
    <n v="1"/>
    <n v="7"/>
  </r>
  <r>
    <n v="41"/>
    <s v="No"/>
    <s v="Travel_Rarely"/>
    <n v="548"/>
    <s v="Research &amp; Development"/>
    <n v="9"/>
    <n v="4"/>
    <s v="Life Sciences"/>
    <n v="3"/>
    <s v="Male"/>
    <n v="94"/>
    <n v="3"/>
    <n v="1"/>
    <s v="Laboratory Technician"/>
    <n v="1"/>
    <s v="Divorced"/>
    <n v="2289"/>
    <n v="20520"/>
    <n v="1"/>
    <s v="No"/>
    <n v="20"/>
    <n v="4"/>
    <n v="2"/>
    <n v="2"/>
    <n v="5"/>
    <n v="2"/>
    <n v="3"/>
    <n v="5"/>
    <n v="3"/>
    <n v="0"/>
    <n v="4"/>
  </r>
  <r>
    <n v="34"/>
    <s v="No"/>
    <s v="Non-Travel"/>
    <n v="1375"/>
    <s v="Sales"/>
    <n v="10"/>
    <n v="3"/>
    <s v="Life Sciences"/>
    <n v="4"/>
    <s v="Male"/>
    <n v="87"/>
    <n v="3"/>
    <n v="2"/>
    <s v="Sales Executive"/>
    <n v="3"/>
    <s v="Divorced"/>
    <n v="4001"/>
    <n v="12313"/>
    <n v="1"/>
    <s v="Yes"/>
    <n v="14"/>
    <n v="3"/>
    <n v="3"/>
    <n v="1"/>
    <n v="15"/>
    <n v="3"/>
    <n v="3"/>
    <n v="15"/>
    <n v="14"/>
    <n v="0"/>
    <n v="7"/>
  </r>
  <r>
    <n v="53"/>
    <s v="No"/>
    <s v="Non-Travel"/>
    <n v="661"/>
    <s v="Research &amp; Development"/>
    <n v="1"/>
    <n v="4"/>
    <s v="Medical"/>
    <n v="1"/>
    <s v="Female"/>
    <n v="60"/>
    <n v="2"/>
    <n v="4"/>
    <s v="Manufacturing Director"/>
    <n v="3"/>
    <s v="Married"/>
    <n v="12965"/>
    <n v="22308"/>
    <n v="4"/>
    <s v="Yes"/>
    <n v="20"/>
    <n v="4"/>
    <n v="4"/>
    <n v="3"/>
    <n v="27"/>
    <n v="2"/>
    <n v="2"/>
    <n v="3"/>
    <n v="2"/>
    <n v="0"/>
    <n v="2"/>
  </r>
  <r>
    <n v="43"/>
    <s v="No"/>
    <s v="Travel_Rarely"/>
    <n v="244"/>
    <s v="Human Resources"/>
    <n v="2"/>
    <n v="3"/>
    <s v="Life Sciences"/>
    <n v="2"/>
    <s v="Male"/>
    <n v="97"/>
    <n v="3"/>
    <n v="1"/>
    <s v="Human Resources"/>
    <n v="4"/>
    <s v="Single"/>
    <n v="3539"/>
    <n v="5033"/>
    <n v="0"/>
    <s v="No"/>
    <n v="13"/>
    <n v="3"/>
    <n v="2"/>
    <n v="0"/>
    <n v="10"/>
    <n v="5"/>
    <n v="3"/>
    <n v="9"/>
    <n v="7"/>
    <n v="1"/>
    <n v="8"/>
  </r>
  <r>
    <n v="34"/>
    <s v="No"/>
    <s v="Travel_Rarely"/>
    <n v="511"/>
    <s v="Sales"/>
    <n v="3"/>
    <n v="2"/>
    <s v="Life Sciences"/>
    <n v="4"/>
    <s v="Female"/>
    <n v="32"/>
    <n v="1"/>
    <n v="2"/>
    <s v="Sales Executive"/>
    <n v="4"/>
    <s v="Single"/>
    <n v="6029"/>
    <n v="25353"/>
    <n v="5"/>
    <s v="No"/>
    <n v="12"/>
    <n v="3"/>
    <n v="1"/>
    <n v="0"/>
    <n v="6"/>
    <n v="3"/>
    <n v="3"/>
    <n v="2"/>
    <n v="2"/>
    <n v="2"/>
    <n v="2"/>
  </r>
  <r>
    <n v="21"/>
    <s v="Yes"/>
    <s v="Travel_Rarely"/>
    <n v="337"/>
    <s v="Sales"/>
    <n v="7"/>
    <n v="1"/>
    <s v="Marketing"/>
    <n v="2"/>
    <s v="Male"/>
    <n v="31"/>
    <n v="3"/>
    <n v="1"/>
    <s v="Sales Representative"/>
    <n v="2"/>
    <s v="Single"/>
    <n v="2679"/>
    <n v="4567"/>
    <n v="1"/>
    <s v="No"/>
    <n v="13"/>
    <n v="3"/>
    <n v="2"/>
    <n v="0"/>
    <n v="1"/>
    <n v="3"/>
    <n v="3"/>
    <n v="1"/>
    <n v="0"/>
    <n v="1"/>
    <n v="0"/>
  </r>
  <r>
    <n v="38"/>
    <s v="No"/>
    <s v="Travel_Rarely"/>
    <n v="1153"/>
    <s v="Research &amp; Development"/>
    <n v="6"/>
    <n v="2"/>
    <s v="Other"/>
    <n v="4"/>
    <s v="Female"/>
    <n v="40"/>
    <n v="2"/>
    <n v="1"/>
    <s v="Laboratory Technician"/>
    <n v="3"/>
    <s v="Married"/>
    <n v="3702"/>
    <n v="16376"/>
    <n v="1"/>
    <s v="No"/>
    <n v="11"/>
    <n v="3"/>
    <n v="2"/>
    <n v="1"/>
    <n v="5"/>
    <n v="3"/>
    <n v="3"/>
    <n v="5"/>
    <n v="4"/>
    <n v="0"/>
    <n v="4"/>
  </r>
  <r>
    <n v="22"/>
    <s v="Yes"/>
    <s v="Travel_Rarely"/>
    <n v="1294"/>
    <s v="Research &amp; Development"/>
    <n v="8"/>
    <n v="1"/>
    <s v="Medical"/>
    <n v="3"/>
    <s v="Female"/>
    <n v="79"/>
    <n v="3"/>
    <n v="1"/>
    <s v="Laboratory Technician"/>
    <n v="1"/>
    <s v="Married"/>
    <n v="2398"/>
    <n v="15999"/>
    <n v="1"/>
    <s v="Yes"/>
    <n v="17"/>
    <n v="3"/>
    <n v="3"/>
    <n v="0"/>
    <n v="1"/>
    <n v="6"/>
    <n v="3"/>
    <n v="1"/>
    <n v="0"/>
    <n v="0"/>
    <n v="0"/>
  </r>
  <r>
    <n v="31"/>
    <s v="No"/>
    <s v="Travel_Rarely"/>
    <n v="196"/>
    <s v="Sales"/>
    <n v="29"/>
    <n v="4"/>
    <s v="Marketing"/>
    <n v="1"/>
    <s v="Female"/>
    <n v="91"/>
    <n v="2"/>
    <n v="2"/>
    <s v="Sales Executive"/>
    <n v="4"/>
    <s v="Married"/>
    <n v="5468"/>
    <n v="13402"/>
    <n v="1"/>
    <s v="No"/>
    <n v="14"/>
    <n v="3"/>
    <n v="1"/>
    <n v="2"/>
    <n v="13"/>
    <n v="3"/>
    <n v="3"/>
    <n v="12"/>
    <n v="7"/>
    <n v="5"/>
    <n v="7"/>
  </r>
  <r>
    <n v="51"/>
    <s v="No"/>
    <s v="Travel_Rarely"/>
    <n v="942"/>
    <s v="Research &amp; Development"/>
    <n v="3"/>
    <n v="3"/>
    <s v="Technical Degree"/>
    <n v="1"/>
    <s v="Female"/>
    <n v="53"/>
    <n v="3"/>
    <n v="3"/>
    <s v="Manager"/>
    <n v="3"/>
    <s v="Married"/>
    <n v="13116"/>
    <n v="22984"/>
    <n v="2"/>
    <s v="No"/>
    <n v="11"/>
    <n v="3"/>
    <n v="4"/>
    <n v="0"/>
    <n v="15"/>
    <n v="2"/>
    <n v="3"/>
    <n v="2"/>
    <n v="2"/>
    <n v="2"/>
    <n v="2"/>
  </r>
  <r>
    <n v="37"/>
    <s v="No"/>
    <s v="Travel_Rarely"/>
    <n v="589"/>
    <s v="Sales"/>
    <n v="9"/>
    <n v="2"/>
    <s v="Marketing"/>
    <n v="2"/>
    <s v="Male"/>
    <n v="46"/>
    <n v="2"/>
    <n v="2"/>
    <s v="Sales Executive"/>
    <n v="2"/>
    <s v="Married"/>
    <n v="4189"/>
    <n v="8800"/>
    <n v="1"/>
    <s v="No"/>
    <n v="14"/>
    <n v="3"/>
    <n v="1"/>
    <n v="2"/>
    <n v="5"/>
    <n v="2"/>
    <n v="3"/>
    <n v="5"/>
    <n v="2"/>
    <n v="0"/>
    <n v="3"/>
  </r>
  <r>
    <n v="46"/>
    <s v="No"/>
    <s v="Travel_Rarely"/>
    <n v="734"/>
    <s v="Research &amp; Development"/>
    <n v="2"/>
    <n v="4"/>
    <s v="Medical"/>
    <n v="3"/>
    <s v="Male"/>
    <n v="46"/>
    <n v="3"/>
    <n v="5"/>
    <s v="Research Director"/>
    <n v="4"/>
    <s v="Divorced"/>
    <n v="19328"/>
    <n v="14218"/>
    <n v="7"/>
    <s v="Yes"/>
    <n v="17"/>
    <n v="3"/>
    <n v="3"/>
    <n v="1"/>
    <n v="24"/>
    <n v="3"/>
    <n v="3"/>
    <n v="2"/>
    <n v="1"/>
    <n v="2"/>
    <n v="2"/>
  </r>
  <r>
    <n v="36"/>
    <s v="No"/>
    <s v="Travel_Rarely"/>
    <n v="1383"/>
    <s v="Research &amp; Development"/>
    <n v="10"/>
    <n v="3"/>
    <s v="Life Sciences"/>
    <n v="4"/>
    <s v="Male"/>
    <n v="90"/>
    <n v="3"/>
    <n v="3"/>
    <s v="Healthcare Representative"/>
    <n v="1"/>
    <s v="Married"/>
    <n v="8321"/>
    <n v="25949"/>
    <n v="7"/>
    <s v="Yes"/>
    <n v="13"/>
    <n v="3"/>
    <n v="4"/>
    <n v="1"/>
    <n v="15"/>
    <n v="1"/>
    <n v="3"/>
    <n v="12"/>
    <n v="8"/>
    <n v="5"/>
    <n v="7"/>
  </r>
  <r>
    <n v="44"/>
    <s v="Yes"/>
    <s v="Travel_Frequently"/>
    <n v="429"/>
    <s v="Research &amp; Development"/>
    <n v="1"/>
    <n v="2"/>
    <s v="Medical"/>
    <n v="3"/>
    <s v="Male"/>
    <n v="99"/>
    <n v="3"/>
    <n v="1"/>
    <s v="Research Scientist"/>
    <n v="2"/>
    <s v="Divorced"/>
    <n v="2342"/>
    <n v="11092"/>
    <n v="1"/>
    <s v="Yes"/>
    <n v="12"/>
    <n v="3"/>
    <n v="3"/>
    <n v="3"/>
    <n v="6"/>
    <n v="2"/>
    <n v="2"/>
    <n v="5"/>
    <n v="3"/>
    <n v="2"/>
    <n v="3"/>
  </r>
  <r>
    <n v="37"/>
    <s v="No"/>
    <s v="Travel_Rarely"/>
    <n v="1239"/>
    <s v="Human Resources"/>
    <n v="8"/>
    <n v="2"/>
    <s v="Other"/>
    <n v="3"/>
    <s v="Male"/>
    <n v="89"/>
    <n v="3"/>
    <n v="2"/>
    <s v="Human Resources"/>
    <n v="2"/>
    <s v="Divorced"/>
    <n v="4071"/>
    <n v="12832"/>
    <n v="2"/>
    <s v="No"/>
    <n v="13"/>
    <n v="3"/>
    <n v="3"/>
    <n v="0"/>
    <n v="19"/>
    <n v="4"/>
    <n v="2"/>
    <n v="10"/>
    <n v="0"/>
    <n v="4"/>
    <n v="7"/>
  </r>
  <r>
    <n v="35"/>
    <s v="Yes"/>
    <s v="Travel_Rarely"/>
    <n v="303"/>
    <s v="Sales"/>
    <n v="27"/>
    <n v="3"/>
    <s v="Life Sciences"/>
    <n v="3"/>
    <s v="Male"/>
    <n v="84"/>
    <n v="3"/>
    <n v="2"/>
    <s v="Sales Executive"/>
    <n v="4"/>
    <s v="Single"/>
    <n v="5813"/>
    <n v="13492"/>
    <n v="1"/>
    <s v="Yes"/>
    <n v="18"/>
    <n v="3"/>
    <n v="4"/>
    <n v="0"/>
    <n v="10"/>
    <n v="2"/>
    <n v="3"/>
    <n v="10"/>
    <n v="7"/>
    <n v="7"/>
    <n v="7"/>
  </r>
  <r>
    <n v="33"/>
    <s v="No"/>
    <s v="Travel_Rarely"/>
    <n v="867"/>
    <s v="Research &amp; Development"/>
    <n v="8"/>
    <n v="4"/>
    <s v="Life Sciences"/>
    <n v="4"/>
    <s v="Male"/>
    <n v="90"/>
    <n v="4"/>
    <n v="1"/>
    <s v="Research Scientist"/>
    <n v="1"/>
    <s v="Married"/>
    <n v="3143"/>
    <n v="6076"/>
    <n v="6"/>
    <s v="No"/>
    <n v="19"/>
    <n v="3"/>
    <n v="2"/>
    <n v="1"/>
    <n v="14"/>
    <n v="1"/>
    <n v="3"/>
    <n v="10"/>
    <n v="8"/>
    <n v="7"/>
    <n v="6"/>
  </r>
  <r>
    <n v="28"/>
    <s v="No"/>
    <s v="Travel_Rarely"/>
    <n v="1181"/>
    <s v="Research &amp; Development"/>
    <n v="1"/>
    <n v="3"/>
    <s v="Life Sciences"/>
    <n v="3"/>
    <s v="Male"/>
    <n v="82"/>
    <n v="3"/>
    <n v="1"/>
    <s v="Research Scientist"/>
    <n v="4"/>
    <s v="Married"/>
    <n v="2044"/>
    <n v="5531"/>
    <n v="1"/>
    <s v="No"/>
    <n v="11"/>
    <n v="3"/>
    <n v="3"/>
    <n v="1"/>
    <n v="5"/>
    <n v="6"/>
    <n v="4"/>
    <n v="5"/>
    <n v="3"/>
    <n v="0"/>
    <n v="3"/>
  </r>
  <r>
    <n v="39"/>
    <s v="No"/>
    <s v="Travel_Rarely"/>
    <n v="1253"/>
    <s v="Research &amp; Development"/>
    <n v="10"/>
    <n v="1"/>
    <s v="Medical"/>
    <n v="3"/>
    <s v="Male"/>
    <n v="65"/>
    <n v="3"/>
    <n v="3"/>
    <s v="Research Director"/>
    <n v="3"/>
    <s v="Single"/>
    <n v="13464"/>
    <n v="7914"/>
    <n v="7"/>
    <s v="No"/>
    <n v="21"/>
    <n v="4"/>
    <n v="3"/>
    <n v="0"/>
    <n v="9"/>
    <n v="3"/>
    <n v="3"/>
    <n v="4"/>
    <n v="3"/>
    <n v="2"/>
    <n v="2"/>
  </r>
  <r>
    <n v="46"/>
    <s v="No"/>
    <s v="Non-Travel"/>
    <n v="849"/>
    <s v="Sales"/>
    <n v="26"/>
    <n v="2"/>
    <s v="Life Sciences"/>
    <n v="2"/>
    <s v="Male"/>
    <n v="98"/>
    <n v="2"/>
    <n v="2"/>
    <s v="Sales Executive"/>
    <n v="2"/>
    <s v="Single"/>
    <n v="7991"/>
    <n v="25166"/>
    <n v="8"/>
    <s v="No"/>
    <n v="15"/>
    <n v="3"/>
    <n v="3"/>
    <n v="0"/>
    <n v="6"/>
    <n v="3"/>
    <n v="3"/>
    <n v="2"/>
    <n v="2"/>
    <n v="2"/>
    <n v="2"/>
  </r>
  <r>
    <n v="40"/>
    <s v="No"/>
    <s v="Travel_Rarely"/>
    <n v="616"/>
    <s v="Research &amp; Development"/>
    <n v="2"/>
    <n v="2"/>
    <s v="Life Sciences"/>
    <n v="3"/>
    <s v="Female"/>
    <n v="99"/>
    <n v="3"/>
    <n v="1"/>
    <s v="Laboratory Technician"/>
    <n v="1"/>
    <s v="Married"/>
    <n v="3377"/>
    <n v="25605"/>
    <n v="4"/>
    <s v="No"/>
    <n v="17"/>
    <n v="3"/>
    <n v="4"/>
    <n v="1"/>
    <n v="7"/>
    <n v="5"/>
    <n v="2"/>
    <n v="4"/>
    <n v="3"/>
    <n v="0"/>
    <n v="2"/>
  </r>
  <r>
    <n v="42"/>
    <s v="No"/>
    <s v="Travel_Rarely"/>
    <n v="1128"/>
    <s v="Research &amp; Development"/>
    <n v="13"/>
    <n v="3"/>
    <s v="Medical"/>
    <n v="2"/>
    <s v="Male"/>
    <n v="95"/>
    <n v="4"/>
    <n v="2"/>
    <s v="Healthcare Representative"/>
    <n v="1"/>
    <s v="Married"/>
    <n v="5538"/>
    <n v="5696"/>
    <n v="5"/>
    <s v="No"/>
    <n v="18"/>
    <n v="3"/>
    <n v="3"/>
    <n v="2"/>
    <n v="10"/>
    <n v="2"/>
    <n v="2"/>
    <n v="0"/>
    <n v="0"/>
    <n v="0"/>
    <n v="0"/>
  </r>
  <r>
    <n v="35"/>
    <s v="No"/>
    <s v="Non-Travel"/>
    <n v="1180"/>
    <s v="Research &amp; Development"/>
    <n v="2"/>
    <n v="2"/>
    <s v="Medical"/>
    <n v="2"/>
    <s v="Male"/>
    <n v="90"/>
    <n v="3"/>
    <n v="2"/>
    <s v="Manufacturing Director"/>
    <n v="4"/>
    <s v="Divorced"/>
    <n v="5762"/>
    <n v="24442"/>
    <n v="2"/>
    <s v="No"/>
    <n v="14"/>
    <n v="3"/>
    <n v="3"/>
    <n v="1"/>
    <n v="15"/>
    <n v="6"/>
    <n v="3"/>
    <n v="7"/>
    <n v="7"/>
    <n v="1"/>
    <n v="7"/>
  </r>
  <r>
    <n v="38"/>
    <s v="No"/>
    <s v="Non-Travel"/>
    <n v="1336"/>
    <s v="Human Resources"/>
    <n v="2"/>
    <n v="3"/>
    <s v="Human Resources"/>
    <n v="1"/>
    <s v="Male"/>
    <n v="100"/>
    <n v="3"/>
    <n v="1"/>
    <s v="Human Resources"/>
    <n v="2"/>
    <s v="Divorced"/>
    <n v="2592"/>
    <n v="7129"/>
    <n v="5"/>
    <s v="No"/>
    <n v="13"/>
    <n v="3"/>
    <n v="4"/>
    <n v="3"/>
    <n v="13"/>
    <n v="3"/>
    <n v="3"/>
    <n v="11"/>
    <n v="10"/>
    <n v="3"/>
    <n v="8"/>
  </r>
  <r>
    <n v="34"/>
    <s v="Yes"/>
    <s v="Travel_Frequently"/>
    <n v="234"/>
    <s v="Research &amp; Development"/>
    <n v="9"/>
    <n v="4"/>
    <s v="Life Sciences"/>
    <n v="4"/>
    <s v="Male"/>
    <n v="93"/>
    <n v="3"/>
    <n v="2"/>
    <s v="Laboratory Technician"/>
    <n v="1"/>
    <s v="Married"/>
    <n v="5346"/>
    <n v="6208"/>
    <n v="4"/>
    <s v="No"/>
    <n v="17"/>
    <n v="3"/>
    <n v="3"/>
    <n v="1"/>
    <n v="11"/>
    <n v="3"/>
    <n v="2"/>
    <n v="7"/>
    <n v="1"/>
    <n v="0"/>
    <n v="7"/>
  </r>
  <r>
    <n v="37"/>
    <s v="Yes"/>
    <s v="Travel_Rarely"/>
    <n v="370"/>
    <s v="Research &amp; Development"/>
    <n v="10"/>
    <n v="4"/>
    <s v="Medical"/>
    <n v="4"/>
    <s v="Male"/>
    <n v="58"/>
    <n v="3"/>
    <n v="2"/>
    <s v="Manufacturing Director"/>
    <n v="1"/>
    <s v="Single"/>
    <n v="4213"/>
    <n v="4992"/>
    <n v="1"/>
    <s v="No"/>
    <n v="15"/>
    <n v="3"/>
    <n v="2"/>
    <n v="0"/>
    <n v="10"/>
    <n v="4"/>
    <n v="1"/>
    <n v="10"/>
    <n v="3"/>
    <n v="0"/>
    <n v="8"/>
  </r>
  <r>
    <n v="39"/>
    <s v="No"/>
    <s v="Travel_Frequently"/>
    <n v="766"/>
    <s v="Sales"/>
    <n v="20"/>
    <n v="3"/>
    <s v="Life Sciences"/>
    <n v="3"/>
    <s v="Male"/>
    <n v="83"/>
    <n v="3"/>
    <n v="2"/>
    <s v="Sales Executive"/>
    <n v="4"/>
    <s v="Divorced"/>
    <n v="4127"/>
    <n v="19188"/>
    <n v="2"/>
    <s v="No"/>
    <n v="18"/>
    <n v="3"/>
    <n v="4"/>
    <n v="1"/>
    <n v="7"/>
    <n v="6"/>
    <n v="3"/>
    <n v="2"/>
    <n v="1"/>
    <n v="2"/>
    <n v="2"/>
  </r>
  <r>
    <n v="43"/>
    <s v="No"/>
    <s v="Non-Travel"/>
    <n v="343"/>
    <s v="Research &amp; Development"/>
    <n v="9"/>
    <n v="3"/>
    <s v="Life Sciences"/>
    <n v="1"/>
    <s v="Male"/>
    <n v="52"/>
    <n v="3"/>
    <n v="1"/>
    <s v="Research Scientist"/>
    <n v="3"/>
    <s v="Single"/>
    <n v="2438"/>
    <n v="24978"/>
    <n v="4"/>
    <s v="No"/>
    <n v="13"/>
    <n v="3"/>
    <n v="3"/>
    <n v="0"/>
    <n v="7"/>
    <n v="2"/>
    <n v="2"/>
    <n v="3"/>
    <n v="2"/>
    <n v="1"/>
    <n v="2"/>
  </r>
  <r>
    <n v="41"/>
    <s v="No"/>
    <s v="Travel_Rarely"/>
    <n v="447"/>
    <s v="Research &amp; Development"/>
    <n v="5"/>
    <n v="3"/>
    <s v="Life Sciences"/>
    <n v="2"/>
    <s v="Male"/>
    <n v="85"/>
    <n v="4"/>
    <n v="2"/>
    <s v="Healthcare Representative"/>
    <n v="2"/>
    <s v="Single"/>
    <n v="6870"/>
    <n v="15530"/>
    <n v="3"/>
    <s v="No"/>
    <n v="12"/>
    <n v="3"/>
    <n v="1"/>
    <n v="0"/>
    <n v="11"/>
    <n v="3"/>
    <n v="1"/>
    <n v="3"/>
    <n v="2"/>
    <n v="1"/>
    <n v="2"/>
  </r>
  <r>
    <n v="41"/>
    <s v="No"/>
    <s v="Travel_Rarely"/>
    <n v="796"/>
    <s v="Sales"/>
    <n v="4"/>
    <n v="1"/>
    <s v="Marketing"/>
    <n v="3"/>
    <s v="Female"/>
    <n v="81"/>
    <n v="3"/>
    <n v="3"/>
    <s v="Sales Executive"/>
    <n v="3"/>
    <s v="Divorced"/>
    <n v="10447"/>
    <n v="26458"/>
    <n v="0"/>
    <s v="Yes"/>
    <n v="13"/>
    <n v="3"/>
    <n v="4"/>
    <n v="1"/>
    <n v="23"/>
    <n v="3"/>
    <n v="4"/>
    <n v="22"/>
    <n v="14"/>
    <n v="13"/>
    <n v="5"/>
  </r>
  <r>
    <n v="30"/>
    <s v="No"/>
    <s v="Travel_Rarely"/>
    <n v="1092"/>
    <s v="Research &amp; Development"/>
    <n v="10"/>
    <n v="3"/>
    <s v="Medical"/>
    <n v="1"/>
    <s v="Female"/>
    <n v="64"/>
    <n v="3"/>
    <n v="3"/>
    <s v="Manufacturing Director"/>
    <n v="3"/>
    <s v="Single"/>
    <n v="9667"/>
    <n v="2739"/>
    <n v="9"/>
    <s v="No"/>
    <n v="14"/>
    <n v="3"/>
    <n v="2"/>
    <n v="0"/>
    <n v="9"/>
    <n v="3"/>
    <n v="3"/>
    <n v="7"/>
    <n v="7"/>
    <n v="0"/>
    <n v="2"/>
  </r>
  <r>
    <n v="26"/>
    <s v="Yes"/>
    <s v="Travel_Rarely"/>
    <n v="920"/>
    <s v="Human Resources"/>
    <n v="20"/>
    <n v="2"/>
    <s v="Medical"/>
    <n v="4"/>
    <s v="Female"/>
    <n v="69"/>
    <n v="3"/>
    <n v="1"/>
    <s v="Human Resources"/>
    <n v="2"/>
    <s v="Married"/>
    <n v="2148"/>
    <n v="6889"/>
    <n v="0"/>
    <s v="Yes"/>
    <n v="11"/>
    <n v="3"/>
    <n v="3"/>
    <n v="0"/>
    <n v="6"/>
    <n v="3"/>
    <n v="3"/>
    <n v="5"/>
    <n v="1"/>
    <n v="1"/>
    <n v="4"/>
  </r>
  <r>
    <n v="46"/>
    <s v="Yes"/>
    <s v="Travel_Rarely"/>
    <n v="261"/>
    <s v="Research &amp; Development"/>
    <n v="21"/>
    <n v="2"/>
    <s v="Medical"/>
    <n v="4"/>
    <s v="Female"/>
    <n v="66"/>
    <n v="3"/>
    <n v="2"/>
    <s v="Healthcare Representative"/>
    <n v="2"/>
    <s v="Married"/>
    <n v="8926"/>
    <n v="10842"/>
    <n v="4"/>
    <s v="No"/>
    <n v="22"/>
    <n v="4"/>
    <n v="4"/>
    <n v="1"/>
    <n v="13"/>
    <n v="2"/>
    <n v="4"/>
    <n v="9"/>
    <n v="7"/>
    <n v="3"/>
    <n v="7"/>
  </r>
  <r>
    <n v="40"/>
    <s v="No"/>
    <s v="Travel_Rarely"/>
    <n v="1194"/>
    <s v="Research &amp; Development"/>
    <n v="1"/>
    <n v="3"/>
    <s v="Life Sciences"/>
    <n v="3"/>
    <s v="Female"/>
    <n v="52"/>
    <n v="3"/>
    <n v="2"/>
    <s v="Healthcare Representative"/>
    <n v="4"/>
    <s v="Divorced"/>
    <n v="6513"/>
    <n v="9060"/>
    <n v="4"/>
    <s v="No"/>
    <n v="17"/>
    <n v="3"/>
    <n v="4"/>
    <n v="1"/>
    <n v="12"/>
    <n v="3"/>
    <n v="3"/>
    <n v="5"/>
    <n v="3"/>
    <n v="0"/>
    <n v="3"/>
  </r>
  <r>
    <n v="34"/>
    <s v="No"/>
    <s v="Travel_Rarely"/>
    <n v="810"/>
    <s v="Sales"/>
    <n v="8"/>
    <n v="2"/>
    <s v="Technical Degree"/>
    <n v="2"/>
    <s v="Male"/>
    <n v="92"/>
    <n v="4"/>
    <n v="2"/>
    <s v="Sales Executive"/>
    <n v="3"/>
    <s v="Married"/>
    <n v="6799"/>
    <n v="22128"/>
    <n v="1"/>
    <s v="No"/>
    <n v="21"/>
    <n v="4"/>
    <n v="3"/>
    <n v="2"/>
    <n v="10"/>
    <n v="5"/>
    <n v="3"/>
    <n v="10"/>
    <n v="8"/>
    <n v="4"/>
    <n v="8"/>
  </r>
  <r>
    <n v="58"/>
    <s v="No"/>
    <s v="Non-Travel"/>
    <n v="350"/>
    <s v="Sales"/>
    <n v="2"/>
    <n v="3"/>
    <s v="Medical"/>
    <n v="2"/>
    <s v="Male"/>
    <n v="52"/>
    <n v="3"/>
    <n v="4"/>
    <s v="Manager"/>
    <n v="2"/>
    <s v="Divorced"/>
    <n v="16291"/>
    <n v="22577"/>
    <n v="4"/>
    <s v="No"/>
    <n v="22"/>
    <n v="4"/>
    <n v="4"/>
    <n v="1"/>
    <n v="37"/>
    <n v="0"/>
    <n v="2"/>
    <n v="16"/>
    <n v="9"/>
    <n v="14"/>
    <n v="14"/>
  </r>
  <r>
    <n v="35"/>
    <s v="No"/>
    <s v="Travel_Rarely"/>
    <n v="185"/>
    <s v="Research &amp; Development"/>
    <n v="23"/>
    <n v="4"/>
    <s v="Medical"/>
    <n v="2"/>
    <s v="Male"/>
    <n v="91"/>
    <n v="1"/>
    <n v="1"/>
    <s v="Laboratory Technician"/>
    <n v="3"/>
    <s v="Married"/>
    <n v="2705"/>
    <n v="9696"/>
    <n v="0"/>
    <s v="No"/>
    <n v="16"/>
    <n v="3"/>
    <n v="2"/>
    <n v="1"/>
    <n v="6"/>
    <n v="2"/>
    <n v="4"/>
    <n v="5"/>
    <n v="4"/>
    <n v="0"/>
    <n v="3"/>
  </r>
  <r>
    <n v="47"/>
    <s v="No"/>
    <s v="Travel_Rarely"/>
    <n v="1001"/>
    <s v="Research &amp; Development"/>
    <n v="4"/>
    <n v="3"/>
    <s v="Life Sciences"/>
    <n v="3"/>
    <s v="Female"/>
    <n v="92"/>
    <n v="2"/>
    <n v="3"/>
    <s v="Manufacturing Director"/>
    <n v="2"/>
    <s v="Divorced"/>
    <n v="10333"/>
    <n v="19271"/>
    <n v="8"/>
    <s v="Yes"/>
    <n v="12"/>
    <n v="3"/>
    <n v="3"/>
    <n v="1"/>
    <n v="28"/>
    <n v="4"/>
    <n v="3"/>
    <n v="22"/>
    <n v="11"/>
    <n v="14"/>
    <n v="10"/>
  </r>
  <r>
    <n v="40"/>
    <s v="No"/>
    <s v="Travel_Rarely"/>
    <n v="750"/>
    <s v="Research &amp; Development"/>
    <n v="12"/>
    <n v="3"/>
    <s v="Life Sciences"/>
    <n v="2"/>
    <s v="Female"/>
    <n v="47"/>
    <n v="3"/>
    <n v="2"/>
    <s v="Healthcare Representative"/>
    <n v="1"/>
    <s v="Divorced"/>
    <n v="4448"/>
    <n v="10748"/>
    <n v="2"/>
    <s v="No"/>
    <n v="12"/>
    <n v="3"/>
    <n v="2"/>
    <n v="1"/>
    <n v="15"/>
    <n v="3"/>
    <n v="3"/>
    <n v="7"/>
    <n v="4"/>
    <n v="7"/>
    <n v="7"/>
  </r>
  <r>
    <n v="54"/>
    <s v="No"/>
    <s v="Travel_Rarely"/>
    <n v="431"/>
    <s v="Research &amp; Development"/>
    <n v="7"/>
    <n v="4"/>
    <s v="Medical"/>
    <n v="4"/>
    <s v="Female"/>
    <n v="68"/>
    <n v="3"/>
    <n v="2"/>
    <s v="Research Scientist"/>
    <n v="4"/>
    <s v="Married"/>
    <n v="6854"/>
    <n v="15696"/>
    <n v="4"/>
    <s v="No"/>
    <n v="15"/>
    <n v="3"/>
    <n v="2"/>
    <n v="1"/>
    <n v="14"/>
    <n v="2"/>
    <n v="2"/>
    <n v="7"/>
    <n v="1"/>
    <n v="1"/>
    <n v="7"/>
  </r>
  <r>
    <n v="31"/>
    <s v="No"/>
    <s v="Travel_Frequently"/>
    <n v="1125"/>
    <s v="Sales"/>
    <n v="7"/>
    <n v="4"/>
    <s v="Marketing"/>
    <n v="1"/>
    <s v="Female"/>
    <n v="68"/>
    <n v="3"/>
    <n v="3"/>
    <s v="Sales Executive"/>
    <n v="1"/>
    <s v="Married"/>
    <n v="9637"/>
    <n v="8277"/>
    <n v="2"/>
    <s v="No"/>
    <n v="14"/>
    <n v="3"/>
    <n v="4"/>
    <n v="2"/>
    <n v="9"/>
    <n v="3"/>
    <n v="3"/>
    <n v="3"/>
    <n v="2"/>
    <n v="2"/>
    <n v="2"/>
  </r>
  <r>
    <n v="28"/>
    <s v="No"/>
    <s v="Travel_Rarely"/>
    <n v="1217"/>
    <s v="Research &amp; Development"/>
    <n v="1"/>
    <n v="3"/>
    <s v="Medical"/>
    <n v="3"/>
    <s v="Female"/>
    <n v="67"/>
    <n v="3"/>
    <n v="1"/>
    <s v="Research Scientist"/>
    <n v="1"/>
    <s v="Married"/>
    <n v="3591"/>
    <n v="12719"/>
    <n v="1"/>
    <s v="No"/>
    <n v="25"/>
    <n v="4"/>
    <n v="3"/>
    <n v="1"/>
    <n v="3"/>
    <n v="3"/>
    <n v="3"/>
    <n v="3"/>
    <n v="2"/>
    <n v="1"/>
    <n v="2"/>
  </r>
  <r>
    <n v="38"/>
    <s v="No"/>
    <s v="Travel_Rarely"/>
    <n v="723"/>
    <s v="Sales"/>
    <n v="2"/>
    <n v="4"/>
    <s v="Marketing"/>
    <n v="2"/>
    <s v="Female"/>
    <n v="77"/>
    <n v="1"/>
    <n v="2"/>
    <s v="Sales Representative"/>
    <n v="4"/>
    <s v="Married"/>
    <n v="5405"/>
    <n v="4244"/>
    <n v="2"/>
    <s v="Yes"/>
    <n v="20"/>
    <n v="4"/>
    <n v="1"/>
    <n v="2"/>
    <n v="20"/>
    <n v="4"/>
    <n v="2"/>
    <n v="4"/>
    <n v="2"/>
    <n v="0"/>
    <n v="3"/>
  </r>
  <r>
    <n v="26"/>
    <s v="No"/>
    <s v="Travel_Rarely"/>
    <n v="572"/>
    <s v="Sales"/>
    <n v="10"/>
    <n v="3"/>
    <s v="Medical"/>
    <n v="3"/>
    <s v="Male"/>
    <n v="46"/>
    <n v="3"/>
    <n v="2"/>
    <s v="Sales Executive"/>
    <n v="4"/>
    <s v="Single"/>
    <n v="4684"/>
    <n v="9125"/>
    <n v="1"/>
    <s v="No"/>
    <n v="13"/>
    <n v="3"/>
    <n v="1"/>
    <n v="0"/>
    <n v="5"/>
    <n v="4"/>
    <n v="3"/>
    <n v="5"/>
    <n v="3"/>
    <n v="1"/>
    <n v="2"/>
  </r>
  <r>
    <n v="58"/>
    <s v="No"/>
    <s v="Travel_Frequently"/>
    <n v="1216"/>
    <s v="Research &amp; Development"/>
    <n v="15"/>
    <n v="4"/>
    <s v="Life Sciences"/>
    <n v="1"/>
    <s v="Male"/>
    <n v="87"/>
    <n v="3"/>
    <n v="4"/>
    <s v="Research Director"/>
    <n v="3"/>
    <s v="Married"/>
    <n v="15787"/>
    <n v="21624"/>
    <n v="2"/>
    <s v="Yes"/>
    <n v="14"/>
    <n v="3"/>
    <n v="2"/>
    <n v="0"/>
    <n v="23"/>
    <n v="3"/>
    <n v="3"/>
    <n v="2"/>
    <n v="2"/>
    <n v="2"/>
    <n v="2"/>
  </r>
  <r>
    <n v="18"/>
    <s v="No"/>
    <s v="Non-Travel"/>
    <n v="1431"/>
    <s v="Research &amp; Development"/>
    <n v="14"/>
    <n v="3"/>
    <s v="Medical"/>
    <n v="2"/>
    <s v="Female"/>
    <n v="33"/>
    <n v="3"/>
    <n v="1"/>
    <s v="Research Scientist"/>
    <n v="3"/>
    <s v="Single"/>
    <n v="1514"/>
    <n v="8018"/>
    <n v="1"/>
    <s v="No"/>
    <n v="16"/>
    <n v="3"/>
    <n v="3"/>
    <n v="0"/>
    <n v="0"/>
    <n v="4"/>
    <n v="1"/>
    <n v="0"/>
    <n v="0"/>
    <n v="0"/>
    <n v="0"/>
  </r>
  <r>
    <n v="31"/>
    <s v="Yes"/>
    <s v="Travel_Rarely"/>
    <n v="359"/>
    <s v="Human Resources"/>
    <n v="18"/>
    <n v="5"/>
    <s v="Human Resources"/>
    <n v="4"/>
    <s v="Male"/>
    <n v="89"/>
    <n v="4"/>
    <n v="1"/>
    <s v="Human Resources"/>
    <n v="1"/>
    <s v="Married"/>
    <n v="2956"/>
    <n v="21495"/>
    <n v="0"/>
    <s v="No"/>
    <n v="17"/>
    <n v="3"/>
    <n v="3"/>
    <n v="0"/>
    <n v="2"/>
    <n v="4"/>
    <n v="3"/>
    <n v="1"/>
    <n v="0"/>
    <n v="0"/>
    <n v="0"/>
  </r>
  <r>
    <n v="29"/>
    <s v="Yes"/>
    <s v="Travel_Rarely"/>
    <n v="350"/>
    <s v="Human Resources"/>
    <n v="13"/>
    <n v="3"/>
    <s v="Human Resources"/>
    <n v="1"/>
    <s v="Male"/>
    <n v="56"/>
    <n v="2"/>
    <n v="1"/>
    <s v="Human Resources"/>
    <n v="1"/>
    <s v="Divorced"/>
    <n v="2335"/>
    <n v="3157"/>
    <n v="4"/>
    <s v="Yes"/>
    <n v="15"/>
    <n v="3"/>
    <n v="4"/>
    <n v="3"/>
    <n v="4"/>
    <n v="3"/>
    <n v="3"/>
    <n v="2"/>
    <n v="2"/>
    <n v="2"/>
    <n v="0"/>
  </r>
  <r>
    <n v="45"/>
    <s v="No"/>
    <s v="Non-Travel"/>
    <n v="589"/>
    <s v="Sales"/>
    <n v="2"/>
    <n v="4"/>
    <s v="Life Sciences"/>
    <n v="3"/>
    <s v="Female"/>
    <n v="67"/>
    <n v="3"/>
    <n v="2"/>
    <s v="Sales Executive"/>
    <n v="3"/>
    <s v="Married"/>
    <n v="5154"/>
    <n v="19665"/>
    <n v="4"/>
    <s v="No"/>
    <n v="22"/>
    <n v="4"/>
    <n v="2"/>
    <n v="2"/>
    <n v="10"/>
    <n v="3"/>
    <n v="4"/>
    <n v="8"/>
    <n v="7"/>
    <n v="5"/>
    <n v="7"/>
  </r>
  <r>
    <n v="36"/>
    <s v="No"/>
    <s v="Travel_Rarely"/>
    <n v="430"/>
    <s v="Research &amp; Development"/>
    <n v="2"/>
    <n v="4"/>
    <s v="Other"/>
    <n v="4"/>
    <s v="Female"/>
    <n v="73"/>
    <n v="3"/>
    <n v="2"/>
    <s v="Research Scientist"/>
    <n v="2"/>
    <s v="Married"/>
    <n v="6962"/>
    <n v="19573"/>
    <n v="4"/>
    <s v="Yes"/>
    <n v="22"/>
    <n v="4"/>
    <n v="4"/>
    <n v="1"/>
    <n v="15"/>
    <n v="2"/>
    <n v="3"/>
    <n v="1"/>
    <n v="0"/>
    <n v="0"/>
    <n v="0"/>
  </r>
  <r>
    <n v="43"/>
    <s v="No"/>
    <s v="Travel_Frequently"/>
    <n v="1422"/>
    <s v="Sales"/>
    <n v="2"/>
    <n v="4"/>
    <s v="Life Sciences"/>
    <n v="1"/>
    <s v="Male"/>
    <n v="92"/>
    <n v="3"/>
    <n v="2"/>
    <s v="Sales Executive"/>
    <n v="4"/>
    <s v="Married"/>
    <n v="5675"/>
    <n v="19246"/>
    <n v="1"/>
    <s v="No"/>
    <n v="20"/>
    <n v="4"/>
    <n v="3"/>
    <n v="1"/>
    <n v="7"/>
    <n v="5"/>
    <n v="3"/>
    <n v="7"/>
    <n v="7"/>
    <n v="7"/>
    <n v="7"/>
  </r>
  <r>
    <n v="27"/>
    <s v="No"/>
    <s v="Travel_Frequently"/>
    <n v="1297"/>
    <s v="Research &amp; Development"/>
    <n v="5"/>
    <n v="2"/>
    <s v="Life Sciences"/>
    <n v="4"/>
    <s v="Female"/>
    <n v="53"/>
    <n v="3"/>
    <n v="1"/>
    <s v="Laboratory Technician"/>
    <n v="4"/>
    <s v="Single"/>
    <n v="2379"/>
    <n v="19826"/>
    <n v="0"/>
    <s v="Yes"/>
    <n v="14"/>
    <n v="3"/>
    <n v="3"/>
    <n v="0"/>
    <n v="6"/>
    <n v="3"/>
    <n v="2"/>
    <n v="5"/>
    <n v="4"/>
    <n v="0"/>
    <n v="2"/>
  </r>
  <r>
    <n v="29"/>
    <s v="No"/>
    <s v="Travel_Frequently"/>
    <n v="574"/>
    <s v="Research &amp; Development"/>
    <n v="20"/>
    <n v="1"/>
    <s v="Medical"/>
    <n v="4"/>
    <s v="Male"/>
    <n v="40"/>
    <n v="3"/>
    <n v="1"/>
    <s v="Laboratory Technician"/>
    <n v="4"/>
    <s v="Married"/>
    <n v="3812"/>
    <n v="7003"/>
    <n v="1"/>
    <s v="No"/>
    <n v="13"/>
    <n v="3"/>
    <n v="2"/>
    <n v="0"/>
    <n v="11"/>
    <n v="3"/>
    <n v="4"/>
    <n v="11"/>
    <n v="8"/>
    <n v="3"/>
    <n v="10"/>
  </r>
  <r>
    <n v="32"/>
    <s v="No"/>
    <s v="Travel_Frequently"/>
    <n v="1318"/>
    <s v="Sales"/>
    <n v="10"/>
    <n v="4"/>
    <s v="Marketing"/>
    <n v="4"/>
    <s v="Male"/>
    <n v="79"/>
    <n v="3"/>
    <n v="2"/>
    <s v="Sales Executive"/>
    <n v="4"/>
    <s v="Single"/>
    <n v="4648"/>
    <n v="26075"/>
    <n v="8"/>
    <s v="No"/>
    <n v="13"/>
    <n v="3"/>
    <n v="3"/>
    <n v="0"/>
    <n v="4"/>
    <n v="2"/>
    <n v="4"/>
    <n v="0"/>
    <n v="0"/>
    <n v="0"/>
    <n v="0"/>
  </r>
  <r>
    <n v="42"/>
    <s v="No"/>
    <s v="Non-Travel"/>
    <n v="355"/>
    <s v="Research &amp; Development"/>
    <n v="10"/>
    <n v="4"/>
    <s v="Technical Degree"/>
    <n v="3"/>
    <s v="Male"/>
    <n v="38"/>
    <n v="3"/>
    <n v="1"/>
    <s v="Research Scientist"/>
    <n v="3"/>
    <s v="Married"/>
    <n v="2936"/>
    <n v="6161"/>
    <n v="3"/>
    <s v="No"/>
    <n v="22"/>
    <n v="4"/>
    <n v="2"/>
    <n v="2"/>
    <n v="10"/>
    <n v="1"/>
    <n v="2"/>
    <n v="6"/>
    <n v="3"/>
    <n v="3"/>
    <n v="3"/>
  </r>
  <r>
    <n v="47"/>
    <s v="No"/>
    <s v="Travel_Rarely"/>
    <n v="207"/>
    <s v="Research &amp; Development"/>
    <n v="9"/>
    <n v="4"/>
    <s v="Life Sciences"/>
    <n v="2"/>
    <s v="Female"/>
    <n v="64"/>
    <n v="3"/>
    <n v="1"/>
    <s v="Laboratory Technician"/>
    <n v="3"/>
    <s v="Single"/>
    <n v="2105"/>
    <n v="5411"/>
    <n v="4"/>
    <s v="No"/>
    <n v="12"/>
    <n v="3"/>
    <n v="3"/>
    <n v="0"/>
    <n v="7"/>
    <n v="2"/>
    <n v="3"/>
    <n v="2"/>
    <n v="2"/>
    <n v="2"/>
    <n v="0"/>
  </r>
  <r>
    <n v="46"/>
    <s v="No"/>
    <s v="Travel_Rarely"/>
    <n v="706"/>
    <s v="Research &amp; Development"/>
    <n v="2"/>
    <n v="2"/>
    <s v="Life Sciences"/>
    <n v="4"/>
    <s v="Male"/>
    <n v="82"/>
    <n v="3"/>
    <n v="3"/>
    <s v="Manufacturing Director"/>
    <n v="4"/>
    <s v="Divorced"/>
    <n v="8578"/>
    <n v="19989"/>
    <n v="3"/>
    <s v="No"/>
    <n v="14"/>
    <n v="3"/>
    <n v="3"/>
    <n v="1"/>
    <n v="12"/>
    <n v="4"/>
    <n v="2"/>
    <n v="9"/>
    <n v="8"/>
    <n v="4"/>
    <n v="7"/>
  </r>
  <r>
    <n v="28"/>
    <s v="No"/>
    <s v="Non-Travel"/>
    <n v="280"/>
    <s v="Human Resources"/>
    <n v="1"/>
    <n v="2"/>
    <s v="Life Sciences"/>
    <n v="3"/>
    <s v="Male"/>
    <n v="43"/>
    <n v="3"/>
    <n v="1"/>
    <s v="Human Resources"/>
    <n v="4"/>
    <s v="Divorced"/>
    <n v="2706"/>
    <n v="10494"/>
    <n v="1"/>
    <s v="No"/>
    <n v="15"/>
    <n v="3"/>
    <n v="2"/>
    <n v="1"/>
    <n v="3"/>
    <n v="2"/>
    <n v="3"/>
    <n v="3"/>
    <n v="2"/>
    <n v="2"/>
    <n v="2"/>
  </r>
  <r>
    <n v="29"/>
    <s v="No"/>
    <s v="Travel_Rarely"/>
    <n v="726"/>
    <s v="Research &amp; Development"/>
    <n v="29"/>
    <n v="1"/>
    <s v="Life Sciences"/>
    <n v="4"/>
    <s v="Male"/>
    <n v="93"/>
    <n v="1"/>
    <n v="2"/>
    <s v="Healthcare Representative"/>
    <n v="3"/>
    <s v="Divorced"/>
    <n v="6384"/>
    <n v="21143"/>
    <n v="8"/>
    <s v="No"/>
    <n v="17"/>
    <n v="3"/>
    <n v="4"/>
    <n v="2"/>
    <n v="11"/>
    <n v="3"/>
    <n v="3"/>
    <n v="7"/>
    <n v="0"/>
    <n v="1"/>
    <n v="6"/>
  </r>
  <r>
    <n v="42"/>
    <s v="No"/>
    <s v="Travel_Rarely"/>
    <n v="1142"/>
    <s v="Research &amp; Development"/>
    <n v="8"/>
    <n v="3"/>
    <s v="Life Sciences"/>
    <n v="4"/>
    <s v="Male"/>
    <n v="81"/>
    <n v="3"/>
    <n v="1"/>
    <s v="Laboratory Technician"/>
    <n v="3"/>
    <s v="Single"/>
    <n v="3968"/>
    <n v="13624"/>
    <n v="4"/>
    <s v="No"/>
    <n v="13"/>
    <n v="3"/>
    <n v="4"/>
    <n v="0"/>
    <n v="8"/>
    <n v="3"/>
    <n v="3"/>
    <n v="0"/>
    <n v="0"/>
    <n v="0"/>
    <n v="0"/>
  </r>
  <r>
    <n v="32"/>
    <s v="Yes"/>
    <s v="Travel_Rarely"/>
    <n v="414"/>
    <s v="Sales"/>
    <n v="2"/>
    <n v="4"/>
    <s v="Marketing"/>
    <n v="3"/>
    <s v="Male"/>
    <n v="82"/>
    <n v="2"/>
    <n v="2"/>
    <s v="Sales Executive"/>
    <n v="2"/>
    <s v="Single"/>
    <n v="9907"/>
    <n v="26186"/>
    <n v="7"/>
    <s v="Yes"/>
    <n v="12"/>
    <n v="3"/>
    <n v="3"/>
    <n v="0"/>
    <n v="7"/>
    <n v="3"/>
    <n v="2"/>
    <n v="2"/>
    <n v="2"/>
    <n v="2"/>
    <n v="2"/>
  </r>
  <r>
    <n v="46"/>
    <s v="No"/>
    <s v="Travel_Rarely"/>
    <n v="1319"/>
    <s v="Sales"/>
    <n v="3"/>
    <n v="3"/>
    <s v="Technical Degree"/>
    <n v="1"/>
    <s v="Female"/>
    <n v="45"/>
    <n v="4"/>
    <n v="4"/>
    <s v="Sales Executive"/>
    <n v="1"/>
    <s v="Divorced"/>
    <n v="13225"/>
    <n v="7739"/>
    <n v="2"/>
    <s v="No"/>
    <n v="12"/>
    <n v="3"/>
    <n v="4"/>
    <n v="1"/>
    <n v="25"/>
    <n v="5"/>
    <n v="3"/>
    <n v="19"/>
    <n v="17"/>
    <n v="2"/>
    <n v="8"/>
  </r>
  <r>
    <n v="27"/>
    <s v="No"/>
    <s v="Travel_Rarely"/>
    <n v="728"/>
    <s v="Sales"/>
    <n v="23"/>
    <n v="1"/>
    <s v="Medical"/>
    <n v="2"/>
    <s v="Female"/>
    <n v="36"/>
    <n v="2"/>
    <n v="2"/>
    <s v="Sales Representative"/>
    <n v="3"/>
    <s v="Married"/>
    <n v="3540"/>
    <n v="7018"/>
    <n v="1"/>
    <s v="No"/>
    <n v="21"/>
    <n v="4"/>
    <n v="4"/>
    <n v="1"/>
    <n v="9"/>
    <n v="5"/>
    <n v="3"/>
    <n v="9"/>
    <n v="8"/>
    <n v="5"/>
    <n v="8"/>
  </r>
  <r>
    <n v="29"/>
    <s v="No"/>
    <s v="Travel_Rarely"/>
    <n v="352"/>
    <s v="Human Resources"/>
    <n v="6"/>
    <n v="1"/>
    <s v="Medical"/>
    <n v="4"/>
    <s v="Male"/>
    <n v="87"/>
    <n v="2"/>
    <n v="1"/>
    <s v="Human Resources"/>
    <n v="2"/>
    <s v="Married"/>
    <n v="2804"/>
    <n v="15434"/>
    <n v="1"/>
    <s v="No"/>
    <n v="11"/>
    <n v="3"/>
    <n v="4"/>
    <n v="0"/>
    <n v="1"/>
    <n v="3"/>
    <n v="3"/>
    <n v="1"/>
    <n v="0"/>
    <n v="0"/>
    <n v="0"/>
  </r>
  <r>
    <n v="43"/>
    <s v="No"/>
    <s v="Travel_Rarely"/>
    <n v="823"/>
    <s v="Research &amp; Development"/>
    <n v="6"/>
    <n v="3"/>
    <s v="Medical"/>
    <n v="1"/>
    <s v="Female"/>
    <n v="81"/>
    <n v="2"/>
    <n v="5"/>
    <s v="Manager"/>
    <n v="3"/>
    <s v="Married"/>
    <n v="19392"/>
    <n v="22539"/>
    <n v="7"/>
    <s v="No"/>
    <n v="13"/>
    <n v="3"/>
    <n v="4"/>
    <n v="0"/>
    <n v="21"/>
    <n v="2"/>
    <n v="3"/>
    <n v="16"/>
    <n v="12"/>
    <n v="6"/>
    <n v="14"/>
  </r>
  <r>
    <n v="48"/>
    <s v="No"/>
    <s v="Travel_Rarely"/>
    <n v="1224"/>
    <s v="Research &amp; Development"/>
    <n v="10"/>
    <n v="3"/>
    <s v="Life Sciences"/>
    <n v="4"/>
    <s v="Male"/>
    <n v="91"/>
    <n v="2"/>
    <n v="5"/>
    <s v="Research Director"/>
    <n v="2"/>
    <s v="Married"/>
    <n v="19665"/>
    <n v="13583"/>
    <n v="4"/>
    <s v="No"/>
    <n v="12"/>
    <n v="3"/>
    <n v="4"/>
    <n v="0"/>
    <n v="29"/>
    <n v="3"/>
    <n v="3"/>
    <n v="22"/>
    <n v="10"/>
    <n v="12"/>
    <n v="9"/>
  </r>
  <r>
    <n v="29"/>
    <s v="Yes"/>
    <s v="Travel_Frequently"/>
    <n v="459"/>
    <s v="Research &amp; Development"/>
    <n v="24"/>
    <n v="2"/>
    <s v="Life Sciences"/>
    <n v="4"/>
    <s v="Male"/>
    <n v="73"/>
    <n v="2"/>
    <n v="1"/>
    <s v="Research Scientist"/>
    <n v="4"/>
    <s v="Single"/>
    <n v="2439"/>
    <n v="14753"/>
    <n v="1"/>
    <s v="Yes"/>
    <n v="24"/>
    <n v="4"/>
    <n v="2"/>
    <n v="0"/>
    <n v="1"/>
    <n v="3"/>
    <n v="2"/>
    <n v="1"/>
    <n v="0"/>
    <n v="1"/>
    <n v="0"/>
  </r>
  <r>
    <n v="46"/>
    <s v="Yes"/>
    <s v="Travel_Rarely"/>
    <n v="1254"/>
    <s v="Sales"/>
    <n v="10"/>
    <n v="3"/>
    <s v="Life Sciences"/>
    <n v="3"/>
    <s v="Female"/>
    <n v="64"/>
    <n v="3"/>
    <n v="3"/>
    <s v="Sales Executive"/>
    <n v="2"/>
    <s v="Married"/>
    <n v="7314"/>
    <n v="14011"/>
    <n v="5"/>
    <s v="No"/>
    <n v="21"/>
    <n v="4"/>
    <n v="3"/>
    <n v="3"/>
    <n v="14"/>
    <n v="2"/>
    <n v="3"/>
    <n v="8"/>
    <n v="7"/>
    <n v="0"/>
    <n v="7"/>
  </r>
  <r>
    <n v="27"/>
    <s v="No"/>
    <s v="Travel_Frequently"/>
    <n v="1131"/>
    <s v="Research &amp; Development"/>
    <n v="15"/>
    <n v="3"/>
    <s v="Life Sciences"/>
    <n v="4"/>
    <s v="Female"/>
    <n v="77"/>
    <n v="2"/>
    <n v="1"/>
    <s v="Research Scientist"/>
    <n v="1"/>
    <s v="Married"/>
    <n v="4774"/>
    <n v="23844"/>
    <n v="0"/>
    <s v="No"/>
    <n v="19"/>
    <n v="3"/>
    <n v="4"/>
    <n v="1"/>
    <n v="8"/>
    <n v="2"/>
    <n v="2"/>
    <n v="7"/>
    <n v="6"/>
    <n v="7"/>
    <n v="3"/>
  </r>
  <r>
    <n v="39"/>
    <s v="No"/>
    <s v="Travel_Rarely"/>
    <n v="835"/>
    <s v="Research &amp; Development"/>
    <n v="19"/>
    <n v="4"/>
    <s v="Other"/>
    <n v="4"/>
    <s v="Male"/>
    <n v="41"/>
    <n v="3"/>
    <n v="2"/>
    <s v="Research Scientist"/>
    <n v="4"/>
    <s v="Divorced"/>
    <n v="3902"/>
    <n v="5141"/>
    <n v="8"/>
    <s v="No"/>
    <n v="14"/>
    <n v="3"/>
    <n v="2"/>
    <n v="3"/>
    <n v="7"/>
    <n v="2"/>
    <n v="3"/>
    <n v="2"/>
    <n v="2"/>
    <n v="2"/>
    <n v="2"/>
  </r>
  <r>
    <n v="55"/>
    <s v="No"/>
    <s v="Travel_Rarely"/>
    <n v="836"/>
    <s v="Research &amp; Development"/>
    <n v="2"/>
    <n v="4"/>
    <s v="Technical Degree"/>
    <n v="2"/>
    <s v="Male"/>
    <n v="98"/>
    <n v="2"/>
    <n v="1"/>
    <s v="Research Scientist"/>
    <n v="4"/>
    <s v="Married"/>
    <n v="2662"/>
    <n v="7975"/>
    <n v="8"/>
    <s v="No"/>
    <n v="20"/>
    <n v="4"/>
    <n v="2"/>
    <n v="1"/>
    <n v="19"/>
    <n v="2"/>
    <n v="4"/>
    <n v="5"/>
    <n v="2"/>
    <n v="0"/>
    <n v="4"/>
  </r>
  <r>
    <n v="28"/>
    <s v="No"/>
    <s v="Travel_Rarely"/>
    <n v="1172"/>
    <s v="Sales"/>
    <n v="3"/>
    <n v="3"/>
    <s v="Medical"/>
    <n v="2"/>
    <s v="Female"/>
    <n v="78"/>
    <n v="3"/>
    <n v="1"/>
    <s v="Sales Representative"/>
    <n v="2"/>
    <s v="Married"/>
    <n v="2856"/>
    <n v="3692"/>
    <n v="1"/>
    <s v="No"/>
    <n v="19"/>
    <n v="3"/>
    <n v="4"/>
    <n v="1"/>
    <n v="1"/>
    <n v="3"/>
    <n v="3"/>
    <n v="1"/>
    <n v="0"/>
    <n v="0"/>
    <n v="0"/>
  </r>
  <r>
    <n v="30"/>
    <s v="Yes"/>
    <s v="Travel_Rarely"/>
    <n v="945"/>
    <s v="Sales"/>
    <n v="9"/>
    <n v="3"/>
    <s v="Medical"/>
    <n v="2"/>
    <s v="Male"/>
    <n v="89"/>
    <n v="3"/>
    <n v="1"/>
    <s v="Sales Representative"/>
    <n v="4"/>
    <s v="Single"/>
    <n v="1081"/>
    <n v="16019"/>
    <n v="1"/>
    <s v="No"/>
    <n v="13"/>
    <n v="3"/>
    <n v="3"/>
    <n v="0"/>
    <n v="1"/>
    <n v="3"/>
    <n v="2"/>
    <n v="1"/>
    <n v="0"/>
    <n v="0"/>
    <n v="0"/>
  </r>
  <r>
    <n v="22"/>
    <s v="Yes"/>
    <s v="Travel_Rarely"/>
    <n v="391"/>
    <s v="Research &amp; Development"/>
    <n v="7"/>
    <n v="1"/>
    <s v="Life Sciences"/>
    <n v="4"/>
    <s v="Male"/>
    <n v="75"/>
    <n v="3"/>
    <n v="1"/>
    <s v="Research Scientist"/>
    <n v="2"/>
    <s v="Single"/>
    <n v="2472"/>
    <n v="26092"/>
    <n v="1"/>
    <s v="Yes"/>
    <n v="23"/>
    <n v="4"/>
    <n v="1"/>
    <n v="0"/>
    <n v="1"/>
    <n v="2"/>
    <n v="3"/>
    <n v="1"/>
    <n v="0"/>
    <n v="0"/>
    <n v="0"/>
  </r>
  <r>
    <n v="36"/>
    <s v="No"/>
    <s v="Travel_Rarely"/>
    <n v="1266"/>
    <s v="Sales"/>
    <n v="10"/>
    <n v="4"/>
    <s v="Technical Degree"/>
    <n v="2"/>
    <s v="Female"/>
    <n v="63"/>
    <n v="2"/>
    <n v="2"/>
    <s v="Sales Executive"/>
    <n v="3"/>
    <s v="Married"/>
    <n v="5673"/>
    <n v="6060"/>
    <n v="1"/>
    <s v="Yes"/>
    <n v="13"/>
    <n v="3"/>
    <n v="1"/>
    <n v="1"/>
    <n v="10"/>
    <n v="4"/>
    <n v="3"/>
    <n v="10"/>
    <n v="9"/>
    <n v="1"/>
    <n v="7"/>
  </r>
  <r>
    <n v="31"/>
    <s v="No"/>
    <s v="Travel_Rarely"/>
    <n v="311"/>
    <s v="Research &amp; Development"/>
    <n v="20"/>
    <n v="3"/>
    <s v="Life Sciences"/>
    <n v="2"/>
    <s v="Male"/>
    <n v="89"/>
    <n v="3"/>
    <n v="2"/>
    <s v="Laboratory Technician"/>
    <n v="3"/>
    <s v="Divorced"/>
    <n v="4197"/>
    <n v="18624"/>
    <n v="1"/>
    <s v="No"/>
    <n v="11"/>
    <n v="3"/>
    <n v="1"/>
    <n v="1"/>
    <n v="10"/>
    <n v="2"/>
    <n v="3"/>
    <n v="10"/>
    <n v="8"/>
    <n v="0"/>
    <n v="2"/>
  </r>
  <r>
    <n v="34"/>
    <s v="No"/>
    <s v="Travel_Rarely"/>
    <n v="1480"/>
    <s v="Sales"/>
    <n v="4"/>
    <n v="3"/>
    <s v="Life Sciences"/>
    <n v="3"/>
    <s v="Male"/>
    <n v="64"/>
    <n v="3"/>
    <n v="3"/>
    <s v="Sales Executive"/>
    <n v="4"/>
    <s v="Married"/>
    <n v="9713"/>
    <n v="24444"/>
    <n v="2"/>
    <s v="Yes"/>
    <n v="13"/>
    <n v="3"/>
    <n v="4"/>
    <n v="3"/>
    <n v="9"/>
    <n v="3"/>
    <n v="3"/>
    <n v="5"/>
    <n v="3"/>
    <n v="1"/>
    <n v="0"/>
  </r>
  <r>
    <n v="29"/>
    <s v="No"/>
    <s v="Travel_Rarely"/>
    <n v="592"/>
    <s v="Research &amp; Development"/>
    <n v="7"/>
    <n v="3"/>
    <s v="Life Sciences"/>
    <n v="4"/>
    <s v="Male"/>
    <n v="59"/>
    <n v="3"/>
    <n v="1"/>
    <s v="Laboratory Technician"/>
    <n v="1"/>
    <s v="Single"/>
    <n v="2062"/>
    <n v="19384"/>
    <n v="3"/>
    <s v="No"/>
    <n v="14"/>
    <n v="3"/>
    <n v="2"/>
    <n v="0"/>
    <n v="11"/>
    <n v="2"/>
    <n v="3"/>
    <n v="3"/>
    <n v="2"/>
    <n v="1"/>
    <n v="2"/>
  </r>
  <r>
    <n v="37"/>
    <s v="No"/>
    <s v="Travel_Rarely"/>
    <n v="783"/>
    <s v="Research &amp; Development"/>
    <n v="7"/>
    <n v="4"/>
    <s v="Medical"/>
    <n v="4"/>
    <s v="Male"/>
    <n v="78"/>
    <n v="3"/>
    <n v="2"/>
    <s v="Research Scientist"/>
    <n v="1"/>
    <s v="Married"/>
    <n v="4284"/>
    <n v="13588"/>
    <n v="5"/>
    <s v="Yes"/>
    <n v="22"/>
    <n v="4"/>
    <n v="3"/>
    <n v="1"/>
    <n v="16"/>
    <n v="2"/>
    <n v="3"/>
    <n v="5"/>
    <n v="3"/>
    <n v="0"/>
    <n v="4"/>
  </r>
  <r>
    <n v="35"/>
    <s v="No"/>
    <s v="Travel_Rarely"/>
    <n v="219"/>
    <s v="Research &amp; Development"/>
    <n v="16"/>
    <n v="2"/>
    <s v="Other"/>
    <n v="4"/>
    <s v="Female"/>
    <n v="44"/>
    <n v="2"/>
    <n v="2"/>
    <s v="Manufacturing Director"/>
    <n v="2"/>
    <s v="Married"/>
    <n v="4788"/>
    <n v="25388"/>
    <n v="0"/>
    <s v="Yes"/>
    <n v="11"/>
    <n v="3"/>
    <n v="4"/>
    <n v="0"/>
    <n v="4"/>
    <n v="2"/>
    <n v="3"/>
    <n v="3"/>
    <n v="2"/>
    <n v="0"/>
    <n v="2"/>
  </r>
  <r>
    <n v="45"/>
    <s v="No"/>
    <s v="Travel_Rarely"/>
    <n v="556"/>
    <s v="Research &amp; Development"/>
    <n v="25"/>
    <n v="2"/>
    <s v="Life Sciences"/>
    <n v="2"/>
    <s v="Female"/>
    <n v="93"/>
    <n v="2"/>
    <n v="2"/>
    <s v="Manufacturing Director"/>
    <n v="4"/>
    <s v="Married"/>
    <n v="5906"/>
    <n v="23888"/>
    <n v="0"/>
    <s v="No"/>
    <n v="13"/>
    <n v="3"/>
    <n v="4"/>
    <n v="2"/>
    <n v="10"/>
    <n v="2"/>
    <n v="2"/>
    <n v="9"/>
    <n v="8"/>
    <n v="3"/>
    <n v="8"/>
  </r>
  <r>
    <n v="36"/>
    <s v="No"/>
    <s v="Travel_Frequently"/>
    <n v="1213"/>
    <s v="Human Resources"/>
    <n v="2"/>
    <n v="1"/>
    <s v="Human Resources"/>
    <n v="2"/>
    <s v="Male"/>
    <n v="94"/>
    <n v="2"/>
    <n v="2"/>
    <s v="Human Resources"/>
    <n v="4"/>
    <s v="Single"/>
    <n v="3886"/>
    <n v="4223"/>
    <n v="1"/>
    <s v="No"/>
    <n v="21"/>
    <n v="4"/>
    <n v="4"/>
    <n v="0"/>
    <n v="10"/>
    <n v="2"/>
    <n v="2"/>
    <n v="10"/>
    <n v="1"/>
    <n v="0"/>
    <n v="8"/>
  </r>
  <r>
    <n v="40"/>
    <s v="No"/>
    <s v="Travel_Rarely"/>
    <n v="1137"/>
    <s v="Research &amp; Development"/>
    <n v="1"/>
    <n v="4"/>
    <s v="Life Sciences"/>
    <n v="1"/>
    <s v="Male"/>
    <n v="98"/>
    <n v="3"/>
    <n v="4"/>
    <s v="Manager"/>
    <n v="1"/>
    <s v="Divorced"/>
    <n v="16823"/>
    <n v="18991"/>
    <n v="2"/>
    <s v="No"/>
    <n v="11"/>
    <n v="3"/>
    <n v="1"/>
    <n v="1"/>
    <n v="22"/>
    <n v="3"/>
    <n v="3"/>
    <n v="19"/>
    <n v="7"/>
    <n v="11"/>
    <n v="16"/>
  </r>
  <r>
    <n v="26"/>
    <s v="No"/>
    <s v="Travel_Rarely"/>
    <n v="482"/>
    <s v="Research &amp; Development"/>
    <n v="1"/>
    <n v="2"/>
    <s v="Life Sciences"/>
    <n v="2"/>
    <s v="Female"/>
    <n v="90"/>
    <n v="2"/>
    <n v="1"/>
    <s v="Research Scientist"/>
    <n v="3"/>
    <s v="Married"/>
    <n v="2933"/>
    <n v="14908"/>
    <n v="1"/>
    <s v="Yes"/>
    <n v="13"/>
    <n v="3"/>
    <n v="3"/>
    <n v="1"/>
    <n v="1"/>
    <n v="3"/>
    <n v="2"/>
    <n v="1"/>
    <n v="0"/>
    <n v="1"/>
    <n v="0"/>
  </r>
  <r>
    <n v="27"/>
    <s v="No"/>
    <s v="Travel_Rarely"/>
    <n v="511"/>
    <s v="Sales"/>
    <n v="2"/>
    <n v="2"/>
    <s v="Medical"/>
    <n v="1"/>
    <s v="Female"/>
    <n v="89"/>
    <n v="4"/>
    <n v="2"/>
    <s v="Sales Executive"/>
    <n v="3"/>
    <s v="Single"/>
    <n v="6500"/>
    <n v="26997"/>
    <n v="0"/>
    <s v="No"/>
    <n v="14"/>
    <n v="3"/>
    <n v="2"/>
    <n v="0"/>
    <n v="9"/>
    <n v="5"/>
    <n v="2"/>
    <n v="8"/>
    <n v="7"/>
    <n v="0"/>
    <n v="7"/>
  </r>
  <r>
    <n v="48"/>
    <s v="No"/>
    <s v="Travel_Frequently"/>
    <n v="117"/>
    <s v="Research &amp; Development"/>
    <n v="22"/>
    <n v="3"/>
    <s v="Medical"/>
    <n v="4"/>
    <s v="Female"/>
    <n v="58"/>
    <n v="3"/>
    <n v="4"/>
    <s v="Manager"/>
    <n v="4"/>
    <s v="Divorced"/>
    <n v="17174"/>
    <n v="2437"/>
    <n v="3"/>
    <s v="No"/>
    <n v="11"/>
    <n v="3"/>
    <n v="2"/>
    <n v="1"/>
    <n v="24"/>
    <n v="3"/>
    <n v="3"/>
    <n v="22"/>
    <n v="17"/>
    <n v="4"/>
    <n v="7"/>
  </r>
  <r>
    <n v="44"/>
    <s v="No"/>
    <s v="Travel_Rarely"/>
    <n v="170"/>
    <s v="Research &amp; Development"/>
    <n v="1"/>
    <n v="4"/>
    <s v="Life Sciences"/>
    <n v="2"/>
    <s v="Male"/>
    <n v="78"/>
    <n v="4"/>
    <n v="2"/>
    <s v="Healthcare Representative"/>
    <n v="1"/>
    <s v="Married"/>
    <n v="5033"/>
    <n v="9364"/>
    <n v="2"/>
    <s v="No"/>
    <n v="15"/>
    <n v="3"/>
    <n v="4"/>
    <n v="1"/>
    <n v="10"/>
    <n v="5"/>
    <n v="3"/>
    <n v="2"/>
    <n v="0"/>
    <n v="2"/>
    <n v="2"/>
  </r>
  <r>
    <n v="34"/>
    <s v="Yes"/>
    <s v="Non-Travel"/>
    <n v="967"/>
    <s v="Research &amp; Development"/>
    <n v="16"/>
    <n v="4"/>
    <s v="Technical Degree"/>
    <n v="4"/>
    <s v="Male"/>
    <n v="85"/>
    <n v="1"/>
    <n v="1"/>
    <s v="Research Scientist"/>
    <n v="1"/>
    <s v="Married"/>
    <n v="2307"/>
    <n v="14460"/>
    <n v="1"/>
    <s v="Yes"/>
    <n v="23"/>
    <n v="4"/>
    <n v="2"/>
    <n v="1"/>
    <n v="5"/>
    <n v="2"/>
    <n v="3"/>
    <n v="5"/>
    <n v="2"/>
    <n v="3"/>
    <n v="0"/>
  </r>
  <r>
    <n v="56"/>
    <s v="Yes"/>
    <s v="Travel_Rarely"/>
    <n v="1162"/>
    <s v="Research &amp; Development"/>
    <n v="24"/>
    <n v="2"/>
    <s v="Life Sciences"/>
    <n v="1"/>
    <s v="Male"/>
    <n v="97"/>
    <n v="3"/>
    <n v="1"/>
    <s v="Laboratory Technician"/>
    <n v="4"/>
    <s v="Single"/>
    <n v="2587"/>
    <n v="10261"/>
    <n v="1"/>
    <s v="No"/>
    <n v="16"/>
    <n v="3"/>
    <n v="4"/>
    <n v="0"/>
    <n v="5"/>
    <n v="3"/>
    <n v="3"/>
    <n v="4"/>
    <n v="2"/>
    <n v="1"/>
    <n v="0"/>
  </r>
  <r>
    <n v="36"/>
    <s v="No"/>
    <s v="Travel_Rarely"/>
    <n v="335"/>
    <s v="Sales"/>
    <n v="17"/>
    <n v="2"/>
    <s v="Marketing"/>
    <n v="3"/>
    <s v="Male"/>
    <n v="33"/>
    <n v="2"/>
    <n v="2"/>
    <s v="Sales Executive"/>
    <n v="2"/>
    <s v="Married"/>
    <n v="5507"/>
    <n v="16822"/>
    <n v="2"/>
    <s v="No"/>
    <n v="16"/>
    <n v="3"/>
    <n v="3"/>
    <n v="2"/>
    <n v="12"/>
    <n v="1"/>
    <n v="1"/>
    <n v="4"/>
    <n v="2"/>
    <n v="1"/>
    <n v="3"/>
  </r>
  <r>
    <n v="41"/>
    <s v="No"/>
    <s v="Travel_Rarely"/>
    <n v="337"/>
    <s v="Sales"/>
    <n v="8"/>
    <n v="3"/>
    <s v="Marketing"/>
    <n v="3"/>
    <s v="Female"/>
    <n v="54"/>
    <n v="3"/>
    <n v="2"/>
    <s v="Sales Executive"/>
    <n v="2"/>
    <s v="Married"/>
    <n v="4393"/>
    <n v="26841"/>
    <n v="5"/>
    <s v="No"/>
    <n v="21"/>
    <n v="4"/>
    <n v="3"/>
    <n v="1"/>
    <n v="14"/>
    <n v="3"/>
    <n v="3"/>
    <n v="5"/>
    <n v="4"/>
    <n v="1"/>
    <n v="4"/>
  </r>
  <r>
    <n v="42"/>
    <s v="No"/>
    <s v="Travel_Rarely"/>
    <n v="1396"/>
    <s v="Research &amp; Development"/>
    <n v="6"/>
    <n v="3"/>
    <s v="Medical"/>
    <n v="3"/>
    <s v="Male"/>
    <n v="83"/>
    <n v="3"/>
    <n v="3"/>
    <s v="Research Director"/>
    <n v="1"/>
    <s v="Married"/>
    <n v="13348"/>
    <n v="14842"/>
    <n v="9"/>
    <s v="No"/>
    <n v="13"/>
    <n v="3"/>
    <n v="2"/>
    <n v="1"/>
    <n v="18"/>
    <n v="3"/>
    <n v="4"/>
    <n v="13"/>
    <n v="7"/>
    <n v="5"/>
    <n v="7"/>
  </r>
  <r>
    <n v="31"/>
    <s v="No"/>
    <s v="Travel_Rarely"/>
    <n v="1079"/>
    <s v="Sales"/>
    <n v="10"/>
    <n v="2"/>
    <s v="Medical"/>
    <n v="3"/>
    <s v="Female"/>
    <n v="86"/>
    <n v="3"/>
    <n v="2"/>
    <s v="Sales Executive"/>
    <n v="4"/>
    <s v="Divorced"/>
    <n v="6583"/>
    <n v="20115"/>
    <n v="2"/>
    <s v="Yes"/>
    <n v="11"/>
    <n v="3"/>
    <n v="4"/>
    <n v="1"/>
    <n v="8"/>
    <n v="2"/>
    <n v="3"/>
    <n v="5"/>
    <n v="2"/>
    <n v="1"/>
    <n v="4"/>
  </r>
  <r>
    <n v="34"/>
    <s v="No"/>
    <s v="Travel_Rarely"/>
    <n v="735"/>
    <s v="Sales"/>
    <n v="3"/>
    <n v="1"/>
    <s v="Medical"/>
    <n v="4"/>
    <s v="Female"/>
    <n v="75"/>
    <n v="2"/>
    <n v="2"/>
    <s v="Sales Executive"/>
    <n v="4"/>
    <s v="Married"/>
    <n v="8103"/>
    <n v="16495"/>
    <n v="3"/>
    <s v="Yes"/>
    <n v="12"/>
    <n v="3"/>
    <n v="3"/>
    <n v="0"/>
    <n v="9"/>
    <n v="3"/>
    <n v="2"/>
    <n v="4"/>
    <n v="2"/>
    <n v="0"/>
    <n v="1"/>
  </r>
  <r>
    <n v="31"/>
    <s v="No"/>
    <s v="Travel_Rarely"/>
    <n v="471"/>
    <s v="Research &amp; Development"/>
    <n v="4"/>
    <n v="3"/>
    <s v="Medical"/>
    <n v="1"/>
    <s v="Female"/>
    <n v="62"/>
    <n v="4"/>
    <n v="1"/>
    <s v="Laboratory Technician"/>
    <n v="3"/>
    <s v="Divorced"/>
    <n v="3978"/>
    <n v="16031"/>
    <n v="8"/>
    <s v="No"/>
    <n v="12"/>
    <n v="3"/>
    <n v="2"/>
    <n v="1"/>
    <n v="4"/>
    <n v="0"/>
    <n v="2"/>
    <n v="2"/>
    <n v="2"/>
    <n v="2"/>
    <n v="2"/>
  </r>
  <r>
    <n v="26"/>
    <s v="No"/>
    <s v="Travel_Frequently"/>
    <n v="1096"/>
    <s v="Research &amp; Development"/>
    <n v="6"/>
    <n v="3"/>
    <s v="Other"/>
    <n v="3"/>
    <s v="Male"/>
    <n v="61"/>
    <n v="4"/>
    <n v="1"/>
    <s v="Laboratory Technician"/>
    <n v="4"/>
    <s v="Married"/>
    <n v="2544"/>
    <n v="7102"/>
    <n v="0"/>
    <s v="No"/>
    <n v="18"/>
    <n v="3"/>
    <n v="1"/>
    <n v="1"/>
    <n v="8"/>
    <n v="3"/>
    <n v="3"/>
    <n v="7"/>
    <n v="7"/>
    <n v="7"/>
    <n v="7"/>
  </r>
  <r>
    <n v="45"/>
    <s v="No"/>
    <s v="Travel_Frequently"/>
    <n v="1297"/>
    <s v="Research &amp; Development"/>
    <n v="1"/>
    <n v="4"/>
    <s v="Medical"/>
    <n v="2"/>
    <s v="Male"/>
    <n v="44"/>
    <n v="3"/>
    <n v="2"/>
    <s v="Healthcare Representative"/>
    <n v="3"/>
    <s v="Single"/>
    <n v="5399"/>
    <n v="14511"/>
    <n v="4"/>
    <s v="No"/>
    <n v="12"/>
    <n v="3"/>
    <n v="3"/>
    <n v="0"/>
    <n v="12"/>
    <n v="3"/>
    <n v="3"/>
    <n v="4"/>
    <n v="2"/>
    <n v="0"/>
    <n v="3"/>
  </r>
  <r>
    <n v="33"/>
    <s v="No"/>
    <s v="Travel_Rarely"/>
    <n v="217"/>
    <s v="Sales"/>
    <n v="10"/>
    <n v="4"/>
    <s v="Marketing"/>
    <n v="2"/>
    <s v="Male"/>
    <n v="43"/>
    <n v="3"/>
    <n v="2"/>
    <s v="Sales Executive"/>
    <n v="3"/>
    <s v="Single"/>
    <n v="5487"/>
    <n v="10410"/>
    <n v="1"/>
    <s v="No"/>
    <n v="14"/>
    <n v="3"/>
    <n v="2"/>
    <n v="0"/>
    <n v="10"/>
    <n v="2"/>
    <n v="2"/>
    <n v="10"/>
    <n v="4"/>
    <n v="0"/>
    <n v="9"/>
  </r>
  <r>
    <n v="28"/>
    <s v="No"/>
    <s v="Travel_Frequently"/>
    <n v="783"/>
    <s v="Sales"/>
    <n v="1"/>
    <n v="2"/>
    <s v="Life Sciences"/>
    <n v="3"/>
    <s v="Male"/>
    <n v="42"/>
    <n v="2"/>
    <n v="2"/>
    <s v="Sales Executive"/>
    <n v="4"/>
    <s v="Married"/>
    <n v="6834"/>
    <n v="19255"/>
    <n v="1"/>
    <s v="Yes"/>
    <n v="12"/>
    <n v="3"/>
    <n v="3"/>
    <n v="1"/>
    <n v="7"/>
    <n v="2"/>
    <n v="3"/>
    <n v="7"/>
    <n v="7"/>
    <n v="0"/>
    <n v="7"/>
  </r>
  <r>
    <n v="29"/>
    <s v="Yes"/>
    <s v="Travel_Frequently"/>
    <n v="746"/>
    <s v="Sales"/>
    <n v="24"/>
    <n v="3"/>
    <s v="Technical Degree"/>
    <n v="3"/>
    <s v="Male"/>
    <n v="45"/>
    <n v="4"/>
    <n v="1"/>
    <s v="Sales Representative"/>
    <n v="1"/>
    <s v="Single"/>
    <n v="1091"/>
    <n v="10642"/>
    <n v="1"/>
    <s v="No"/>
    <n v="17"/>
    <n v="3"/>
    <n v="4"/>
    <n v="0"/>
    <n v="1"/>
    <n v="3"/>
    <n v="3"/>
    <n v="1"/>
    <n v="0"/>
    <n v="0"/>
    <n v="0"/>
  </r>
  <r>
    <n v="39"/>
    <s v="No"/>
    <s v="Non-Travel"/>
    <n v="1251"/>
    <s v="Sales"/>
    <n v="21"/>
    <n v="4"/>
    <s v="Life Sciences"/>
    <n v="1"/>
    <s v="Female"/>
    <n v="32"/>
    <n v="1"/>
    <n v="2"/>
    <s v="Sales Executive"/>
    <n v="3"/>
    <s v="Married"/>
    <n v="5736"/>
    <n v="3987"/>
    <n v="6"/>
    <s v="No"/>
    <n v="19"/>
    <n v="3"/>
    <n v="3"/>
    <n v="1"/>
    <n v="10"/>
    <n v="1"/>
    <n v="3"/>
    <n v="3"/>
    <n v="2"/>
    <n v="1"/>
    <n v="2"/>
  </r>
  <r>
    <n v="27"/>
    <s v="No"/>
    <s v="Travel_Rarely"/>
    <n v="1354"/>
    <s v="Research &amp; Development"/>
    <n v="2"/>
    <n v="4"/>
    <s v="Technical Degree"/>
    <n v="2"/>
    <s v="Male"/>
    <n v="41"/>
    <n v="3"/>
    <n v="1"/>
    <s v="Research Scientist"/>
    <n v="2"/>
    <s v="Married"/>
    <n v="2226"/>
    <n v="6073"/>
    <n v="1"/>
    <s v="No"/>
    <n v="11"/>
    <n v="3"/>
    <n v="3"/>
    <n v="1"/>
    <n v="6"/>
    <n v="3"/>
    <n v="2"/>
    <n v="5"/>
    <n v="3"/>
    <n v="1"/>
    <n v="2"/>
  </r>
  <r>
    <n v="34"/>
    <s v="No"/>
    <s v="Travel_Frequently"/>
    <n v="735"/>
    <s v="Research &amp; Development"/>
    <n v="22"/>
    <n v="4"/>
    <s v="Other"/>
    <n v="3"/>
    <s v="Male"/>
    <n v="86"/>
    <n v="2"/>
    <n v="2"/>
    <s v="Research Scientist"/>
    <n v="4"/>
    <s v="Married"/>
    <n v="5747"/>
    <n v="26496"/>
    <n v="1"/>
    <s v="Yes"/>
    <n v="15"/>
    <n v="3"/>
    <n v="2"/>
    <n v="0"/>
    <n v="16"/>
    <n v="3"/>
    <n v="3"/>
    <n v="15"/>
    <n v="10"/>
    <n v="6"/>
    <n v="11"/>
  </r>
  <r>
    <n v="28"/>
    <s v="Yes"/>
    <s v="Travel_Rarely"/>
    <n v="1475"/>
    <s v="Sales"/>
    <n v="13"/>
    <n v="2"/>
    <s v="Marketing"/>
    <n v="4"/>
    <s v="Female"/>
    <n v="84"/>
    <n v="3"/>
    <n v="2"/>
    <s v="Sales Executive"/>
    <n v="3"/>
    <s v="Single"/>
    <n v="9854"/>
    <n v="23352"/>
    <n v="3"/>
    <s v="Yes"/>
    <n v="11"/>
    <n v="3"/>
    <n v="4"/>
    <n v="0"/>
    <n v="6"/>
    <n v="0"/>
    <n v="3"/>
    <n v="2"/>
    <n v="0"/>
    <n v="2"/>
    <n v="2"/>
  </r>
  <r>
    <n v="47"/>
    <s v="No"/>
    <s v="Non-Travel"/>
    <n v="1169"/>
    <s v="Research &amp; Development"/>
    <n v="14"/>
    <n v="4"/>
    <s v="Technical Degree"/>
    <n v="3"/>
    <s v="Male"/>
    <n v="64"/>
    <n v="3"/>
    <n v="2"/>
    <s v="Research Scientist"/>
    <n v="2"/>
    <s v="Married"/>
    <n v="5467"/>
    <n v="2125"/>
    <n v="8"/>
    <s v="No"/>
    <n v="18"/>
    <n v="3"/>
    <n v="3"/>
    <n v="1"/>
    <n v="16"/>
    <n v="4"/>
    <n v="4"/>
    <n v="8"/>
    <n v="7"/>
    <n v="1"/>
    <n v="7"/>
  </r>
  <r>
    <n v="56"/>
    <s v="No"/>
    <s v="Travel_Rarely"/>
    <n v="1443"/>
    <s v="Sales"/>
    <n v="11"/>
    <n v="5"/>
    <s v="Marketing"/>
    <n v="4"/>
    <s v="Female"/>
    <n v="89"/>
    <n v="2"/>
    <n v="2"/>
    <s v="Sales Executive"/>
    <n v="1"/>
    <s v="Married"/>
    <n v="5380"/>
    <n v="20328"/>
    <n v="4"/>
    <s v="No"/>
    <n v="16"/>
    <n v="3"/>
    <n v="3"/>
    <n v="1"/>
    <n v="6"/>
    <n v="3"/>
    <n v="3"/>
    <n v="0"/>
    <n v="0"/>
    <n v="0"/>
    <n v="0"/>
  </r>
  <r>
    <n v="39"/>
    <s v="No"/>
    <s v="Travel_Rarely"/>
    <n v="867"/>
    <s v="Research &amp; Development"/>
    <n v="9"/>
    <n v="2"/>
    <s v="Medical"/>
    <n v="1"/>
    <s v="Male"/>
    <n v="87"/>
    <n v="3"/>
    <n v="2"/>
    <s v="Manufacturing Director"/>
    <n v="1"/>
    <s v="Married"/>
    <n v="5151"/>
    <n v="12315"/>
    <n v="1"/>
    <s v="No"/>
    <n v="25"/>
    <n v="4"/>
    <n v="4"/>
    <n v="1"/>
    <n v="10"/>
    <n v="3"/>
    <n v="3"/>
    <n v="10"/>
    <n v="0"/>
    <n v="7"/>
    <n v="9"/>
  </r>
  <r>
    <n v="38"/>
    <s v="No"/>
    <s v="Travel_Frequently"/>
    <n v="1394"/>
    <s v="Research &amp; Development"/>
    <n v="8"/>
    <n v="3"/>
    <s v="Medical"/>
    <n v="4"/>
    <s v="Female"/>
    <n v="58"/>
    <n v="2"/>
    <n v="2"/>
    <s v="Research Scientist"/>
    <n v="2"/>
    <s v="Divorced"/>
    <n v="2133"/>
    <n v="18115"/>
    <n v="1"/>
    <s v="Yes"/>
    <n v="16"/>
    <n v="3"/>
    <n v="3"/>
    <n v="1"/>
    <n v="20"/>
    <n v="3"/>
    <n v="3"/>
    <n v="20"/>
    <n v="11"/>
    <n v="0"/>
    <n v="7"/>
  </r>
  <r>
    <n v="58"/>
    <s v="No"/>
    <s v="Travel_Rarely"/>
    <n v="605"/>
    <s v="Sales"/>
    <n v="21"/>
    <n v="3"/>
    <s v="Life Sciences"/>
    <n v="4"/>
    <s v="Female"/>
    <n v="72"/>
    <n v="3"/>
    <n v="4"/>
    <s v="Manager"/>
    <n v="4"/>
    <s v="Married"/>
    <n v="17875"/>
    <n v="11761"/>
    <n v="4"/>
    <s v="Yes"/>
    <n v="13"/>
    <n v="3"/>
    <n v="3"/>
    <n v="1"/>
    <n v="29"/>
    <n v="2"/>
    <n v="2"/>
    <n v="1"/>
    <n v="0"/>
    <n v="0"/>
    <n v="0"/>
  </r>
  <r>
    <n v="32"/>
    <s v="Yes"/>
    <s v="Travel_Frequently"/>
    <n v="238"/>
    <s v="Research &amp; Development"/>
    <n v="5"/>
    <n v="2"/>
    <s v="Life Sciences"/>
    <n v="1"/>
    <s v="Female"/>
    <n v="47"/>
    <n v="4"/>
    <n v="1"/>
    <s v="Research Scientist"/>
    <n v="3"/>
    <s v="Single"/>
    <n v="2432"/>
    <n v="15318"/>
    <n v="3"/>
    <s v="Yes"/>
    <n v="14"/>
    <n v="3"/>
    <n v="1"/>
    <n v="0"/>
    <n v="8"/>
    <n v="2"/>
    <n v="3"/>
    <n v="4"/>
    <n v="1"/>
    <n v="0"/>
    <n v="3"/>
  </r>
  <r>
    <n v="38"/>
    <s v="No"/>
    <s v="Travel_Rarely"/>
    <n v="1206"/>
    <s v="Research &amp; Development"/>
    <n v="9"/>
    <n v="2"/>
    <s v="Life Sciences"/>
    <n v="2"/>
    <s v="Male"/>
    <n v="71"/>
    <n v="3"/>
    <n v="1"/>
    <s v="Research Scientist"/>
    <n v="4"/>
    <s v="Divorced"/>
    <n v="4771"/>
    <n v="14293"/>
    <n v="2"/>
    <s v="No"/>
    <n v="19"/>
    <n v="3"/>
    <n v="4"/>
    <n v="2"/>
    <n v="10"/>
    <n v="0"/>
    <n v="4"/>
    <n v="5"/>
    <n v="2"/>
    <n v="0"/>
    <n v="3"/>
  </r>
  <r>
    <n v="49"/>
    <s v="No"/>
    <s v="Travel_Frequently"/>
    <n v="1064"/>
    <s v="Research &amp; Development"/>
    <n v="2"/>
    <n v="1"/>
    <s v="Life Sciences"/>
    <n v="2"/>
    <s v="Male"/>
    <n v="42"/>
    <n v="3"/>
    <n v="5"/>
    <s v="Research Director"/>
    <n v="4"/>
    <s v="Married"/>
    <n v="19161"/>
    <n v="13738"/>
    <n v="3"/>
    <s v="No"/>
    <n v="15"/>
    <n v="3"/>
    <n v="4"/>
    <n v="0"/>
    <n v="28"/>
    <n v="3"/>
    <n v="3"/>
    <n v="5"/>
    <n v="4"/>
    <n v="4"/>
    <n v="3"/>
  </r>
  <r>
    <n v="42"/>
    <s v="No"/>
    <s v="Travel_Rarely"/>
    <n v="419"/>
    <s v="Sales"/>
    <n v="12"/>
    <n v="4"/>
    <s v="Marketing"/>
    <n v="2"/>
    <s v="Male"/>
    <n v="77"/>
    <n v="3"/>
    <n v="2"/>
    <s v="Sales Executive"/>
    <n v="4"/>
    <s v="Divorced"/>
    <n v="5087"/>
    <n v="2900"/>
    <n v="3"/>
    <s v="Yes"/>
    <n v="12"/>
    <n v="3"/>
    <n v="3"/>
    <n v="2"/>
    <n v="14"/>
    <n v="4"/>
    <n v="3"/>
    <n v="0"/>
    <n v="0"/>
    <n v="0"/>
    <n v="0"/>
  </r>
  <r>
    <n v="27"/>
    <s v="Yes"/>
    <s v="Travel_Frequently"/>
    <n v="1337"/>
    <s v="Human Resources"/>
    <n v="22"/>
    <n v="3"/>
    <s v="Human Resources"/>
    <n v="1"/>
    <s v="Female"/>
    <n v="58"/>
    <n v="2"/>
    <n v="1"/>
    <s v="Human Resources"/>
    <n v="2"/>
    <s v="Married"/>
    <n v="2863"/>
    <n v="19555"/>
    <n v="1"/>
    <s v="No"/>
    <n v="12"/>
    <n v="3"/>
    <n v="1"/>
    <n v="0"/>
    <n v="1"/>
    <n v="2"/>
    <n v="3"/>
    <n v="1"/>
    <n v="0"/>
    <n v="0"/>
    <n v="0"/>
  </r>
  <r>
    <n v="35"/>
    <s v="No"/>
    <s v="Travel_Rarely"/>
    <n v="682"/>
    <s v="Sales"/>
    <n v="18"/>
    <n v="4"/>
    <s v="Medical"/>
    <n v="2"/>
    <s v="Male"/>
    <n v="71"/>
    <n v="3"/>
    <n v="2"/>
    <s v="Sales Executive"/>
    <n v="1"/>
    <s v="Married"/>
    <n v="5561"/>
    <n v="15975"/>
    <n v="0"/>
    <s v="No"/>
    <n v="16"/>
    <n v="3"/>
    <n v="4"/>
    <n v="1"/>
    <n v="6"/>
    <n v="2"/>
    <n v="1"/>
    <n v="5"/>
    <n v="3"/>
    <n v="0"/>
    <n v="4"/>
  </r>
  <r>
    <n v="28"/>
    <s v="No"/>
    <s v="Non-Travel"/>
    <n v="1103"/>
    <s v="Research &amp; Development"/>
    <n v="16"/>
    <n v="3"/>
    <s v="Medical"/>
    <n v="3"/>
    <s v="Male"/>
    <n v="49"/>
    <n v="3"/>
    <n v="1"/>
    <s v="Research Scientist"/>
    <n v="3"/>
    <s v="Single"/>
    <n v="2144"/>
    <n v="2122"/>
    <n v="1"/>
    <s v="No"/>
    <n v="14"/>
    <n v="3"/>
    <n v="3"/>
    <n v="0"/>
    <n v="5"/>
    <n v="3"/>
    <n v="2"/>
    <n v="5"/>
    <n v="3"/>
    <n v="1"/>
    <n v="4"/>
  </r>
  <r>
    <n v="31"/>
    <s v="No"/>
    <s v="Non-Travel"/>
    <n v="976"/>
    <s v="Research &amp; Development"/>
    <n v="3"/>
    <n v="2"/>
    <s v="Medical"/>
    <n v="3"/>
    <s v="Male"/>
    <n v="48"/>
    <n v="3"/>
    <n v="1"/>
    <s v="Research Scientist"/>
    <n v="1"/>
    <s v="Divorced"/>
    <n v="3065"/>
    <n v="3995"/>
    <n v="1"/>
    <s v="Yes"/>
    <n v="13"/>
    <n v="3"/>
    <n v="4"/>
    <n v="1"/>
    <n v="4"/>
    <n v="3"/>
    <n v="4"/>
    <n v="4"/>
    <n v="2"/>
    <n v="2"/>
    <n v="3"/>
  </r>
  <r>
    <n v="36"/>
    <s v="No"/>
    <s v="Non-Travel"/>
    <n v="1351"/>
    <s v="Research &amp; Development"/>
    <n v="9"/>
    <n v="4"/>
    <s v="Life Sciences"/>
    <n v="1"/>
    <s v="Male"/>
    <n v="66"/>
    <n v="4"/>
    <n v="1"/>
    <s v="Laboratory Technician"/>
    <n v="2"/>
    <s v="Married"/>
    <n v="2810"/>
    <n v="9238"/>
    <n v="1"/>
    <s v="No"/>
    <n v="22"/>
    <n v="4"/>
    <n v="2"/>
    <n v="0"/>
    <n v="5"/>
    <n v="3"/>
    <n v="3"/>
    <n v="5"/>
    <n v="4"/>
    <n v="0"/>
    <n v="2"/>
  </r>
  <r>
    <n v="34"/>
    <s v="No"/>
    <s v="Travel_Rarely"/>
    <n v="937"/>
    <s v="Sales"/>
    <n v="1"/>
    <n v="3"/>
    <s v="Marketing"/>
    <n v="1"/>
    <s v="Male"/>
    <n v="32"/>
    <n v="3"/>
    <n v="3"/>
    <s v="Sales Executive"/>
    <n v="4"/>
    <s v="Single"/>
    <n v="9888"/>
    <n v="6770"/>
    <n v="1"/>
    <s v="No"/>
    <n v="21"/>
    <n v="4"/>
    <n v="1"/>
    <n v="0"/>
    <n v="14"/>
    <n v="3"/>
    <n v="2"/>
    <n v="14"/>
    <n v="8"/>
    <n v="2"/>
    <n v="1"/>
  </r>
  <r>
    <n v="34"/>
    <s v="No"/>
    <s v="Travel_Rarely"/>
    <n v="1239"/>
    <s v="Sales"/>
    <n v="13"/>
    <n v="4"/>
    <s v="Medical"/>
    <n v="4"/>
    <s v="Male"/>
    <n v="39"/>
    <n v="3"/>
    <n v="3"/>
    <s v="Sales Executive"/>
    <n v="3"/>
    <s v="Divorced"/>
    <n v="8628"/>
    <n v="22914"/>
    <n v="1"/>
    <s v="No"/>
    <n v="18"/>
    <n v="3"/>
    <n v="3"/>
    <n v="1"/>
    <n v="9"/>
    <n v="2"/>
    <n v="2"/>
    <n v="8"/>
    <n v="7"/>
    <n v="1"/>
    <n v="1"/>
  </r>
  <r>
    <n v="26"/>
    <s v="No"/>
    <s v="Travel_Rarely"/>
    <n v="157"/>
    <s v="Research &amp; Development"/>
    <n v="1"/>
    <n v="3"/>
    <s v="Medical"/>
    <n v="3"/>
    <s v="Male"/>
    <n v="95"/>
    <n v="3"/>
    <n v="1"/>
    <s v="Laboratory Technician"/>
    <n v="1"/>
    <s v="Single"/>
    <n v="2867"/>
    <n v="20006"/>
    <n v="0"/>
    <s v="No"/>
    <n v="13"/>
    <n v="3"/>
    <n v="4"/>
    <n v="0"/>
    <n v="8"/>
    <n v="6"/>
    <n v="2"/>
    <n v="7"/>
    <n v="7"/>
    <n v="7"/>
    <n v="6"/>
  </r>
  <r>
    <n v="29"/>
    <s v="No"/>
    <s v="Travel_Rarely"/>
    <n v="136"/>
    <s v="Research &amp; Development"/>
    <n v="1"/>
    <n v="3"/>
    <s v="Life Sciences"/>
    <n v="1"/>
    <s v="Male"/>
    <n v="89"/>
    <n v="3"/>
    <n v="2"/>
    <s v="Healthcare Representative"/>
    <n v="1"/>
    <s v="Married"/>
    <n v="5373"/>
    <n v="6225"/>
    <n v="0"/>
    <s v="No"/>
    <n v="12"/>
    <n v="3"/>
    <n v="1"/>
    <n v="1"/>
    <n v="6"/>
    <n v="5"/>
    <n v="2"/>
    <n v="5"/>
    <n v="3"/>
    <n v="0"/>
    <n v="2"/>
  </r>
  <r>
    <n v="32"/>
    <s v="No"/>
    <s v="Non-Travel"/>
    <n v="1146"/>
    <s v="Research &amp; Development"/>
    <n v="15"/>
    <n v="4"/>
    <s v="Medical"/>
    <n v="3"/>
    <s v="Female"/>
    <n v="34"/>
    <n v="3"/>
    <n v="2"/>
    <s v="Healthcare Representative"/>
    <n v="4"/>
    <s v="Divorced"/>
    <n v="6667"/>
    <n v="16542"/>
    <n v="5"/>
    <s v="No"/>
    <n v="18"/>
    <n v="3"/>
    <n v="2"/>
    <n v="1"/>
    <n v="9"/>
    <n v="6"/>
    <n v="3"/>
    <n v="5"/>
    <n v="1"/>
    <n v="1"/>
    <n v="2"/>
  </r>
  <r>
    <n v="31"/>
    <s v="No"/>
    <s v="Travel_Frequently"/>
    <n v="1125"/>
    <s v="Research &amp; Development"/>
    <n v="1"/>
    <n v="3"/>
    <s v="Life Sciences"/>
    <n v="4"/>
    <s v="Male"/>
    <n v="48"/>
    <n v="1"/>
    <n v="2"/>
    <s v="Research Scientist"/>
    <n v="1"/>
    <s v="Married"/>
    <n v="5003"/>
    <n v="5771"/>
    <n v="1"/>
    <s v="No"/>
    <n v="21"/>
    <n v="4"/>
    <n v="2"/>
    <n v="0"/>
    <n v="10"/>
    <n v="6"/>
    <n v="3"/>
    <n v="10"/>
    <n v="8"/>
    <n v="8"/>
    <n v="7"/>
  </r>
  <r>
    <n v="28"/>
    <s v="Yes"/>
    <s v="Travel_Rarely"/>
    <n v="1404"/>
    <s v="Research &amp; Development"/>
    <n v="17"/>
    <n v="3"/>
    <s v="Technical Degree"/>
    <n v="3"/>
    <s v="Male"/>
    <n v="32"/>
    <n v="2"/>
    <n v="1"/>
    <s v="Laboratory Technician"/>
    <n v="4"/>
    <s v="Divorced"/>
    <n v="2367"/>
    <n v="18779"/>
    <n v="5"/>
    <s v="No"/>
    <n v="12"/>
    <n v="3"/>
    <n v="1"/>
    <n v="1"/>
    <n v="6"/>
    <n v="2"/>
    <n v="2"/>
    <n v="4"/>
    <n v="1"/>
    <n v="0"/>
    <n v="3"/>
  </r>
  <r>
    <n v="38"/>
    <s v="No"/>
    <s v="Travel_Rarely"/>
    <n v="1404"/>
    <s v="Sales"/>
    <n v="1"/>
    <n v="3"/>
    <s v="Life Sciences"/>
    <n v="1"/>
    <s v="Male"/>
    <n v="59"/>
    <n v="2"/>
    <n v="1"/>
    <s v="Sales Representative"/>
    <n v="1"/>
    <s v="Single"/>
    <n v="2858"/>
    <n v="11473"/>
    <n v="4"/>
    <s v="No"/>
    <n v="14"/>
    <n v="3"/>
    <n v="1"/>
    <n v="0"/>
    <n v="20"/>
    <n v="3"/>
    <n v="2"/>
    <n v="1"/>
    <n v="0"/>
    <n v="0"/>
    <n v="0"/>
  </r>
  <r>
    <n v="35"/>
    <s v="No"/>
    <s v="Travel_Rarely"/>
    <n v="1224"/>
    <s v="Sales"/>
    <n v="7"/>
    <n v="4"/>
    <s v="Life Sciences"/>
    <n v="3"/>
    <s v="Female"/>
    <n v="55"/>
    <n v="3"/>
    <n v="2"/>
    <s v="Sales Executive"/>
    <n v="4"/>
    <s v="Married"/>
    <n v="5204"/>
    <n v="13586"/>
    <n v="1"/>
    <s v="Yes"/>
    <n v="11"/>
    <n v="3"/>
    <n v="4"/>
    <n v="0"/>
    <n v="10"/>
    <n v="2"/>
    <n v="3"/>
    <n v="10"/>
    <n v="8"/>
    <n v="0"/>
    <n v="9"/>
  </r>
  <r>
    <n v="27"/>
    <s v="No"/>
    <s v="Travel_Rarely"/>
    <n v="954"/>
    <s v="Sales"/>
    <n v="9"/>
    <n v="3"/>
    <s v="Marketing"/>
    <n v="4"/>
    <s v="Male"/>
    <n v="44"/>
    <n v="3"/>
    <n v="2"/>
    <s v="Sales Executive"/>
    <n v="4"/>
    <s v="Single"/>
    <n v="4105"/>
    <n v="5099"/>
    <n v="1"/>
    <s v="No"/>
    <n v="14"/>
    <n v="3"/>
    <n v="1"/>
    <n v="0"/>
    <n v="7"/>
    <n v="5"/>
    <n v="3"/>
    <n v="7"/>
    <n v="7"/>
    <n v="0"/>
    <n v="7"/>
  </r>
  <r>
    <n v="32"/>
    <s v="No"/>
    <s v="Travel_Rarely"/>
    <n v="1373"/>
    <s v="Research &amp; Development"/>
    <n v="5"/>
    <n v="4"/>
    <s v="Life Sciences"/>
    <n v="4"/>
    <s v="Male"/>
    <n v="56"/>
    <n v="2"/>
    <n v="2"/>
    <s v="Manufacturing Director"/>
    <n v="4"/>
    <s v="Single"/>
    <n v="9679"/>
    <n v="10138"/>
    <n v="8"/>
    <s v="No"/>
    <n v="24"/>
    <n v="4"/>
    <n v="2"/>
    <n v="0"/>
    <n v="8"/>
    <n v="1"/>
    <n v="3"/>
    <n v="1"/>
    <n v="0"/>
    <n v="0"/>
    <n v="0"/>
  </r>
  <r>
    <n v="31"/>
    <s v="Yes"/>
    <s v="Travel_Frequently"/>
    <n v="754"/>
    <s v="Sales"/>
    <n v="26"/>
    <n v="4"/>
    <s v="Marketing"/>
    <n v="1"/>
    <s v="Male"/>
    <n v="63"/>
    <n v="3"/>
    <n v="2"/>
    <s v="Sales Executive"/>
    <n v="4"/>
    <s v="Married"/>
    <n v="5617"/>
    <n v="21075"/>
    <n v="1"/>
    <s v="Yes"/>
    <n v="11"/>
    <n v="3"/>
    <n v="3"/>
    <n v="0"/>
    <n v="10"/>
    <n v="4"/>
    <n v="3"/>
    <n v="10"/>
    <n v="7"/>
    <n v="0"/>
    <n v="8"/>
  </r>
  <r>
    <n v="53"/>
    <s v="Yes"/>
    <s v="Travel_Rarely"/>
    <n v="1168"/>
    <s v="Sales"/>
    <n v="24"/>
    <n v="4"/>
    <s v="Life Sciences"/>
    <n v="1"/>
    <s v="Male"/>
    <n v="66"/>
    <n v="3"/>
    <n v="3"/>
    <s v="Sales Executive"/>
    <n v="1"/>
    <s v="Single"/>
    <n v="10448"/>
    <n v="5843"/>
    <n v="6"/>
    <s v="Yes"/>
    <n v="13"/>
    <n v="3"/>
    <n v="2"/>
    <n v="0"/>
    <n v="15"/>
    <n v="2"/>
    <n v="2"/>
    <n v="2"/>
    <n v="2"/>
    <n v="2"/>
    <n v="2"/>
  </r>
  <r>
    <n v="54"/>
    <s v="No"/>
    <s v="Travel_Rarely"/>
    <n v="155"/>
    <s v="Research &amp; Development"/>
    <n v="9"/>
    <n v="2"/>
    <s v="Life Sciences"/>
    <n v="1"/>
    <s v="Female"/>
    <n v="67"/>
    <n v="3"/>
    <n v="2"/>
    <s v="Research Scientist"/>
    <n v="3"/>
    <s v="Married"/>
    <n v="2897"/>
    <n v="22474"/>
    <n v="3"/>
    <s v="No"/>
    <n v="11"/>
    <n v="3"/>
    <n v="3"/>
    <n v="2"/>
    <n v="9"/>
    <n v="6"/>
    <n v="2"/>
    <n v="4"/>
    <n v="3"/>
    <n v="2"/>
    <n v="3"/>
  </r>
  <r>
    <n v="33"/>
    <s v="No"/>
    <s v="Travel_Frequently"/>
    <n v="1303"/>
    <s v="Research &amp; Development"/>
    <n v="7"/>
    <n v="2"/>
    <s v="Life Sciences"/>
    <n v="4"/>
    <s v="Male"/>
    <n v="36"/>
    <n v="3"/>
    <n v="2"/>
    <s v="Healthcare Representative"/>
    <n v="3"/>
    <s v="Divorced"/>
    <n v="5968"/>
    <n v="18079"/>
    <n v="1"/>
    <s v="No"/>
    <n v="20"/>
    <n v="4"/>
    <n v="3"/>
    <n v="3"/>
    <n v="9"/>
    <n v="2"/>
    <n v="3"/>
    <n v="9"/>
    <n v="7"/>
    <n v="2"/>
    <n v="8"/>
  </r>
  <r>
    <n v="43"/>
    <s v="No"/>
    <s v="Travel_Rarely"/>
    <n v="574"/>
    <s v="Research &amp; Development"/>
    <n v="11"/>
    <n v="3"/>
    <s v="Life Sciences"/>
    <n v="1"/>
    <s v="Male"/>
    <n v="30"/>
    <n v="3"/>
    <n v="3"/>
    <s v="Healthcare Representative"/>
    <n v="3"/>
    <s v="Married"/>
    <n v="7510"/>
    <n v="16873"/>
    <n v="1"/>
    <s v="No"/>
    <n v="17"/>
    <n v="3"/>
    <n v="2"/>
    <n v="1"/>
    <n v="10"/>
    <n v="1"/>
    <n v="3"/>
    <n v="10"/>
    <n v="9"/>
    <n v="0"/>
    <n v="9"/>
  </r>
  <r>
    <n v="38"/>
    <s v="No"/>
    <s v="Travel_Frequently"/>
    <n v="1444"/>
    <s v="Human Resources"/>
    <n v="1"/>
    <n v="4"/>
    <s v="Other"/>
    <n v="4"/>
    <s v="Male"/>
    <n v="88"/>
    <n v="3"/>
    <n v="1"/>
    <s v="Human Resources"/>
    <n v="2"/>
    <s v="Married"/>
    <n v="2991"/>
    <n v="5224"/>
    <n v="0"/>
    <s v="Yes"/>
    <n v="11"/>
    <n v="3"/>
    <n v="2"/>
    <n v="1"/>
    <n v="7"/>
    <n v="2"/>
    <n v="3"/>
    <n v="6"/>
    <n v="2"/>
    <n v="1"/>
    <n v="2"/>
  </r>
  <r>
    <n v="55"/>
    <s v="No"/>
    <s v="Travel_Rarely"/>
    <n v="189"/>
    <s v="Human Resources"/>
    <n v="26"/>
    <n v="4"/>
    <s v="Human Resources"/>
    <n v="3"/>
    <s v="Male"/>
    <n v="71"/>
    <n v="4"/>
    <n v="5"/>
    <s v="Manager"/>
    <n v="2"/>
    <s v="Married"/>
    <n v="19636"/>
    <n v="25811"/>
    <n v="4"/>
    <s v="Yes"/>
    <n v="18"/>
    <n v="3"/>
    <n v="1"/>
    <n v="1"/>
    <n v="35"/>
    <n v="0"/>
    <n v="3"/>
    <n v="10"/>
    <n v="9"/>
    <n v="1"/>
    <n v="4"/>
  </r>
  <r>
    <n v="31"/>
    <s v="No"/>
    <s v="Travel_Rarely"/>
    <n v="1276"/>
    <s v="Research &amp; Development"/>
    <n v="2"/>
    <n v="1"/>
    <s v="Medical"/>
    <n v="4"/>
    <s v="Female"/>
    <n v="59"/>
    <n v="1"/>
    <n v="1"/>
    <s v="Laboratory Technician"/>
    <n v="4"/>
    <s v="Divorced"/>
    <n v="1129"/>
    <n v="17536"/>
    <n v="1"/>
    <s v="Yes"/>
    <n v="11"/>
    <n v="3"/>
    <n v="3"/>
    <n v="3"/>
    <n v="1"/>
    <n v="4"/>
    <n v="3"/>
    <n v="1"/>
    <n v="0"/>
    <n v="0"/>
    <n v="0"/>
  </r>
  <r>
    <n v="39"/>
    <s v="No"/>
    <s v="Travel_Rarely"/>
    <n v="119"/>
    <s v="Sales"/>
    <n v="15"/>
    <n v="4"/>
    <s v="Marketing"/>
    <n v="2"/>
    <s v="Male"/>
    <n v="77"/>
    <n v="3"/>
    <n v="4"/>
    <s v="Sales Executive"/>
    <n v="1"/>
    <s v="Single"/>
    <n v="13341"/>
    <n v="25098"/>
    <n v="0"/>
    <s v="No"/>
    <n v="12"/>
    <n v="3"/>
    <n v="1"/>
    <n v="0"/>
    <n v="21"/>
    <n v="3"/>
    <n v="3"/>
    <n v="20"/>
    <n v="8"/>
    <n v="11"/>
    <n v="10"/>
  </r>
  <r>
    <n v="42"/>
    <s v="No"/>
    <s v="Non-Travel"/>
    <n v="335"/>
    <s v="Research &amp; Development"/>
    <n v="23"/>
    <n v="2"/>
    <s v="Life Sciences"/>
    <n v="4"/>
    <s v="Male"/>
    <n v="37"/>
    <n v="2"/>
    <n v="2"/>
    <s v="Research Scientist"/>
    <n v="3"/>
    <s v="Single"/>
    <n v="4332"/>
    <n v="14811"/>
    <n v="1"/>
    <s v="No"/>
    <n v="12"/>
    <n v="3"/>
    <n v="4"/>
    <n v="0"/>
    <n v="20"/>
    <n v="2"/>
    <n v="3"/>
    <n v="20"/>
    <n v="9"/>
    <n v="3"/>
    <n v="7"/>
  </r>
  <r>
    <n v="31"/>
    <s v="No"/>
    <s v="Non-Travel"/>
    <n v="697"/>
    <s v="Research &amp; Development"/>
    <n v="10"/>
    <n v="3"/>
    <s v="Medical"/>
    <n v="3"/>
    <s v="Female"/>
    <n v="40"/>
    <n v="3"/>
    <n v="3"/>
    <s v="Research Director"/>
    <n v="3"/>
    <s v="Married"/>
    <n v="11031"/>
    <n v="26862"/>
    <n v="4"/>
    <s v="No"/>
    <n v="20"/>
    <n v="4"/>
    <n v="3"/>
    <n v="1"/>
    <n v="13"/>
    <n v="2"/>
    <n v="4"/>
    <n v="11"/>
    <n v="7"/>
    <n v="4"/>
    <n v="8"/>
  </r>
  <r>
    <n v="54"/>
    <s v="No"/>
    <s v="Travel_Rarely"/>
    <n v="157"/>
    <s v="Research &amp; Development"/>
    <n v="10"/>
    <n v="3"/>
    <s v="Medical"/>
    <n v="3"/>
    <s v="Female"/>
    <n v="77"/>
    <n v="3"/>
    <n v="2"/>
    <s v="Manufacturing Director"/>
    <n v="1"/>
    <s v="Single"/>
    <n v="4440"/>
    <n v="25198"/>
    <n v="6"/>
    <s v="Yes"/>
    <n v="19"/>
    <n v="3"/>
    <n v="4"/>
    <n v="0"/>
    <n v="9"/>
    <n v="3"/>
    <n v="3"/>
    <n v="5"/>
    <n v="2"/>
    <n v="1"/>
    <n v="4"/>
  </r>
  <r>
    <n v="24"/>
    <s v="No"/>
    <s v="Travel_Rarely"/>
    <n v="771"/>
    <s v="Research &amp; Development"/>
    <n v="1"/>
    <n v="2"/>
    <s v="Life Sciences"/>
    <n v="2"/>
    <s v="Male"/>
    <n v="45"/>
    <n v="2"/>
    <n v="2"/>
    <s v="Healthcare Representative"/>
    <n v="3"/>
    <s v="Single"/>
    <n v="4617"/>
    <n v="14120"/>
    <n v="1"/>
    <s v="No"/>
    <n v="12"/>
    <n v="3"/>
    <n v="2"/>
    <n v="0"/>
    <n v="4"/>
    <n v="2"/>
    <n v="2"/>
    <n v="4"/>
    <n v="3"/>
    <n v="1"/>
    <n v="2"/>
  </r>
  <r>
    <n v="23"/>
    <s v="No"/>
    <s v="Travel_Rarely"/>
    <n v="571"/>
    <s v="Research &amp; Development"/>
    <n v="12"/>
    <n v="2"/>
    <s v="Other"/>
    <n v="4"/>
    <s v="Male"/>
    <n v="78"/>
    <n v="3"/>
    <n v="1"/>
    <s v="Laboratory Technician"/>
    <n v="4"/>
    <s v="Single"/>
    <n v="2647"/>
    <n v="13672"/>
    <n v="1"/>
    <s v="No"/>
    <n v="13"/>
    <n v="3"/>
    <n v="3"/>
    <n v="0"/>
    <n v="5"/>
    <n v="6"/>
    <n v="4"/>
    <n v="5"/>
    <n v="2"/>
    <n v="1"/>
    <n v="4"/>
  </r>
  <r>
    <n v="40"/>
    <s v="No"/>
    <s v="Travel_Frequently"/>
    <n v="692"/>
    <s v="Research &amp; Development"/>
    <n v="11"/>
    <n v="3"/>
    <s v="Technical Degree"/>
    <n v="4"/>
    <s v="Female"/>
    <n v="73"/>
    <n v="3"/>
    <n v="2"/>
    <s v="Laboratory Technician"/>
    <n v="3"/>
    <s v="Married"/>
    <n v="6323"/>
    <n v="26849"/>
    <n v="1"/>
    <s v="No"/>
    <n v="11"/>
    <n v="3"/>
    <n v="1"/>
    <n v="1"/>
    <n v="10"/>
    <n v="2"/>
    <n v="4"/>
    <n v="10"/>
    <n v="9"/>
    <n v="9"/>
    <n v="4"/>
  </r>
  <r>
    <n v="40"/>
    <s v="No"/>
    <s v="Travel_Rarely"/>
    <n v="444"/>
    <s v="Sales"/>
    <n v="2"/>
    <n v="2"/>
    <s v="Marketing"/>
    <n v="2"/>
    <s v="Female"/>
    <n v="92"/>
    <n v="3"/>
    <n v="2"/>
    <s v="Sales Executive"/>
    <n v="2"/>
    <s v="Married"/>
    <n v="5677"/>
    <n v="4258"/>
    <n v="3"/>
    <s v="No"/>
    <n v="14"/>
    <n v="3"/>
    <n v="3"/>
    <n v="1"/>
    <n v="15"/>
    <n v="4"/>
    <n v="3"/>
    <n v="11"/>
    <n v="8"/>
    <n v="5"/>
    <n v="10"/>
  </r>
  <r>
    <n v="25"/>
    <s v="No"/>
    <s v="Travel_Rarely"/>
    <n v="309"/>
    <s v="Human Resources"/>
    <n v="2"/>
    <n v="3"/>
    <s v="Human Resources"/>
    <n v="3"/>
    <s v="Female"/>
    <n v="82"/>
    <n v="3"/>
    <n v="1"/>
    <s v="Human Resources"/>
    <n v="2"/>
    <s v="Married"/>
    <n v="2187"/>
    <n v="19655"/>
    <n v="4"/>
    <s v="No"/>
    <n v="14"/>
    <n v="3"/>
    <n v="3"/>
    <n v="0"/>
    <n v="6"/>
    <n v="3"/>
    <n v="3"/>
    <n v="2"/>
    <n v="0"/>
    <n v="1"/>
    <n v="2"/>
  </r>
  <r>
    <n v="30"/>
    <s v="No"/>
    <s v="Travel_Rarely"/>
    <n v="911"/>
    <s v="Research &amp; Development"/>
    <n v="1"/>
    <n v="2"/>
    <s v="Medical"/>
    <n v="4"/>
    <s v="Male"/>
    <n v="76"/>
    <n v="3"/>
    <n v="1"/>
    <s v="Laboratory Technician"/>
    <n v="2"/>
    <s v="Married"/>
    <n v="3748"/>
    <n v="4077"/>
    <n v="1"/>
    <s v="No"/>
    <n v="13"/>
    <n v="3"/>
    <n v="3"/>
    <n v="0"/>
    <n v="12"/>
    <n v="6"/>
    <n v="2"/>
    <n v="12"/>
    <n v="8"/>
    <n v="1"/>
    <n v="7"/>
  </r>
  <r>
    <n v="25"/>
    <s v="No"/>
    <s v="Travel_Rarely"/>
    <n v="977"/>
    <s v="Research &amp; Development"/>
    <n v="2"/>
    <n v="1"/>
    <s v="Other"/>
    <n v="4"/>
    <s v="Male"/>
    <n v="57"/>
    <n v="3"/>
    <n v="1"/>
    <s v="Laboratory Technician"/>
    <n v="3"/>
    <s v="Divorced"/>
    <n v="3977"/>
    <n v="7298"/>
    <n v="6"/>
    <s v="Yes"/>
    <n v="19"/>
    <n v="3"/>
    <n v="3"/>
    <n v="1"/>
    <n v="7"/>
    <n v="2"/>
    <n v="2"/>
    <n v="2"/>
    <n v="2"/>
    <n v="0"/>
    <n v="2"/>
  </r>
  <r>
    <n v="47"/>
    <s v="No"/>
    <s v="Travel_Rarely"/>
    <n v="1180"/>
    <s v="Research &amp; Development"/>
    <n v="25"/>
    <n v="3"/>
    <s v="Medical"/>
    <n v="1"/>
    <s v="Male"/>
    <n v="84"/>
    <n v="3"/>
    <n v="3"/>
    <s v="Healthcare Representative"/>
    <n v="3"/>
    <s v="Single"/>
    <n v="8633"/>
    <n v="13084"/>
    <n v="2"/>
    <s v="No"/>
    <n v="23"/>
    <n v="4"/>
    <n v="2"/>
    <n v="0"/>
    <n v="25"/>
    <n v="3"/>
    <n v="3"/>
    <n v="17"/>
    <n v="14"/>
    <n v="12"/>
    <n v="11"/>
  </r>
  <r>
    <n v="33"/>
    <s v="No"/>
    <s v="Non-Travel"/>
    <n v="1313"/>
    <s v="Research &amp; Development"/>
    <n v="1"/>
    <n v="2"/>
    <s v="Medical"/>
    <n v="2"/>
    <s v="Male"/>
    <n v="59"/>
    <n v="2"/>
    <n v="1"/>
    <s v="Laboratory Technician"/>
    <n v="3"/>
    <s v="Divorced"/>
    <n v="2008"/>
    <n v="20439"/>
    <n v="1"/>
    <s v="No"/>
    <n v="12"/>
    <n v="3"/>
    <n v="3"/>
    <n v="3"/>
    <n v="1"/>
    <n v="2"/>
    <n v="2"/>
    <n v="1"/>
    <n v="1"/>
    <n v="0"/>
    <n v="0"/>
  </r>
  <r>
    <n v="38"/>
    <s v="No"/>
    <s v="Travel_Rarely"/>
    <n v="1321"/>
    <s v="Sales"/>
    <n v="1"/>
    <n v="4"/>
    <s v="Life Sciences"/>
    <n v="4"/>
    <s v="Male"/>
    <n v="86"/>
    <n v="3"/>
    <n v="2"/>
    <s v="Sales Executive"/>
    <n v="2"/>
    <s v="Married"/>
    <n v="4440"/>
    <n v="7636"/>
    <n v="0"/>
    <s v="No"/>
    <n v="15"/>
    <n v="3"/>
    <n v="1"/>
    <n v="2"/>
    <n v="16"/>
    <n v="3"/>
    <n v="3"/>
    <n v="15"/>
    <n v="13"/>
    <n v="5"/>
    <n v="8"/>
  </r>
  <r>
    <n v="31"/>
    <s v="No"/>
    <s v="Travel_Rarely"/>
    <n v="1154"/>
    <s v="Sales"/>
    <n v="2"/>
    <n v="2"/>
    <s v="Life Sciences"/>
    <n v="1"/>
    <s v="Male"/>
    <n v="54"/>
    <n v="3"/>
    <n v="1"/>
    <s v="Sales Representative"/>
    <n v="3"/>
    <s v="Married"/>
    <n v="3067"/>
    <n v="6393"/>
    <n v="0"/>
    <s v="No"/>
    <n v="19"/>
    <n v="3"/>
    <n v="3"/>
    <n v="1"/>
    <n v="3"/>
    <n v="1"/>
    <n v="3"/>
    <n v="2"/>
    <n v="2"/>
    <n v="1"/>
    <n v="2"/>
  </r>
  <r>
    <n v="38"/>
    <s v="No"/>
    <s v="Travel_Frequently"/>
    <n v="508"/>
    <s v="Research &amp; Development"/>
    <n v="6"/>
    <n v="4"/>
    <s v="Life Sciences"/>
    <n v="1"/>
    <s v="Male"/>
    <n v="72"/>
    <n v="2"/>
    <n v="2"/>
    <s v="Manufacturing Director"/>
    <n v="3"/>
    <s v="Married"/>
    <n v="5321"/>
    <n v="14284"/>
    <n v="2"/>
    <s v="No"/>
    <n v="11"/>
    <n v="3"/>
    <n v="4"/>
    <n v="1"/>
    <n v="10"/>
    <n v="1"/>
    <n v="3"/>
    <n v="8"/>
    <n v="3"/>
    <n v="7"/>
    <n v="7"/>
  </r>
  <r>
    <n v="42"/>
    <s v="No"/>
    <s v="Travel_Rarely"/>
    <n v="557"/>
    <s v="Research &amp; Development"/>
    <n v="18"/>
    <n v="4"/>
    <s v="Life Sciences"/>
    <n v="4"/>
    <s v="Male"/>
    <n v="35"/>
    <n v="3"/>
    <n v="2"/>
    <s v="Research Scientist"/>
    <n v="1"/>
    <s v="Divorced"/>
    <n v="5410"/>
    <n v="11189"/>
    <n v="6"/>
    <s v="Yes"/>
    <n v="17"/>
    <n v="3"/>
    <n v="3"/>
    <n v="1"/>
    <n v="9"/>
    <n v="3"/>
    <n v="2"/>
    <n v="4"/>
    <n v="3"/>
    <n v="1"/>
    <n v="2"/>
  </r>
  <r>
    <n v="41"/>
    <s v="No"/>
    <s v="Travel_Rarely"/>
    <n v="642"/>
    <s v="Research &amp; Development"/>
    <n v="1"/>
    <n v="3"/>
    <s v="Life Sciences"/>
    <n v="4"/>
    <s v="Male"/>
    <n v="76"/>
    <n v="3"/>
    <n v="1"/>
    <s v="Research Scientist"/>
    <n v="4"/>
    <s v="Married"/>
    <n v="2782"/>
    <n v="21412"/>
    <n v="3"/>
    <s v="No"/>
    <n v="22"/>
    <n v="4"/>
    <n v="1"/>
    <n v="1"/>
    <n v="12"/>
    <n v="3"/>
    <n v="3"/>
    <n v="5"/>
    <n v="3"/>
    <n v="1"/>
    <n v="0"/>
  </r>
  <r>
    <n v="47"/>
    <s v="No"/>
    <s v="Non-Travel"/>
    <n v="1162"/>
    <s v="Research &amp; Development"/>
    <n v="1"/>
    <n v="1"/>
    <s v="Medical"/>
    <n v="3"/>
    <s v="Female"/>
    <n v="98"/>
    <n v="3"/>
    <n v="3"/>
    <s v="Research Director"/>
    <n v="2"/>
    <s v="Married"/>
    <n v="11957"/>
    <n v="17231"/>
    <n v="0"/>
    <s v="No"/>
    <n v="18"/>
    <n v="3"/>
    <n v="1"/>
    <n v="2"/>
    <n v="14"/>
    <n v="3"/>
    <n v="1"/>
    <n v="13"/>
    <n v="8"/>
    <n v="5"/>
    <n v="12"/>
  </r>
  <r>
    <n v="35"/>
    <s v="No"/>
    <s v="Travel_Rarely"/>
    <n v="1490"/>
    <s v="Research &amp; Development"/>
    <n v="11"/>
    <n v="4"/>
    <s v="Medical"/>
    <n v="4"/>
    <s v="Male"/>
    <n v="43"/>
    <n v="3"/>
    <n v="1"/>
    <s v="Laboratory Technician"/>
    <n v="3"/>
    <s v="Married"/>
    <n v="2660"/>
    <n v="20232"/>
    <n v="7"/>
    <s v="Yes"/>
    <n v="11"/>
    <n v="3"/>
    <n v="3"/>
    <n v="1"/>
    <n v="5"/>
    <n v="3"/>
    <n v="3"/>
    <n v="2"/>
    <n v="2"/>
    <n v="2"/>
    <n v="2"/>
  </r>
  <r>
    <n v="22"/>
    <s v="No"/>
    <s v="Travel_Rarely"/>
    <n v="581"/>
    <s v="Research &amp; Development"/>
    <n v="1"/>
    <n v="2"/>
    <s v="Life Sciences"/>
    <n v="4"/>
    <s v="Male"/>
    <n v="63"/>
    <n v="3"/>
    <n v="1"/>
    <s v="Research Scientist"/>
    <n v="3"/>
    <s v="Single"/>
    <n v="3375"/>
    <n v="17624"/>
    <n v="0"/>
    <s v="No"/>
    <n v="12"/>
    <n v="3"/>
    <n v="4"/>
    <n v="0"/>
    <n v="4"/>
    <n v="2"/>
    <n v="4"/>
    <n v="3"/>
    <n v="2"/>
    <n v="1"/>
    <n v="2"/>
  </r>
  <r>
    <n v="35"/>
    <s v="No"/>
    <s v="Travel_Rarely"/>
    <n v="1395"/>
    <s v="Research &amp; Development"/>
    <n v="9"/>
    <n v="4"/>
    <s v="Medical"/>
    <n v="2"/>
    <s v="Male"/>
    <n v="48"/>
    <n v="3"/>
    <n v="2"/>
    <s v="Research Scientist"/>
    <n v="3"/>
    <s v="Single"/>
    <n v="5098"/>
    <n v="18698"/>
    <n v="1"/>
    <s v="No"/>
    <n v="19"/>
    <n v="3"/>
    <n v="2"/>
    <n v="0"/>
    <n v="10"/>
    <n v="5"/>
    <n v="3"/>
    <n v="10"/>
    <n v="7"/>
    <n v="0"/>
    <n v="8"/>
  </r>
  <r>
    <n v="33"/>
    <s v="No"/>
    <s v="Travel_Rarely"/>
    <n v="501"/>
    <s v="Research &amp; Development"/>
    <n v="15"/>
    <n v="2"/>
    <s v="Medical"/>
    <n v="2"/>
    <s v="Female"/>
    <n v="95"/>
    <n v="3"/>
    <n v="2"/>
    <s v="Healthcare Representative"/>
    <n v="4"/>
    <s v="Married"/>
    <n v="4878"/>
    <n v="21653"/>
    <n v="0"/>
    <s v="Yes"/>
    <n v="13"/>
    <n v="3"/>
    <n v="1"/>
    <n v="1"/>
    <n v="10"/>
    <n v="6"/>
    <n v="3"/>
    <n v="9"/>
    <n v="7"/>
    <n v="8"/>
    <n v="1"/>
  </r>
  <r>
    <n v="32"/>
    <s v="No"/>
    <s v="Travel_Rarely"/>
    <n v="267"/>
    <s v="Research &amp; Development"/>
    <n v="29"/>
    <n v="4"/>
    <s v="Life Sciences"/>
    <n v="3"/>
    <s v="Female"/>
    <n v="49"/>
    <n v="2"/>
    <n v="1"/>
    <s v="Laboratory Technician"/>
    <n v="2"/>
    <s v="Single"/>
    <n v="2837"/>
    <n v="15919"/>
    <n v="1"/>
    <s v="No"/>
    <n v="13"/>
    <n v="3"/>
    <n v="3"/>
    <n v="0"/>
    <n v="6"/>
    <n v="3"/>
    <n v="3"/>
    <n v="6"/>
    <n v="2"/>
    <n v="4"/>
    <n v="1"/>
  </r>
  <r>
    <n v="40"/>
    <s v="No"/>
    <s v="Travel_Rarely"/>
    <n v="543"/>
    <s v="Research &amp; Development"/>
    <n v="1"/>
    <n v="4"/>
    <s v="Life Sciences"/>
    <n v="1"/>
    <s v="Male"/>
    <n v="83"/>
    <n v="3"/>
    <n v="1"/>
    <s v="Laboratory Technician"/>
    <n v="4"/>
    <s v="Married"/>
    <n v="2406"/>
    <n v="4060"/>
    <n v="8"/>
    <s v="No"/>
    <n v="19"/>
    <n v="3"/>
    <n v="3"/>
    <n v="2"/>
    <n v="8"/>
    <n v="3"/>
    <n v="2"/>
    <n v="1"/>
    <n v="0"/>
    <n v="0"/>
    <n v="0"/>
  </r>
  <r>
    <n v="32"/>
    <s v="No"/>
    <s v="Travel_Rarely"/>
    <n v="234"/>
    <s v="Sales"/>
    <n v="1"/>
    <n v="4"/>
    <s v="Medical"/>
    <n v="2"/>
    <s v="Male"/>
    <n v="68"/>
    <n v="2"/>
    <n v="1"/>
    <s v="Sales Representative"/>
    <n v="2"/>
    <s v="Married"/>
    <n v="2269"/>
    <n v="18024"/>
    <n v="0"/>
    <s v="No"/>
    <n v="14"/>
    <n v="3"/>
    <n v="2"/>
    <n v="1"/>
    <n v="3"/>
    <n v="2"/>
    <n v="3"/>
    <n v="2"/>
    <n v="2"/>
    <n v="2"/>
    <n v="2"/>
  </r>
  <r>
    <n v="39"/>
    <s v="No"/>
    <s v="Travel_Rarely"/>
    <n v="116"/>
    <s v="Research &amp; Development"/>
    <n v="24"/>
    <n v="1"/>
    <s v="Life Sciences"/>
    <n v="1"/>
    <s v="Male"/>
    <n v="52"/>
    <n v="3"/>
    <n v="2"/>
    <s v="Research Scientist"/>
    <n v="4"/>
    <s v="Single"/>
    <n v="4108"/>
    <n v="5340"/>
    <n v="7"/>
    <s v="No"/>
    <n v="13"/>
    <n v="3"/>
    <n v="1"/>
    <n v="0"/>
    <n v="18"/>
    <n v="2"/>
    <n v="3"/>
    <n v="7"/>
    <n v="7"/>
    <n v="1"/>
    <n v="7"/>
  </r>
  <r>
    <n v="38"/>
    <s v="No"/>
    <s v="Travel_Rarely"/>
    <n v="201"/>
    <s v="Research &amp; Development"/>
    <n v="10"/>
    <n v="3"/>
    <s v="Medical"/>
    <n v="2"/>
    <s v="Female"/>
    <n v="99"/>
    <n v="1"/>
    <n v="3"/>
    <s v="Research Director"/>
    <n v="3"/>
    <s v="Married"/>
    <n v="13206"/>
    <n v="3376"/>
    <n v="3"/>
    <s v="No"/>
    <n v="12"/>
    <n v="3"/>
    <n v="1"/>
    <n v="1"/>
    <n v="20"/>
    <n v="3"/>
    <n v="3"/>
    <n v="18"/>
    <n v="16"/>
    <n v="1"/>
    <n v="11"/>
  </r>
  <r>
    <n v="32"/>
    <s v="No"/>
    <s v="Travel_Rarely"/>
    <n v="801"/>
    <s v="Sales"/>
    <n v="1"/>
    <n v="4"/>
    <s v="Marketing"/>
    <n v="3"/>
    <s v="Female"/>
    <n v="48"/>
    <n v="3"/>
    <n v="3"/>
    <s v="Sales Executive"/>
    <n v="4"/>
    <s v="Married"/>
    <n v="10422"/>
    <n v="24032"/>
    <n v="1"/>
    <s v="No"/>
    <n v="19"/>
    <n v="3"/>
    <n v="3"/>
    <n v="2"/>
    <n v="14"/>
    <n v="3"/>
    <n v="3"/>
    <n v="14"/>
    <n v="10"/>
    <n v="5"/>
    <n v="7"/>
  </r>
  <r>
    <n v="37"/>
    <s v="No"/>
    <s v="Travel_Rarely"/>
    <n v="161"/>
    <s v="Research &amp; Development"/>
    <n v="10"/>
    <n v="3"/>
    <s v="Life Sciences"/>
    <n v="3"/>
    <s v="Female"/>
    <n v="42"/>
    <n v="4"/>
    <n v="3"/>
    <s v="Research Director"/>
    <n v="4"/>
    <s v="Married"/>
    <n v="13744"/>
    <n v="15471"/>
    <n v="1"/>
    <s v="Yes"/>
    <n v="25"/>
    <n v="4"/>
    <n v="1"/>
    <n v="1"/>
    <n v="16"/>
    <n v="2"/>
    <n v="3"/>
    <n v="16"/>
    <n v="11"/>
    <n v="6"/>
    <n v="8"/>
  </r>
  <r>
    <n v="25"/>
    <s v="No"/>
    <s v="Travel_Rarely"/>
    <n v="1382"/>
    <s v="Sales"/>
    <n v="8"/>
    <n v="2"/>
    <s v="Other"/>
    <n v="1"/>
    <s v="Female"/>
    <n v="85"/>
    <n v="3"/>
    <n v="2"/>
    <s v="Sales Executive"/>
    <n v="3"/>
    <s v="Divorced"/>
    <n v="4907"/>
    <n v="13684"/>
    <n v="0"/>
    <s v="Yes"/>
    <n v="22"/>
    <n v="4"/>
    <n v="2"/>
    <n v="1"/>
    <n v="6"/>
    <n v="3"/>
    <n v="2"/>
    <n v="5"/>
    <n v="3"/>
    <n v="0"/>
    <n v="4"/>
  </r>
  <r>
    <n v="52"/>
    <s v="No"/>
    <s v="Non-Travel"/>
    <n v="585"/>
    <s v="Sales"/>
    <n v="29"/>
    <n v="4"/>
    <s v="Life Sciences"/>
    <n v="1"/>
    <s v="Male"/>
    <n v="40"/>
    <n v="3"/>
    <n v="1"/>
    <s v="Sales Representative"/>
    <n v="4"/>
    <s v="Divorced"/>
    <n v="3482"/>
    <n v="19788"/>
    <n v="2"/>
    <s v="No"/>
    <n v="15"/>
    <n v="3"/>
    <n v="2"/>
    <n v="2"/>
    <n v="16"/>
    <n v="3"/>
    <n v="2"/>
    <n v="9"/>
    <n v="8"/>
    <n v="0"/>
    <n v="0"/>
  </r>
  <r>
    <n v="44"/>
    <s v="No"/>
    <s v="Travel_Rarely"/>
    <n v="1037"/>
    <s v="Research &amp; Development"/>
    <n v="1"/>
    <n v="3"/>
    <s v="Medical"/>
    <n v="2"/>
    <s v="Male"/>
    <n v="42"/>
    <n v="3"/>
    <n v="1"/>
    <s v="Research Scientist"/>
    <n v="4"/>
    <s v="Single"/>
    <n v="2436"/>
    <n v="13422"/>
    <n v="6"/>
    <s v="Yes"/>
    <n v="12"/>
    <n v="3"/>
    <n v="3"/>
    <n v="0"/>
    <n v="6"/>
    <n v="2"/>
    <n v="3"/>
    <n v="4"/>
    <n v="3"/>
    <n v="1"/>
    <n v="2"/>
  </r>
  <r>
    <n v="21"/>
    <s v="No"/>
    <s v="Travel_Rarely"/>
    <n v="501"/>
    <s v="Sales"/>
    <n v="5"/>
    <n v="1"/>
    <s v="Medical"/>
    <n v="3"/>
    <s v="Male"/>
    <n v="58"/>
    <n v="3"/>
    <n v="1"/>
    <s v="Sales Representative"/>
    <n v="1"/>
    <s v="Single"/>
    <n v="2380"/>
    <n v="25479"/>
    <n v="1"/>
    <s v="Yes"/>
    <n v="11"/>
    <n v="3"/>
    <n v="4"/>
    <n v="0"/>
    <n v="2"/>
    <n v="6"/>
    <n v="3"/>
    <n v="2"/>
    <n v="2"/>
    <n v="1"/>
    <n v="2"/>
  </r>
  <r>
    <n v="39"/>
    <s v="No"/>
    <s v="Non-Travel"/>
    <n v="105"/>
    <s v="Research &amp; Development"/>
    <n v="9"/>
    <n v="3"/>
    <s v="Life Sciences"/>
    <n v="4"/>
    <s v="Male"/>
    <n v="87"/>
    <n v="3"/>
    <n v="5"/>
    <s v="Manager"/>
    <n v="4"/>
    <s v="Single"/>
    <n v="19431"/>
    <n v="15302"/>
    <n v="2"/>
    <s v="No"/>
    <n v="13"/>
    <n v="3"/>
    <n v="3"/>
    <n v="0"/>
    <n v="21"/>
    <n v="3"/>
    <n v="2"/>
    <n v="6"/>
    <n v="0"/>
    <n v="1"/>
    <n v="3"/>
  </r>
  <r>
    <n v="23"/>
    <s v="Yes"/>
    <s v="Travel_Frequently"/>
    <n v="638"/>
    <s v="Sales"/>
    <n v="9"/>
    <n v="3"/>
    <s v="Marketing"/>
    <n v="4"/>
    <s v="Male"/>
    <n v="33"/>
    <n v="3"/>
    <n v="1"/>
    <s v="Sales Representative"/>
    <n v="1"/>
    <s v="Married"/>
    <n v="1790"/>
    <n v="26956"/>
    <n v="1"/>
    <s v="No"/>
    <n v="19"/>
    <n v="3"/>
    <n v="1"/>
    <n v="1"/>
    <n v="1"/>
    <n v="3"/>
    <n v="2"/>
    <n v="1"/>
    <n v="0"/>
    <n v="1"/>
    <n v="0"/>
  </r>
  <r>
    <n v="36"/>
    <s v="No"/>
    <s v="Travel_Rarely"/>
    <n v="557"/>
    <s v="Sales"/>
    <n v="3"/>
    <n v="3"/>
    <s v="Medical"/>
    <n v="1"/>
    <s v="Female"/>
    <n v="94"/>
    <n v="2"/>
    <n v="3"/>
    <s v="Sales Executive"/>
    <n v="4"/>
    <s v="Married"/>
    <n v="7644"/>
    <n v="12695"/>
    <n v="0"/>
    <s v="No"/>
    <n v="19"/>
    <n v="3"/>
    <n v="3"/>
    <n v="2"/>
    <n v="10"/>
    <n v="2"/>
    <n v="3"/>
    <n v="9"/>
    <n v="7"/>
    <n v="3"/>
    <n v="4"/>
  </r>
  <r>
    <n v="36"/>
    <s v="No"/>
    <s v="Travel_Frequently"/>
    <n v="688"/>
    <s v="Research &amp; Development"/>
    <n v="4"/>
    <n v="2"/>
    <s v="Life Sciences"/>
    <n v="4"/>
    <s v="Female"/>
    <n v="97"/>
    <n v="3"/>
    <n v="2"/>
    <s v="Manufacturing Director"/>
    <n v="2"/>
    <s v="Divorced"/>
    <n v="5131"/>
    <n v="9192"/>
    <n v="7"/>
    <s v="No"/>
    <n v="13"/>
    <n v="3"/>
    <n v="2"/>
    <n v="3"/>
    <n v="18"/>
    <n v="3"/>
    <n v="3"/>
    <n v="4"/>
    <n v="2"/>
    <n v="0"/>
    <n v="2"/>
  </r>
  <r>
    <n v="56"/>
    <s v="No"/>
    <s v="Non-Travel"/>
    <n v="667"/>
    <s v="Research &amp; Development"/>
    <n v="1"/>
    <n v="4"/>
    <s v="Life Sciences"/>
    <n v="3"/>
    <s v="Male"/>
    <n v="57"/>
    <n v="3"/>
    <n v="2"/>
    <s v="Healthcare Representative"/>
    <n v="3"/>
    <s v="Divorced"/>
    <n v="6306"/>
    <n v="26236"/>
    <n v="1"/>
    <s v="No"/>
    <n v="21"/>
    <n v="4"/>
    <n v="1"/>
    <n v="1"/>
    <n v="13"/>
    <n v="2"/>
    <n v="2"/>
    <n v="13"/>
    <n v="12"/>
    <n v="1"/>
    <n v="9"/>
  </r>
  <r>
    <n v="29"/>
    <s v="Yes"/>
    <s v="Travel_Rarely"/>
    <n v="1092"/>
    <s v="Research &amp; Development"/>
    <n v="1"/>
    <n v="4"/>
    <s v="Medical"/>
    <n v="1"/>
    <s v="Male"/>
    <n v="36"/>
    <n v="3"/>
    <n v="1"/>
    <s v="Research Scientist"/>
    <n v="4"/>
    <s v="Married"/>
    <n v="4787"/>
    <n v="26124"/>
    <n v="9"/>
    <s v="Yes"/>
    <n v="14"/>
    <n v="3"/>
    <n v="2"/>
    <n v="3"/>
    <n v="4"/>
    <n v="3"/>
    <n v="4"/>
    <n v="2"/>
    <n v="2"/>
    <n v="2"/>
    <n v="2"/>
  </r>
  <r>
    <n v="42"/>
    <s v="No"/>
    <s v="Travel_Rarely"/>
    <n v="300"/>
    <s v="Research &amp; Development"/>
    <n v="2"/>
    <n v="3"/>
    <s v="Life Sciences"/>
    <n v="1"/>
    <s v="Male"/>
    <n v="56"/>
    <n v="3"/>
    <n v="5"/>
    <s v="Manager"/>
    <n v="3"/>
    <s v="Married"/>
    <n v="18880"/>
    <n v="17312"/>
    <n v="5"/>
    <s v="No"/>
    <n v="11"/>
    <n v="3"/>
    <n v="1"/>
    <n v="0"/>
    <n v="24"/>
    <n v="2"/>
    <n v="2"/>
    <n v="22"/>
    <n v="6"/>
    <n v="4"/>
    <n v="14"/>
  </r>
  <r>
    <n v="56"/>
    <s v="Yes"/>
    <s v="Travel_Rarely"/>
    <n v="310"/>
    <s v="Research &amp; Development"/>
    <n v="7"/>
    <n v="2"/>
    <s v="Technical Degree"/>
    <n v="4"/>
    <s v="Male"/>
    <n v="72"/>
    <n v="3"/>
    <n v="1"/>
    <s v="Laboratory Technician"/>
    <n v="3"/>
    <s v="Married"/>
    <n v="2339"/>
    <n v="3666"/>
    <n v="8"/>
    <s v="No"/>
    <n v="11"/>
    <n v="3"/>
    <n v="4"/>
    <n v="1"/>
    <n v="14"/>
    <n v="4"/>
    <n v="1"/>
    <n v="10"/>
    <n v="9"/>
    <n v="9"/>
    <n v="8"/>
  </r>
  <r>
    <n v="41"/>
    <s v="No"/>
    <s v="Travel_Rarely"/>
    <n v="582"/>
    <s v="Research &amp; Development"/>
    <n v="28"/>
    <n v="4"/>
    <s v="Life Sciences"/>
    <n v="1"/>
    <s v="Female"/>
    <n v="60"/>
    <n v="2"/>
    <n v="4"/>
    <s v="Manufacturing Director"/>
    <n v="2"/>
    <s v="Married"/>
    <n v="13570"/>
    <n v="5640"/>
    <n v="0"/>
    <s v="No"/>
    <n v="23"/>
    <n v="4"/>
    <n v="3"/>
    <n v="1"/>
    <n v="21"/>
    <n v="3"/>
    <n v="3"/>
    <n v="20"/>
    <n v="7"/>
    <n v="0"/>
    <n v="10"/>
  </r>
  <r>
    <n v="34"/>
    <s v="No"/>
    <s v="Travel_Rarely"/>
    <n v="704"/>
    <s v="Sales"/>
    <n v="28"/>
    <n v="3"/>
    <s v="Marketing"/>
    <n v="4"/>
    <s v="Female"/>
    <n v="95"/>
    <n v="2"/>
    <n v="2"/>
    <s v="Sales Executive"/>
    <n v="3"/>
    <s v="Married"/>
    <n v="6712"/>
    <n v="8978"/>
    <n v="1"/>
    <s v="No"/>
    <n v="21"/>
    <n v="4"/>
    <n v="4"/>
    <n v="2"/>
    <n v="8"/>
    <n v="2"/>
    <n v="3"/>
    <n v="8"/>
    <n v="7"/>
    <n v="1"/>
    <n v="7"/>
  </r>
  <r>
    <n v="36"/>
    <s v="No"/>
    <s v="Non-Travel"/>
    <n v="301"/>
    <s v="Sales"/>
    <n v="15"/>
    <n v="4"/>
    <s v="Marketing"/>
    <n v="4"/>
    <s v="Male"/>
    <n v="88"/>
    <n v="1"/>
    <n v="2"/>
    <s v="Sales Executive"/>
    <n v="4"/>
    <s v="Divorced"/>
    <n v="5406"/>
    <n v="10436"/>
    <n v="1"/>
    <s v="No"/>
    <n v="24"/>
    <n v="4"/>
    <n v="1"/>
    <n v="1"/>
    <n v="15"/>
    <n v="4"/>
    <n v="2"/>
    <n v="15"/>
    <n v="12"/>
    <n v="11"/>
    <n v="11"/>
  </r>
  <r>
    <n v="41"/>
    <s v="No"/>
    <s v="Travel_Rarely"/>
    <n v="930"/>
    <s v="Sales"/>
    <n v="3"/>
    <n v="3"/>
    <s v="Life Sciences"/>
    <n v="3"/>
    <s v="Male"/>
    <n v="57"/>
    <n v="2"/>
    <n v="2"/>
    <s v="Sales Executive"/>
    <n v="2"/>
    <s v="Divorced"/>
    <n v="8938"/>
    <n v="12227"/>
    <n v="2"/>
    <s v="No"/>
    <n v="11"/>
    <n v="3"/>
    <n v="3"/>
    <n v="1"/>
    <n v="14"/>
    <n v="5"/>
    <n v="3"/>
    <n v="5"/>
    <n v="4"/>
    <n v="0"/>
    <n v="4"/>
  </r>
  <r>
    <n v="32"/>
    <s v="No"/>
    <s v="Travel_Rarely"/>
    <n v="529"/>
    <s v="Research &amp; Development"/>
    <n v="2"/>
    <n v="3"/>
    <s v="Technical Degree"/>
    <n v="4"/>
    <s v="Male"/>
    <n v="78"/>
    <n v="3"/>
    <n v="1"/>
    <s v="Research Scientist"/>
    <n v="1"/>
    <s v="Single"/>
    <n v="2439"/>
    <n v="11288"/>
    <n v="1"/>
    <s v="No"/>
    <n v="14"/>
    <n v="3"/>
    <n v="4"/>
    <n v="0"/>
    <n v="4"/>
    <n v="4"/>
    <n v="3"/>
    <n v="4"/>
    <n v="2"/>
    <n v="1"/>
    <n v="2"/>
  </r>
  <r>
    <n v="35"/>
    <s v="No"/>
    <s v="Travel_Rarely"/>
    <n v="1146"/>
    <s v="Human Resources"/>
    <n v="26"/>
    <n v="4"/>
    <s v="Life Sciences"/>
    <n v="3"/>
    <s v="Female"/>
    <n v="31"/>
    <n v="3"/>
    <n v="3"/>
    <s v="Human Resources"/>
    <n v="4"/>
    <s v="Single"/>
    <n v="8837"/>
    <n v="16642"/>
    <n v="1"/>
    <s v="Yes"/>
    <n v="16"/>
    <n v="3"/>
    <n v="3"/>
    <n v="0"/>
    <n v="9"/>
    <n v="2"/>
    <n v="3"/>
    <n v="9"/>
    <n v="0"/>
    <n v="1"/>
    <n v="7"/>
  </r>
  <r>
    <n v="38"/>
    <s v="No"/>
    <s v="Travel_Rarely"/>
    <n v="345"/>
    <s v="Sales"/>
    <n v="10"/>
    <n v="2"/>
    <s v="Life Sciences"/>
    <n v="1"/>
    <s v="Female"/>
    <n v="100"/>
    <n v="3"/>
    <n v="2"/>
    <s v="Sales Executive"/>
    <n v="4"/>
    <s v="Married"/>
    <n v="5343"/>
    <n v="5982"/>
    <n v="1"/>
    <s v="No"/>
    <n v="11"/>
    <n v="3"/>
    <n v="3"/>
    <n v="1"/>
    <n v="10"/>
    <n v="1"/>
    <n v="3"/>
    <n v="10"/>
    <n v="7"/>
    <n v="1"/>
    <n v="9"/>
  </r>
  <r>
    <n v="50"/>
    <s v="Yes"/>
    <s v="Travel_Frequently"/>
    <n v="878"/>
    <s v="Sales"/>
    <n v="1"/>
    <n v="4"/>
    <s v="Life Sciences"/>
    <n v="2"/>
    <s v="Male"/>
    <n v="94"/>
    <n v="3"/>
    <n v="2"/>
    <s v="Sales Executive"/>
    <n v="3"/>
    <s v="Divorced"/>
    <n v="6728"/>
    <n v="14255"/>
    <n v="7"/>
    <s v="No"/>
    <n v="12"/>
    <n v="3"/>
    <n v="4"/>
    <n v="2"/>
    <n v="12"/>
    <n v="3"/>
    <n v="3"/>
    <n v="6"/>
    <n v="3"/>
    <n v="0"/>
    <n v="1"/>
  </r>
  <r>
    <n v="36"/>
    <s v="No"/>
    <s v="Travel_Rarely"/>
    <n v="1120"/>
    <s v="Sales"/>
    <n v="11"/>
    <n v="4"/>
    <s v="Marketing"/>
    <n v="2"/>
    <s v="Female"/>
    <n v="100"/>
    <n v="2"/>
    <n v="2"/>
    <s v="Sales Executive"/>
    <n v="4"/>
    <s v="Married"/>
    <n v="6652"/>
    <n v="14369"/>
    <n v="4"/>
    <s v="No"/>
    <n v="13"/>
    <n v="3"/>
    <n v="1"/>
    <n v="1"/>
    <n v="8"/>
    <n v="2"/>
    <n v="2"/>
    <n v="6"/>
    <n v="3"/>
    <n v="0"/>
    <n v="0"/>
  </r>
  <r>
    <n v="45"/>
    <s v="No"/>
    <s v="Travel_Rarely"/>
    <n v="374"/>
    <s v="Sales"/>
    <n v="20"/>
    <n v="3"/>
    <s v="Life Sciences"/>
    <n v="4"/>
    <s v="Female"/>
    <n v="50"/>
    <n v="3"/>
    <n v="2"/>
    <s v="Sales Executive"/>
    <n v="3"/>
    <s v="Single"/>
    <n v="4850"/>
    <n v="23333"/>
    <n v="8"/>
    <s v="No"/>
    <n v="15"/>
    <n v="3"/>
    <n v="3"/>
    <n v="0"/>
    <n v="8"/>
    <n v="3"/>
    <n v="3"/>
    <n v="5"/>
    <n v="3"/>
    <n v="0"/>
    <n v="1"/>
  </r>
  <r>
    <n v="40"/>
    <s v="No"/>
    <s v="Travel_Rarely"/>
    <n v="1322"/>
    <s v="Research &amp; Development"/>
    <n v="2"/>
    <n v="4"/>
    <s v="Life Sciences"/>
    <n v="3"/>
    <s v="Male"/>
    <n v="52"/>
    <n v="2"/>
    <n v="1"/>
    <s v="Research Scientist"/>
    <n v="3"/>
    <s v="Single"/>
    <n v="2809"/>
    <n v="2725"/>
    <n v="2"/>
    <s v="No"/>
    <n v="14"/>
    <n v="3"/>
    <n v="4"/>
    <n v="0"/>
    <n v="8"/>
    <n v="2"/>
    <n v="3"/>
    <n v="2"/>
    <n v="2"/>
    <n v="2"/>
    <n v="2"/>
  </r>
  <r>
    <n v="35"/>
    <s v="No"/>
    <s v="Travel_Frequently"/>
    <n v="1199"/>
    <s v="Research &amp; Development"/>
    <n v="18"/>
    <n v="4"/>
    <s v="Life Sciences"/>
    <n v="3"/>
    <s v="Male"/>
    <n v="80"/>
    <n v="3"/>
    <n v="2"/>
    <s v="Healthcare Representative"/>
    <n v="3"/>
    <s v="Married"/>
    <n v="5689"/>
    <n v="24594"/>
    <n v="1"/>
    <s v="Yes"/>
    <n v="14"/>
    <n v="3"/>
    <n v="4"/>
    <n v="2"/>
    <n v="10"/>
    <n v="2"/>
    <n v="4"/>
    <n v="10"/>
    <n v="2"/>
    <n v="0"/>
    <n v="2"/>
  </r>
  <r>
    <n v="40"/>
    <s v="No"/>
    <s v="Travel_Rarely"/>
    <n v="1194"/>
    <s v="Research &amp; Development"/>
    <n v="2"/>
    <n v="4"/>
    <s v="Medical"/>
    <n v="3"/>
    <s v="Female"/>
    <n v="98"/>
    <n v="3"/>
    <n v="1"/>
    <s v="Research Scientist"/>
    <n v="3"/>
    <s v="Married"/>
    <n v="2001"/>
    <n v="12549"/>
    <n v="2"/>
    <s v="No"/>
    <n v="14"/>
    <n v="3"/>
    <n v="2"/>
    <n v="3"/>
    <n v="20"/>
    <n v="2"/>
    <n v="3"/>
    <n v="5"/>
    <n v="3"/>
    <n v="0"/>
    <n v="2"/>
  </r>
  <r>
    <n v="35"/>
    <s v="No"/>
    <s v="Travel_Rarely"/>
    <n v="287"/>
    <s v="Research &amp; Development"/>
    <n v="1"/>
    <n v="4"/>
    <s v="Life Sciences"/>
    <n v="3"/>
    <s v="Female"/>
    <n v="62"/>
    <n v="1"/>
    <n v="1"/>
    <s v="Research Scientist"/>
    <n v="4"/>
    <s v="Married"/>
    <n v="2977"/>
    <n v="8952"/>
    <n v="1"/>
    <s v="No"/>
    <n v="12"/>
    <n v="3"/>
    <n v="4"/>
    <n v="1"/>
    <n v="4"/>
    <n v="5"/>
    <n v="3"/>
    <n v="4"/>
    <n v="3"/>
    <n v="1"/>
    <n v="1"/>
  </r>
  <r>
    <n v="29"/>
    <s v="No"/>
    <s v="Travel_Rarely"/>
    <n v="1378"/>
    <s v="Research &amp; Development"/>
    <n v="13"/>
    <n v="2"/>
    <s v="Other"/>
    <n v="4"/>
    <s v="Male"/>
    <n v="46"/>
    <n v="2"/>
    <n v="2"/>
    <s v="Laboratory Technician"/>
    <n v="2"/>
    <s v="Married"/>
    <n v="4025"/>
    <n v="23679"/>
    <n v="4"/>
    <s v="Yes"/>
    <n v="13"/>
    <n v="3"/>
    <n v="1"/>
    <n v="1"/>
    <n v="10"/>
    <n v="2"/>
    <n v="3"/>
    <n v="4"/>
    <n v="3"/>
    <n v="0"/>
    <n v="3"/>
  </r>
  <r>
    <n v="29"/>
    <s v="No"/>
    <s v="Travel_Rarely"/>
    <n v="468"/>
    <s v="Research &amp; Development"/>
    <n v="28"/>
    <n v="4"/>
    <s v="Medical"/>
    <n v="4"/>
    <s v="Female"/>
    <n v="73"/>
    <n v="2"/>
    <n v="1"/>
    <s v="Research Scientist"/>
    <n v="1"/>
    <s v="Single"/>
    <n v="3785"/>
    <n v="8489"/>
    <n v="1"/>
    <s v="No"/>
    <n v="14"/>
    <n v="3"/>
    <n v="2"/>
    <n v="0"/>
    <n v="5"/>
    <n v="3"/>
    <n v="1"/>
    <n v="5"/>
    <n v="4"/>
    <n v="0"/>
    <n v="4"/>
  </r>
  <r>
    <n v="50"/>
    <s v="Yes"/>
    <s v="Travel_Rarely"/>
    <n v="410"/>
    <s v="Sales"/>
    <n v="28"/>
    <n v="3"/>
    <s v="Marketing"/>
    <n v="4"/>
    <s v="Male"/>
    <n v="39"/>
    <n v="2"/>
    <n v="3"/>
    <s v="Sales Executive"/>
    <n v="1"/>
    <s v="Divorced"/>
    <n v="10854"/>
    <n v="16586"/>
    <n v="4"/>
    <s v="Yes"/>
    <n v="13"/>
    <n v="3"/>
    <n v="2"/>
    <n v="1"/>
    <n v="20"/>
    <n v="3"/>
    <n v="3"/>
    <n v="3"/>
    <n v="2"/>
    <n v="2"/>
    <n v="0"/>
  </r>
  <r>
    <n v="39"/>
    <s v="No"/>
    <s v="Travel_Rarely"/>
    <n v="722"/>
    <s v="Sales"/>
    <n v="24"/>
    <n v="1"/>
    <s v="Marketing"/>
    <n v="2"/>
    <s v="Female"/>
    <n v="60"/>
    <n v="2"/>
    <n v="4"/>
    <s v="Sales Executive"/>
    <n v="4"/>
    <s v="Married"/>
    <n v="12031"/>
    <n v="8828"/>
    <n v="0"/>
    <s v="No"/>
    <n v="11"/>
    <n v="3"/>
    <n v="1"/>
    <n v="1"/>
    <n v="21"/>
    <n v="2"/>
    <n v="2"/>
    <n v="20"/>
    <n v="9"/>
    <n v="9"/>
    <n v="6"/>
  </r>
  <r>
    <n v="31"/>
    <s v="No"/>
    <s v="Non-Travel"/>
    <n v="325"/>
    <s v="Research &amp; Development"/>
    <n v="5"/>
    <n v="3"/>
    <s v="Medical"/>
    <n v="2"/>
    <s v="Male"/>
    <n v="74"/>
    <n v="3"/>
    <n v="2"/>
    <s v="Manufacturing Director"/>
    <n v="1"/>
    <s v="Single"/>
    <n v="9936"/>
    <n v="3787"/>
    <n v="0"/>
    <s v="No"/>
    <n v="19"/>
    <n v="3"/>
    <n v="2"/>
    <n v="0"/>
    <n v="10"/>
    <n v="2"/>
    <n v="3"/>
    <n v="9"/>
    <n v="4"/>
    <n v="1"/>
    <n v="7"/>
  </r>
  <r>
    <n v="26"/>
    <s v="No"/>
    <s v="Travel_Rarely"/>
    <n v="1167"/>
    <s v="Sales"/>
    <n v="5"/>
    <n v="3"/>
    <s v="Other"/>
    <n v="4"/>
    <s v="Female"/>
    <n v="30"/>
    <n v="2"/>
    <n v="1"/>
    <s v="Sales Representative"/>
    <n v="3"/>
    <s v="Single"/>
    <n v="2966"/>
    <n v="21378"/>
    <n v="0"/>
    <s v="No"/>
    <n v="18"/>
    <n v="3"/>
    <n v="4"/>
    <n v="0"/>
    <n v="5"/>
    <n v="2"/>
    <n v="3"/>
    <n v="4"/>
    <n v="2"/>
    <n v="0"/>
    <n v="0"/>
  </r>
  <r>
    <n v="36"/>
    <s v="No"/>
    <s v="Travel_Frequently"/>
    <n v="884"/>
    <s v="Research &amp; Development"/>
    <n v="23"/>
    <n v="2"/>
    <s v="Medical"/>
    <n v="3"/>
    <s v="Male"/>
    <n v="41"/>
    <n v="4"/>
    <n v="2"/>
    <s v="Laboratory Technician"/>
    <n v="4"/>
    <s v="Married"/>
    <n v="2571"/>
    <n v="12290"/>
    <n v="4"/>
    <s v="No"/>
    <n v="17"/>
    <n v="3"/>
    <n v="3"/>
    <n v="1"/>
    <n v="17"/>
    <n v="3"/>
    <n v="3"/>
    <n v="5"/>
    <n v="2"/>
    <n v="0"/>
    <n v="3"/>
  </r>
  <r>
    <n v="39"/>
    <s v="No"/>
    <s v="Travel_Rarely"/>
    <n v="613"/>
    <s v="Research &amp; Development"/>
    <n v="6"/>
    <n v="1"/>
    <s v="Medical"/>
    <n v="4"/>
    <s v="Male"/>
    <n v="42"/>
    <n v="2"/>
    <n v="3"/>
    <s v="Healthcare Representative"/>
    <n v="1"/>
    <s v="Married"/>
    <n v="9991"/>
    <n v="21457"/>
    <n v="4"/>
    <s v="No"/>
    <n v="15"/>
    <n v="3"/>
    <n v="1"/>
    <n v="1"/>
    <n v="9"/>
    <n v="5"/>
    <n v="3"/>
    <n v="7"/>
    <n v="7"/>
    <n v="1"/>
    <n v="7"/>
  </r>
  <r>
    <n v="27"/>
    <s v="No"/>
    <s v="Travel_Rarely"/>
    <n v="155"/>
    <s v="Research &amp; Development"/>
    <n v="4"/>
    <n v="3"/>
    <s v="Life Sciences"/>
    <n v="2"/>
    <s v="Male"/>
    <n v="87"/>
    <n v="4"/>
    <n v="2"/>
    <s v="Manufacturing Director"/>
    <n v="2"/>
    <s v="Married"/>
    <n v="6142"/>
    <n v="5174"/>
    <n v="1"/>
    <s v="Yes"/>
    <n v="20"/>
    <n v="4"/>
    <n v="2"/>
    <n v="1"/>
    <n v="6"/>
    <n v="0"/>
    <n v="3"/>
    <n v="6"/>
    <n v="2"/>
    <n v="0"/>
    <n v="3"/>
  </r>
  <r>
    <n v="49"/>
    <s v="No"/>
    <s v="Travel_Frequently"/>
    <n v="1023"/>
    <s v="Sales"/>
    <n v="2"/>
    <n v="3"/>
    <s v="Medical"/>
    <n v="4"/>
    <s v="Male"/>
    <n v="63"/>
    <n v="2"/>
    <n v="2"/>
    <s v="Sales Executive"/>
    <n v="2"/>
    <s v="Married"/>
    <n v="5390"/>
    <n v="13243"/>
    <n v="2"/>
    <s v="No"/>
    <n v="14"/>
    <n v="3"/>
    <n v="4"/>
    <n v="0"/>
    <n v="17"/>
    <n v="3"/>
    <n v="2"/>
    <n v="9"/>
    <n v="6"/>
    <n v="0"/>
    <n v="8"/>
  </r>
  <r>
    <n v="34"/>
    <s v="No"/>
    <s v="Travel_Rarely"/>
    <n v="628"/>
    <s v="Research &amp; Development"/>
    <n v="8"/>
    <n v="3"/>
    <s v="Medical"/>
    <n v="2"/>
    <s v="Male"/>
    <n v="82"/>
    <n v="4"/>
    <n v="2"/>
    <s v="Laboratory Technician"/>
    <n v="3"/>
    <s v="Married"/>
    <n v="4404"/>
    <n v="10228"/>
    <n v="2"/>
    <s v="No"/>
    <n v="12"/>
    <n v="3"/>
    <n v="1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43B2A1-229D-4C8F-A5AB-314014C99A2F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3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F1FA8-EC96-499E-B925-B3C28854BEE3}">
  <dimension ref="A3:C20"/>
  <sheetViews>
    <sheetView workbookViewId="0">
      <selection activeCell="A3" sqref="A3"/>
    </sheetView>
  </sheetViews>
  <sheetFormatPr defaultRowHeight="14.4" x14ac:dyDescent="0.3"/>
  <sheetData>
    <row r="3" spans="1:3" x14ac:dyDescent="0.3">
      <c r="A3" s="1"/>
      <c r="B3" s="2"/>
      <c r="C3" s="3"/>
    </row>
    <row r="4" spans="1:3" x14ac:dyDescent="0.3">
      <c r="A4" s="4"/>
      <c r="B4" s="5"/>
      <c r="C4" s="6"/>
    </row>
    <row r="5" spans="1:3" x14ac:dyDescent="0.3">
      <c r="A5" s="4"/>
      <c r="B5" s="5"/>
      <c r="C5" s="6"/>
    </row>
    <row r="6" spans="1:3" x14ac:dyDescent="0.3">
      <c r="A6" s="4"/>
      <c r="B6" s="5"/>
      <c r="C6" s="6"/>
    </row>
    <row r="7" spans="1:3" x14ac:dyDescent="0.3">
      <c r="A7" s="4"/>
      <c r="B7" s="5"/>
      <c r="C7" s="6"/>
    </row>
    <row r="8" spans="1:3" x14ac:dyDescent="0.3">
      <c r="A8" s="4"/>
      <c r="B8" s="5"/>
      <c r="C8" s="6"/>
    </row>
    <row r="9" spans="1:3" x14ac:dyDescent="0.3">
      <c r="A9" s="4"/>
      <c r="B9" s="5"/>
      <c r="C9" s="6"/>
    </row>
    <row r="10" spans="1:3" x14ac:dyDescent="0.3">
      <c r="A10" s="4"/>
      <c r="B10" s="5"/>
      <c r="C10" s="6"/>
    </row>
    <row r="11" spans="1:3" x14ac:dyDescent="0.3">
      <c r="A11" s="4"/>
      <c r="B11" s="5"/>
      <c r="C11" s="6"/>
    </row>
    <row r="12" spans="1:3" x14ac:dyDescent="0.3">
      <c r="A12" s="4"/>
      <c r="B12" s="5"/>
      <c r="C12" s="6"/>
    </row>
    <row r="13" spans="1:3" x14ac:dyDescent="0.3">
      <c r="A13" s="4"/>
      <c r="B13" s="5"/>
      <c r="C13" s="6"/>
    </row>
    <row r="14" spans="1:3" x14ac:dyDescent="0.3">
      <c r="A14" s="4"/>
      <c r="B14" s="5"/>
      <c r="C14" s="6"/>
    </row>
    <row r="15" spans="1:3" x14ac:dyDescent="0.3">
      <c r="A15" s="4"/>
      <c r="B15" s="5"/>
      <c r="C15" s="6"/>
    </row>
    <row r="16" spans="1:3" x14ac:dyDescent="0.3">
      <c r="A16" s="4"/>
      <c r="B16" s="5"/>
      <c r="C16" s="6"/>
    </row>
    <row r="17" spans="1:3" x14ac:dyDescent="0.3">
      <c r="A17" s="4"/>
      <c r="B17" s="5"/>
      <c r="C17" s="6"/>
    </row>
    <row r="18" spans="1:3" x14ac:dyDescent="0.3">
      <c r="A18" s="4"/>
      <c r="B18" s="5"/>
      <c r="C18" s="6"/>
    </row>
    <row r="19" spans="1:3" x14ac:dyDescent="0.3">
      <c r="A19" s="4"/>
      <c r="B19" s="5"/>
      <c r="C19" s="6"/>
    </row>
    <row r="20" spans="1:3" x14ac:dyDescent="0.3">
      <c r="A20" s="7"/>
      <c r="B20" s="8"/>
      <c r="C20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DE8D8-3B11-44D7-8063-B8A284A049DD}">
  <dimension ref="A1:S4415"/>
  <sheetViews>
    <sheetView tabSelected="1" zoomScale="63" workbookViewId="0">
      <selection activeCell="O1" sqref="O1"/>
    </sheetView>
  </sheetViews>
  <sheetFormatPr defaultRowHeight="14.4" x14ac:dyDescent="0.3"/>
  <cols>
    <col min="1" max="1" width="4.6640625" bestFit="1" customWidth="1"/>
    <col min="2" max="2" width="10.5546875" bestFit="1" customWidth="1"/>
    <col min="3" max="3" width="25.88671875" bestFit="1" customWidth="1"/>
    <col min="4" max="4" width="8.44140625" bestFit="1" customWidth="1"/>
    <col min="5" max="5" width="11.77734375" bestFit="1" customWidth="1"/>
    <col min="6" max="6" width="27.6640625" bestFit="1" customWidth="1"/>
    <col min="7" max="7" width="16.109375" bestFit="1" customWidth="1"/>
    <col min="8" max="8" width="13.33203125" bestFit="1" customWidth="1"/>
    <col min="9" max="9" width="18.77734375" bestFit="1" customWidth="1"/>
    <col min="10" max="10" width="19.6640625" bestFit="1" customWidth="1"/>
    <col min="11" max="11" width="17.21875" bestFit="1" customWidth="1"/>
    <col min="12" max="12" width="20" bestFit="1" customWidth="1"/>
    <col min="13" max="13" width="25.88671875" bestFit="1" customWidth="1"/>
    <col min="14" max="14" width="23.77734375" bestFit="1" customWidth="1"/>
    <col min="16" max="16" width="10.6640625" bestFit="1" customWidth="1"/>
    <col min="17" max="17" width="14.5546875" customWidth="1"/>
    <col min="18" max="18" width="17.44140625" bestFit="1" customWidth="1"/>
    <col min="23" max="23" width="8.777343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 t="s">
        <v>27</v>
      </c>
      <c r="Q1" t="s">
        <v>28</v>
      </c>
      <c r="R1" t="s">
        <v>29</v>
      </c>
      <c r="S1" t="s">
        <v>30</v>
      </c>
    </row>
    <row r="2" spans="1:19" x14ac:dyDescent="0.3">
      <c r="A2">
        <v>41</v>
      </c>
      <c r="B2">
        <v>1102</v>
      </c>
      <c r="C2" t="s">
        <v>14</v>
      </c>
      <c r="D2" t="s">
        <v>18</v>
      </c>
      <c r="E2">
        <v>94</v>
      </c>
      <c r="F2" t="s">
        <v>16</v>
      </c>
      <c r="G2">
        <v>5993</v>
      </c>
      <c r="H2">
        <v>19479</v>
      </c>
      <c r="I2">
        <v>11</v>
      </c>
      <c r="J2">
        <v>8</v>
      </c>
      <c r="K2">
        <v>6</v>
      </c>
      <c r="L2">
        <v>4</v>
      </c>
      <c r="M2">
        <v>0</v>
      </c>
      <c r="N2">
        <v>5</v>
      </c>
      <c r="P2">
        <f>G2*I2/100</f>
        <v>659.23</v>
      </c>
      <c r="Q2">
        <f>G2*12</f>
        <v>71916</v>
      </c>
      <c r="R2">
        <f>K2/J2</f>
        <v>0.75</v>
      </c>
      <c r="S2">
        <v>2020</v>
      </c>
    </row>
    <row r="3" spans="1:19" x14ac:dyDescent="0.3">
      <c r="A3">
        <v>49</v>
      </c>
      <c r="B3">
        <v>279</v>
      </c>
      <c r="C3" t="s">
        <v>17</v>
      </c>
      <c r="D3" t="s">
        <v>18</v>
      </c>
      <c r="E3">
        <v>61</v>
      </c>
      <c r="F3" t="s">
        <v>19</v>
      </c>
      <c r="G3">
        <v>5130</v>
      </c>
      <c r="H3">
        <v>24907</v>
      </c>
      <c r="I3">
        <v>23</v>
      </c>
      <c r="J3">
        <v>10</v>
      </c>
      <c r="K3">
        <v>10</v>
      </c>
      <c r="L3">
        <v>7</v>
      </c>
      <c r="M3">
        <v>1</v>
      </c>
      <c r="N3">
        <v>7</v>
      </c>
      <c r="P3">
        <f>G3*I3/100</f>
        <v>1179.9000000000001</v>
      </c>
      <c r="Q3">
        <f t="shared" ref="Q3:Q66" si="0">G3*12</f>
        <v>61560</v>
      </c>
      <c r="R3">
        <f>K3/J3</f>
        <v>1</v>
      </c>
      <c r="S3">
        <v>2020</v>
      </c>
    </row>
    <row r="4" spans="1:19" x14ac:dyDescent="0.3">
      <c r="A4">
        <v>37</v>
      </c>
      <c r="B4">
        <v>1373</v>
      </c>
      <c r="C4" t="s">
        <v>17</v>
      </c>
      <c r="D4" t="s">
        <v>18</v>
      </c>
      <c r="E4">
        <v>92</v>
      </c>
      <c r="F4" t="s">
        <v>20</v>
      </c>
      <c r="G4">
        <v>2090</v>
      </c>
      <c r="H4">
        <v>2396</v>
      </c>
      <c r="I4">
        <v>15</v>
      </c>
      <c r="J4">
        <v>7</v>
      </c>
      <c r="K4">
        <v>0</v>
      </c>
      <c r="L4">
        <v>0</v>
      </c>
      <c r="M4">
        <v>0</v>
      </c>
      <c r="N4">
        <v>0</v>
      </c>
      <c r="P4">
        <f>G4*I4/100</f>
        <v>313.5</v>
      </c>
      <c r="Q4">
        <f t="shared" si="0"/>
        <v>25080</v>
      </c>
      <c r="R4">
        <f>K4/J4</f>
        <v>0</v>
      </c>
      <c r="S4">
        <v>2020</v>
      </c>
    </row>
    <row r="5" spans="1:19" x14ac:dyDescent="0.3">
      <c r="A5">
        <v>33</v>
      </c>
      <c r="B5">
        <v>1392</v>
      </c>
      <c r="C5" t="s">
        <v>17</v>
      </c>
      <c r="D5" t="s">
        <v>15</v>
      </c>
      <c r="E5">
        <v>56</v>
      </c>
      <c r="F5" t="s">
        <v>19</v>
      </c>
      <c r="G5">
        <v>2909</v>
      </c>
      <c r="H5">
        <v>23159</v>
      </c>
      <c r="I5">
        <v>11</v>
      </c>
      <c r="J5">
        <v>8</v>
      </c>
      <c r="K5">
        <v>8</v>
      </c>
      <c r="L5">
        <v>7</v>
      </c>
      <c r="M5">
        <v>3</v>
      </c>
      <c r="N5">
        <v>0</v>
      </c>
      <c r="P5">
        <f>G5*I5/100</f>
        <v>319.99</v>
      </c>
      <c r="Q5">
        <f t="shared" si="0"/>
        <v>34908</v>
      </c>
      <c r="R5">
        <f>K5/J5</f>
        <v>1</v>
      </c>
      <c r="S5">
        <v>2020</v>
      </c>
    </row>
    <row r="6" spans="1:19" x14ac:dyDescent="0.3">
      <c r="A6">
        <v>27</v>
      </c>
      <c r="B6">
        <v>591</v>
      </c>
      <c r="C6" t="s">
        <v>17</v>
      </c>
      <c r="D6" t="s">
        <v>18</v>
      </c>
      <c r="E6">
        <v>40</v>
      </c>
      <c r="F6" t="s">
        <v>20</v>
      </c>
      <c r="G6">
        <v>3468</v>
      </c>
      <c r="H6">
        <v>16632</v>
      </c>
      <c r="I6">
        <v>12</v>
      </c>
      <c r="J6">
        <v>6</v>
      </c>
      <c r="K6">
        <v>2</v>
      </c>
      <c r="L6">
        <v>2</v>
      </c>
      <c r="M6">
        <v>2</v>
      </c>
      <c r="N6">
        <v>2</v>
      </c>
      <c r="P6">
        <f>G6*I6/100</f>
        <v>416.16</v>
      </c>
      <c r="Q6">
        <f t="shared" si="0"/>
        <v>41616</v>
      </c>
      <c r="R6">
        <f>K6/J6</f>
        <v>0.33333333333333331</v>
      </c>
      <c r="S6">
        <v>2020</v>
      </c>
    </row>
    <row r="7" spans="1:19" x14ac:dyDescent="0.3">
      <c r="A7">
        <v>32</v>
      </c>
      <c r="B7">
        <v>1005</v>
      </c>
      <c r="C7" t="s">
        <v>17</v>
      </c>
      <c r="D7" t="s">
        <v>18</v>
      </c>
      <c r="E7">
        <v>79</v>
      </c>
      <c r="F7" t="s">
        <v>20</v>
      </c>
      <c r="G7">
        <v>3068</v>
      </c>
      <c r="H7">
        <v>11864</v>
      </c>
      <c r="I7">
        <v>13</v>
      </c>
      <c r="J7">
        <v>8</v>
      </c>
      <c r="K7">
        <v>7</v>
      </c>
      <c r="L7">
        <v>7</v>
      </c>
      <c r="M7">
        <v>3</v>
      </c>
      <c r="N7">
        <v>6</v>
      </c>
      <c r="P7">
        <f>G7*I7/100</f>
        <v>398.84</v>
      </c>
      <c r="Q7">
        <f t="shared" si="0"/>
        <v>36816</v>
      </c>
      <c r="R7">
        <f>K7/J7</f>
        <v>0.875</v>
      </c>
      <c r="S7">
        <v>2020</v>
      </c>
    </row>
    <row r="8" spans="1:19" x14ac:dyDescent="0.3">
      <c r="A8">
        <v>59</v>
      </c>
      <c r="B8">
        <v>1324</v>
      </c>
      <c r="C8" t="s">
        <v>17</v>
      </c>
      <c r="D8" t="s">
        <v>15</v>
      </c>
      <c r="E8">
        <v>81</v>
      </c>
      <c r="F8" t="s">
        <v>20</v>
      </c>
      <c r="G8">
        <v>2670</v>
      </c>
      <c r="H8">
        <v>9964</v>
      </c>
      <c r="I8">
        <v>20</v>
      </c>
      <c r="J8">
        <v>12</v>
      </c>
      <c r="K8">
        <v>1</v>
      </c>
      <c r="L8">
        <v>0</v>
      </c>
      <c r="M8">
        <v>0</v>
      </c>
      <c r="N8">
        <v>0</v>
      </c>
      <c r="P8">
        <f>G8*I8/100</f>
        <v>534</v>
      </c>
      <c r="Q8">
        <f t="shared" si="0"/>
        <v>32040</v>
      </c>
      <c r="R8">
        <f>K8/J8</f>
        <v>8.3333333333333329E-2</v>
      </c>
      <c r="S8">
        <v>2020</v>
      </c>
    </row>
    <row r="9" spans="1:19" x14ac:dyDescent="0.3">
      <c r="A9">
        <v>30</v>
      </c>
      <c r="B9">
        <v>1358</v>
      </c>
      <c r="C9" t="s">
        <v>17</v>
      </c>
      <c r="D9" t="s">
        <v>18</v>
      </c>
      <c r="E9">
        <v>67</v>
      </c>
      <c r="F9" t="s">
        <v>20</v>
      </c>
      <c r="G9">
        <v>2693</v>
      </c>
      <c r="H9">
        <v>13335</v>
      </c>
      <c r="I9">
        <v>22</v>
      </c>
      <c r="J9">
        <v>1</v>
      </c>
      <c r="K9">
        <v>1</v>
      </c>
      <c r="L9">
        <v>0</v>
      </c>
      <c r="M9">
        <v>0</v>
      </c>
      <c r="N9">
        <v>0</v>
      </c>
      <c r="P9">
        <f>G9*I9/100</f>
        <v>592.46</v>
      </c>
      <c r="Q9">
        <f t="shared" si="0"/>
        <v>32316</v>
      </c>
      <c r="R9">
        <f>K9/J9</f>
        <v>1</v>
      </c>
      <c r="S9">
        <v>2020</v>
      </c>
    </row>
    <row r="10" spans="1:19" x14ac:dyDescent="0.3">
      <c r="A10">
        <v>38</v>
      </c>
      <c r="B10">
        <v>216</v>
      </c>
      <c r="C10" t="s">
        <v>17</v>
      </c>
      <c r="D10" t="s">
        <v>18</v>
      </c>
      <c r="E10">
        <v>44</v>
      </c>
      <c r="F10" t="s">
        <v>21</v>
      </c>
      <c r="G10">
        <v>9526</v>
      </c>
      <c r="H10">
        <v>8787</v>
      </c>
      <c r="I10">
        <v>21</v>
      </c>
      <c r="J10">
        <v>10</v>
      </c>
      <c r="K10">
        <v>9</v>
      </c>
      <c r="L10">
        <v>7</v>
      </c>
      <c r="M10">
        <v>1</v>
      </c>
      <c r="N10">
        <v>8</v>
      </c>
      <c r="P10">
        <f>G10*I10/100</f>
        <v>2000.46</v>
      </c>
      <c r="Q10">
        <f t="shared" si="0"/>
        <v>114312</v>
      </c>
      <c r="R10">
        <f>K10/J10</f>
        <v>0.9</v>
      </c>
      <c r="S10">
        <v>2020</v>
      </c>
    </row>
    <row r="11" spans="1:19" x14ac:dyDescent="0.3">
      <c r="A11">
        <v>36</v>
      </c>
      <c r="B11">
        <v>1299</v>
      </c>
      <c r="C11" t="s">
        <v>17</v>
      </c>
      <c r="D11" t="s">
        <v>18</v>
      </c>
      <c r="E11">
        <v>94</v>
      </c>
      <c r="F11" t="s">
        <v>22</v>
      </c>
      <c r="G11">
        <v>5237</v>
      </c>
      <c r="H11">
        <v>16577</v>
      </c>
      <c r="I11">
        <v>13</v>
      </c>
      <c r="J11">
        <v>17</v>
      </c>
      <c r="K11">
        <v>7</v>
      </c>
      <c r="L11">
        <v>7</v>
      </c>
      <c r="M11">
        <v>7</v>
      </c>
      <c r="N11">
        <v>7</v>
      </c>
      <c r="P11">
        <f>G11*I11/100</f>
        <v>680.81</v>
      </c>
      <c r="Q11">
        <f t="shared" si="0"/>
        <v>62844</v>
      </c>
      <c r="R11">
        <f>K11/J11</f>
        <v>0.41176470588235292</v>
      </c>
      <c r="S11">
        <v>2020</v>
      </c>
    </row>
    <row r="12" spans="1:19" x14ac:dyDescent="0.3">
      <c r="A12">
        <v>35</v>
      </c>
      <c r="B12">
        <v>809</v>
      </c>
      <c r="C12" t="s">
        <v>17</v>
      </c>
      <c r="D12" t="s">
        <v>18</v>
      </c>
      <c r="E12">
        <v>84</v>
      </c>
      <c r="F12" t="s">
        <v>20</v>
      </c>
      <c r="G12">
        <v>2426</v>
      </c>
      <c r="H12">
        <v>16479</v>
      </c>
      <c r="I12">
        <v>13</v>
      </c>
      <c r="J12">
        <v>6</v>
      </c>
      <c r="K12">
        <v>5</v>
      </c>
      <c r="L12">
        <v>4</v>
      </c>
      <c r="M12">
        <v>0</v>
      </c>
      <c r="N12">
        <v>3</v>
      </c>
      <c r="P12">
        <f>G12*I12/100</f>
        <v>315.38</v>
      </c>
      <c r="Q12">
        <f t="shared" si="0"/>
        <v>29112</v>
      </c>
      <c r="R12">
        <f>K12/J12</f>
        <v>0.83333333333333337</v>
      </c>
      <c r="S12">
        <v>2020</v>
      </c>
    </row>
    <row r="13" spans="1:19" x14ac:dyDescent="0.3">
      <c r="A13">
        <v>29</v>
      </c>
      <c r="B13">
        <v>153</v>
      </c>
      <c r="C13" t="s">
        <v>17</v>
      </c>
      <c r="D13" t="s">
        <v>15</v>
      </c>
      <c r="E13">
        <v>49</v>
      </c>
      <c r="F13" t="s">
        <v>20</v>
      </c>
      <c r="G13">
        <v>4193</v>
      </c>
      <c r="H13">
        <v>12682</v>
      </c>
      <c r="I13">
        <v>12</v>
      </c>
      <c r="J13">
        <v>10</v>
      </c>
      <c r="K13">
        <v>9</v>
      </c>
      <c r="L13">
        <v>5</v>
      </c>
      <c r="M13">
        <v>0</v>
      </c>
      <c r="N13">
        <v>8</v>
      </c>
      <c r="P13">
        <f>G13*I13/100</f>
        <v>503.16</v>
      </c>
      <c r="Q13">
        <f t="shared" si="0"/>
        <v>50316</v>
      </c>
      <c r="R13">
        <f>K13/J13</f>
        <v>0.9</v>
      </c>
      <c r="S13">
        <v>2020</v>
      </c>
    </row>
    <row r="14" spans="1:19" x14ac:dyDescent="0.3">
      <c r="A14">
        <v>31</v>
      </c>
      <c r="B14">
        <v>670</v>
      </c>
      <c r="C14" t="s">
        <v>17</v>
      </c>
      <c r="D14" t="s">
        <v>18</v>
      </c>
      <c r="E14">
        <v>31</v>
      </c>
      <c r="F14" t="s">
        <v>19</v>
      </c>
      <c r="G14">
        <v>2911</v>
      </c>
      <c r="H14">
        <v>15170</v>
      </c>
      <c r="I14">
        <v>17</v>
      </c>
      <c r="J14">
        <v>5</v>
      </c>
      <c r="K14">
        <v>5</v>
      </c>
      <c r="L14">
        <v>2</v>
      </c>
      <c r="M14">
        <v>4</v>
      </c>
      <c r="N14">
        <v>3</v>
      </c>
      <c r="P14">
        <f>G14*I14/100</f>
        <v>494.87</v>
      </c>
      <c r="Q14">
        <f t="shared" si="0"/>
        <v>34932</v>
      </c>
      <c r="R14">
        <f>K14/J14</f>
        <v>1</v>
      </c>
      <c r="S14">
        <v>2020</v>
      </c>
    </row>
    <row r="15" spans="1:19" x14ac:dyDescent="0.3">
      <c r="A15">
        <v>34</v>
      </c>
      <c r="B15">
        <v>1346</v>
      </c>
      <c r="C15" t="s">
        <v>17</v>
      </c>
      <c r="D15" t="s">
        <v>18</v>
      </c>
      <c r="E15">
        <v>93</v>
      </c>
      <c r="F15" t="s">
        <v>20</v>
      </c>
      <c r="G15">
        <v>2661</v>
      </c>
      <c r="H15">
        <v>8758</v>
      </c>
      <c r="I15">
        <v>11</v>
      </c>
      <c r="J15">
        <v>3</v>
      </c>
      <c r="K15">
        <v>2</v>
      </c>
      <c r="L15">
        <v>2</v>
      </c>
      <c r="M15">
        <v>1</v>
      </c>
      <c r="N15">
        <v>2</v>
      </c>
      <c r="P15">
        <f>G15*I15/100</f>
        <v>292.70999999999998</v>
      </c>
      <c r="Q15">
        <f t="shared" si="0"/>
        <v>31932</v>
      </c>
      <c r="R15">
        <f>K15/J15</f>
        <v>0.66666666666666663</v>
      </c>
      <c r="S15">
        <v>2020</v>
      </c>
    </row>
    <row r="16" spans="1:19" x14ac:dyDescent="0.3">
      <c r="A16">
        <v>28</v>
      </c>
      <c r="B16">
        <v>103</v>
      </c>
      <c r="C16" t="s">
        <v>17</v>
      </c>
      <c r="D16" t="s">
        <v>18</v>
      </c>
      <c r="E16">
        <v>50</v>
      </c>
      <c r="F16" t="s">
        <v>20</v>
      </c>
      <c r="G16">
        <v>2028</v>
      </c>
      <c r="H16">
        <v>12947</v>
      </c>
      <c r="I16">
        <v>14</v>
      </c>
      <c r="J16">
        <v>6</v>
      </c>
      <c r="K16">
        <v>4</v>
      </c>
      <c r="L16">
        <v>2</v>
      </c>
      <c r="M16">
        <v>0</v>
      </c>
      <c r="N16">
        <v>3</v>
      </c>
      <c r="P16">
        <f>G16*I16/100</f>
        <v>283.92</v>
      </c>
      <c r="Q16">
        <f t="shared" si="0"/>
        <v>24336</v>
      </c>
      <c r="R16">
        <f>K16/J16</f>
        <v>0.66666666666666663</v>
      </c>
      <c r="S16">
        <v>2020</v>
      </c>
    </row>
    <row r="17" spans="1:19" x14ac:dyDescent="0.3">
      <c r="A17">
        <v>29</v>
      </c>
      <c r="B17">
        <v>1389</v>
      </c>
      <c r="C17" t="s">
        <v>17</v>
      </c>
      <c r="D17" t="s">
        <v>15</v>
      </c>
      <c r="E17">
        <v>51</v>
      </c>
      <c r="F17" t="s">
        <v>21</v>
      </c>
      <c r="G17">
        <v>9980</v>
      </c>
      <c r="H17">
        <v>10195</v>
      </c>
      <c r="I17">
        <v>11</v>
      </c>
      <c r="J17">
        <v>10</v>
      </c>
      <c r="K17">
        <v>10</v>
      </c>
      <c r="L17">
        <v>9</v>
      </c>
      <c r="M17">
        <v>8</v>
      </c>
      <c r="N17">
        <v>8</v>
      </c>
      <c r="P17">
        <f>G17*I17/100</f>
        <v>1097.8</v>
      </c>
      <c r="Q17">
        <f t="shared" si="0"/>
        <v>119760</v>
      </c>
      <c r="R17">
        <f>K17/J17</f>
        <v>1</v>
      </c>
      <c r="S17">
        <v>2020</v>
      </c>
    </row>
    <row r="18" spans="1:19" x14ac:dyDescent="0.3">
      <c r="A18">
        <v>32</v>
      </c>
      <c r="B18">
        <v>334</v>
      </c>
      <c r="C18" t="s">
        <v>17</v>
      </c>
      <c r="D18" t="s">
        <v>18</v>
      </c>
      <c r="E18">
        <v>80</v>
      </c>
      <c r="F18" t="s">
        <v>19</v>
      </c>
      <c r="G18">
        <v>3298</v>
      </c>
      <c r="H18">
        <v>15053</v>
      </c>
      <c r="I18">
        <v>12</v>
      </c>
      <c r="J18">
        <v>7</v>
      </c>
      <c r="K18">
        <v>6</v>
      </c>
      <c r="L18">
        <v>2</v>
      </c>
      <c r="M18">
        <v>0</v>
      </c>
      <c r="N18">
        <v>5</v>
      </c>
      <c r="P18">
        <f>G18*I18/100</f>
        <v>395.76</v>
      </c>
      <c r="Q18">
        <f t="shared" si="0"/>
        <v>39576</v>
      </c>
      <c r="R18">
        <f>K18/J18</f>
        <v>0.8571428571428571</v>
      </c>
      <c r="S18">
        <v>2020</v>
      </c>
    </row>
    <row r="19" spans="1:19" x14ac:dyDescent="0.3">
      <c r="A19">
        <v>22</v>
      </c>
      <c r="B19">
        <v>1123</v>
      </c>
      <c r="C19" t="s">
        <v>17</v>
      </c>
      <c r="D19" t="s">
        <v>18</v>
      </c>
      <c r="E19">
        <v>96</v>
      </c>
      <c r="F19" t="s">
        <v>20</v>
      </c>
      <c r="G19">
        <v>2935</v>
      </c>
      <c r="H19">
        <v>7324</v>
      </c>
      <c r="I19">
        <v>13</v>
      </c>
      <c r="J19">
        <v>1</v>
      </c>
      <c r="K19">
        <v>1</v>
      </c>
      <c r="L19">
        <v>0</v>
      </c>
      <c r="M19">
        <v>0</v>
      </c>
      <c r="N19">
        <v>0</v>
      </c>
      <c r="P19">
        <f>G19*I19/100</f>
        <v>381.55</v>
      </c>
      <c r="Q19">
        <f t="shared" si="0"/>
        <v>35220</v>
      </c>
      <c r="R19">
        <f>K19/J19</f>
        <v>1</v>
      </c>
      <c r="S19">
        <v>2020</v>
      </c>
    </row>
    <row r="20" spans="1:19" x14ac:dyDescent="0.3">
      <c r="A20">
        <v>53</v>
      </c>
      <c r="B20">
        <v>1219</v>
      </c>
      <c r="C20" t="s">
        <v>14</v>
      </c>
      <c r="D20" t="s">
        <v>15</v>
      </c>
      <c r="E20">
        <v>78</v>
      </c>
      <c r="F20" t="s">
        <v>23</v>
      </c>
      <c r="G20">
        <v>15427</v>
      </c>
      <c r="H20">
        <v>22021</v>
      </c>
      <c r="I20">
        <v>16</v>
      </c>
      <c r="J20">
        <v>31</v>
      </c>
      <c r="K20">
        <v>25</v>
      </c>
      <c r="L20">
        <v>8</v>
      </c>
      <c r="M20">
        <v>3</v>
      </c>
      <c r="N20">
        <v>7</v>
      </c>
      <c r="P20">
        <f>G20*I20/100</f>
        <v>2468.3200000000002</v>
      </c>
      <c r="Q20">
        <f t="shared" si="0"/>
        <v>185124</v>
      </c>
      <c r="R20">
        <f>K20/J20</f>
        <v>0.80645161290322576</v>
      </c>
      <c r="S20">
        <v>2020</v>
      </c>
    </row>
    <row r="21" spans="1:19" x14ac:dyDescent="0.3">
      <c r="A21">
        <v>38</v>
      </c>
      <c r="B21">
        <v>371</v>
      </c>
      <c r="C21" t="s">
        <v>17</v>
      </c>
      <c r="D21" t="s">
        <v>18</v>
      </c>
      <c r="E21">
        <v>45</v>
      </c>
      <c r="F21" t="s">
        <v>19</v>
      </c>
      <c r="G21">
        <v>3944</v>
      </c>
      <c r="H21">
        <v>4306</v>
      </c>
      <c r="I21">
        <v>11</v>
      </c>
      <c r="J21">
        <v>6</v>
      </c>
      <c r="K21">
        <v>3</v>
      </c>
      <c r="L21">
        <v>2</v>
      </c>
      <c r="M21">
        <v>1</v>
      </c>
      <c r="N21">
        <v>2</v>
      </c>
      <c r="P21">
        <f>G21*I21/100</f>
        <v>433.84</v>
      </c>
      <c r="Q21">
        <f t="shared" si="0"/>
        <v>47328</v>
      </c>
      <c r="R21">
        <f>K21/J21</f>
        <v>0.5</v>
      </c>
      <c r="S21">
        <v>2020</v>
      </c>
    </row>
    <row r="22" spans="1:19" x14ac:dyDescent="0.3">
      <c r="A22">
        <v>24</v>
      </c>
      <c r="B22">
        <v>673</v>
      </c>
      <c r="C22" t="s">
        <v>17</v>
      </c>
      <c r="D22" t="s">
        <v>15</v>
      </c>
      <c r="E22">
        <v>96</v>
      </c>
      <c r="F22" t="s">
        <v>21</v>
      </c>
      <c r="G22">
        <v>4011</v>
      </c>
      <c r="H22">
        <v>8232</v>
      </c>
      <c r="I22">
        <v>18</v>
      </c>
      <c r="J22">
        <v>5</v>
      </c>
      <c r="K22">
        <v>4</v>
      </c>
      <c r="L22">
        <v>2</v>
      </c>
      <c r="M22">
        <v>1</v>
      </c>
      <c r="N22">
        <v>3</v>
      </c>
      <c r="P22">
        <f>G22*I22/100</f>
        <v>721.98</v>
      </c>
      <c r="Q22">
        <f t="shared" si="0"/>
        <v>48132</v>
      </c>
      <c r="R22">
        <f>K22/J22</f>
        <v>0.8</v>
      </c>
      <c r="S22">
        <v>2020</v>
      </c>
    </row>
    <row r="23" spans="1:19" x14ac:dyDescent="0.3">
      <c r="A23">
        <v>36</v>
      </c>
      <c r="B23">
        <v>1218</v>
      </c>
      <c r="C23" t="s">
        <v>14</v>
      </c>
      <c r="D23" t="s">
        <v>18</v>
      </c>
      <c r="E23">
        <v>82</v>
      </c>
      <c r="F23" t="s">
        <v>24</v>
      </c>
      <c r="G23">
        <v>3407</v>
      </c>
      <c r="H23">
        <v>6986</v>
      </c>
      <c r="I23">
        <v>23</v>
      </c>
      <c r="J23">
        <v>10</v>
      </c>
      <c r="K23">
        <v>5</v>
      </c>
      <c r="L23">
        <v>3</v>
      </c>
      <c r="M23">
        <v>0</v>
      </c>
      <c r="N23">
        <v>3</v>
      </c>
      <c r="P23">
        <f>G23*I23/100</f>
        <v>783.61</v>
      </c>
      <c r="Q23">
        <f t="shared" si="0"/>
        <v>40884</v>
      </c>
      <c r="R23">
        <f>K23/J23</f>
        <v>0.5</v>
      </c>
      <c r="S23">
        <v>2020</v>
      </c>
    </row>
    <row r="24" spans="1:19" x14ac:dyDescent="0.3">
      <c r="A24">
        <v>34</v>
      </c>
      <c r="B24">
        <v>419</v>
      </c>
      <c r="C24" t="s">
        <v>17</v>
      </c>
      <c r="D24" t="s">
        <v>15</v>
      </c>
      <c r="E24">
        <v>53</v>
      </c>
      <c r="F24" t="s">
        <v>25</v>
      </c>
      <c r="G24">
        <v>11994</v>
      </c>
      <c r="H24">
        <v>21293</v>
      </c>
      <c r="I24">
        <v>11</v>
      </c>
      <c r="J24">
        <v>13</v>
      </c>
      <c r="K24">
        <v>12</v>
      </c>
      <c r="L24">
        <v>6</v>
      </c>
      <c r="M24">
        <v>2</v>
      </c>
      <c r="N24">
        <v>11</v>
      </c>
      <c r="P24">
        <f>G24*I24/100</f>
        <v>1319.34</v>
      </c>
      <c r="Q24">
        <f t="shared" si="0"/>
        <v>143928</v>
      </c>
      <c r="R24">
        <f>K24/J24</f>
        <v>0.92307692307692313</v>
      </c>
      <c r="S24">
        <v>2020</v>
      </c>
    </row>
    <row r="25" spans="1:19" x14ac:dyDescent="0.3">
      <c r="A25">
        <v>21</v>
      </c>
      <c r="B25">
        <v>391</v>
      </c>
      <c r="C25" t="s">
        <v>17</v>
      </c>
      <c r="D25" t="s">
        <v>18</v>
      </c>
      <c r="E25">
        <v>96</v>
      </c>
      <c r="F25" t="s">
        <v>19</v>
      </c>
      <c r="G25">
        <v>1232</v>
      </c>
      <c r="H25">
        <v>19281</v>
      </c>
      <c r="I25">
        <v>14</v>
      </c>
      <c r="J25">
        <v>0</v>
      </c>
      <c r="K25">
        <v>0</v>
      </c>
      <c r="L25">
        <v>0</v>
      </c>
      <c r="M25">
        <v>0</v>
      </c>
      <c r="N25">
        <v>0</v>
      </c>
      <c r="P25">
        <f>G25*I25/100</f>
        <v>172.48</v>
      </c>
      <c r="Q25">
        <f t="shared" si="0"/>
        <v>14784</v>
      </c>
      <c r="R25" t="e">
        <f>K25/J25</f>
        <v>#DIV/0!</v>
      </c>
      <c r="S25">
        <v>2020</v>
      </c>
    </row>
    <row r="26" spans="1:19" x14ac:dyDescent="0.3">
      <c r="A26">
        <v>34</v>
      </c>
      <c r="B26">
        <v>699</v>
      </c>
      <c r="C26" t="s">
        <v>17</v>
      </c>
      <c r="D26" t="s">
        <v>18</v>
      </c>
      <c r="E26">
        <v>83</v>
      </c>
      <c r="F26" t="s">
        <v>19</v>
      </c>
      <c r="G26">
        <v>2960</v>
      </c>
      <c r="H26">
        <v>17102</v>
      </c>
      <c r="I26">
        <v>11</v>
      </c>
      <c r="J26">
        <v>8</v>
      </c>
      <c r="K26">
        <v>4</v>
      </c>
      <c r="L26">
        <v>2</v>
      </c>
      <c r="M26">
        <v>1</v>
      </c>
      <c r="N26">
        <v>3</v>
      </c>
      <c r="P26">
        <f>G26*I26/100</f>
        <v>325.60000000000002</v>
      </c>
      <c r="Q26">
        <f t="shared" si="0"/>
        <v>35520</v>
      </c>
      <c r="R26">
        <f>K26/J26</f>
        <v>0.5</v>
      </c>
      <c r="S26">
        <v>2020</v>
      </c>
    </row>
    <row r="27" spans="1:19" x14ac:dyDescent="0.3">
      <c r="A27">
        <v>53</v>
      </c>
      <c r="B27">
        <v>1282</v>
      </c>
      <c r="C27" t="s">
        <v>17</v>
      </c>
      <c r="D27" t="s">
        <v>15</v>
      </c>
      <c r="E27">
        <v>58</v>
      </c>
      <c r="F27" t="s">
        <v>23</v>
      </c>
      <c r="G27">
        <v>19094</v>
      </c>
      <c r="H27">
        <v>10735</v>
      </c>
      <c r="I27">
        <v>11</v>
      </c>
      <c r="J27">
        <v>26</v>
      </c>
      <c r="K27">
        <v>14</v>
      </c>
      <c r="L27">
        <v>13</v>
      </c>
      <c r="M27">
        <v>4</v>
      </c>
      <c r="N27">
        <v>8</v>
      </c>
      <c r="P27">
        <f>G27*I27/100</f>
        <v>2100.34</v>
      </c>
      <c r="Q27">
        <f t="shared" si="0"/>
        <v>229128</v>
      </c>
      <c r="R27">
        <f>K27/J27</f>
        <v>0.53846153846153844</v>
      </c>
      <c r="S27">
        <v>2020</v>
      </c>
    </row>
    <row r="28" spans="1:19" x14ac:dyDescent="0.3">
      <c r="A28">
        <v>32</v>
      </c>
      <c r="B28">
        <v>1125</v>
      </c>
      <c r="C28" t="s">
        <v>17</v>
      </c>
      <c r="D28" t="s">
        <v>15</v>
      </c>
      <c r="E28">
        <v>72</v>
      </c>
      <c r="F28" t="s">
        <v>19</v>
      </c>
      <c r="G28">
        <v>3919</v>
      </c>
      <c r="H28">
        <v>4681</v>
      </c>
      <c r="I28">
        <v>22</v>
      </c>
      <c r="J28">
        <v>10</v>
      </c>
      <c r="K28">
        <v>10</v>
      </c>
      <c r="L28">
        <v>2</v>
      </c>
      <c r="M28">
        <v>6</v>
      </c>
      <c r="N28">
        <v>7</v>
      </c>
      <c r="P28">
        <f>G28*I28/100</f>
        <v>862.18</v>
      </c>
      <c r="Q28">
        <f t="shared" si="0"/>
        <v>47028</v>
      </c>
      <c r="R28">
        <f>K28/J28</f>
        <v>1</v>
      </c>
      <c r="S28">
        <v>2020</v>
      </c>
    </row>
    <row r="29" spans="1:19" x14ac:dyDescent="0.3">
      <c r="A29">
        <v>42</v>
      </c>
      <c r="B29">
        <v>691</v>
      </c>
      <c r="C29" t="s">
        <v>14</v>
      </c>
      <c r="D29" t="s">
        <v>18</v>
      </c>
      <c r="E29">
        <v>48</v>
      </c>
      <c r="F29" t="s">
        <v>16</v>
      </c>
      <c r="G29">
        <v>6825</v>
      </c>
      <c r="H29">
        <v>21173</v>
      </c>
      <c r="I29">
        <v>11</v>
      </c>
      <c r="J29">
        <v>10</v>
      </c>
      <c r="K29">
        <v>9</v>
      </c>
      <c r="L29">
        <v>7</v>
      </c>
      <c r="M29">
        <v>4</v>
      </c>
      <c r="N29">
        <v>2</v>
      </c>
      <c r="P29">
        <f>G29*I29/100</f>
        <v>750.75</v>
      </c>
      <c r="Q29">
        <f t="shared" si="0"/>
        <v>81900</v>
      </c>
      <c r="R29">
        <f>K29/J29</f>
        <v>0.9</v>
      </c>
      <c r="S29">
        <v>2020</v>
      </c>
    </row>
    <row r="30" spans="1:19" x14ac:dyDescent="0.3">
      <c r="A30">
        <v>44</v>
      </c>
      <c r="B30">
        <v>477</v>
      </c>
      <c r="C30" t="s">
        <v>17</v>
      </c>
      <c r="D30" t="s">
        <v>15</v>
      </c>
      <c r="E30">
        <v>42</v>
      </c>
      <c r="F30" t="s">
        <v>22</v>
      </c>
      <c r="G30">
        <v>10248</v>
      </c>
      <c r="H30">
        <v>2094</v>
      </c>
      <c r="I30">
        <v>14</v>
      </c>
      <c r="J30">
        <v>24</v>
      </c>
      <c r="K30">
        <v>22</v>
      </c>
      <c r="L30">
        <v>6</v>
      </c>
      <c r="M30">
        <v>5</v>
      </c>
      <c r="N30">
        <v>17</v>
      </c>
      <c r="P30">
        <f>G30*I30/100</f>
        <v>1434.72</v>
      </c>
      <c r="Q30">
        <f t="shared" si="0"/>
        <v>122976</v>
      </c>
      <c r="R30">
        <f>K30/J30</f>
        <v>0.91666666666666663</v>
      </c>
      <c r="S30">
        <v>2020</v>
      </c>
    </row>
    <row r="31" spans="1:19" x14ac:dyDescent="0.3">
      <c r="A31">
        <v>46</v>
      </c>
      <c r="B31">
        <v>705</v>
      </c>
      <c r="C31" t="s">
        <v>14</v>
      </c>
      <c r="D31" t="s">
        <v>15</v>
      </c>
      <c r="E31">
        <v>83</v>
      </c>
      <c r="F31" t="s">
        <v>23</v>
      </c>
      <c r="G31">
        <v>18947</v>
      </c>
      <c r="H31">
        <v>22822</v>
      </c>
      <c r="I31">
        <v>12</v>
      </c>
      <c r="J31">
        <v>22</v>
      </c>
      <c r="K31">
        <v>2</v>
      </c>
      <c r="L31">
        <v>2</v>
      </c>
      <c r="M31">
        <v>2</v>
      </c>
      <c r="N31">
        <v>1</v>
      </c>
      <c r="P31">
        <f>G31*I31/100</f>
        <v>2273.64</v>
      </c>
      <c r="Q31">
        <f t="shared" si="0"/>
        <v>227364</v>
      </c>
      <c r="R31">
        <f>K31/J31</f>
        <v>9.0909090909090912E-2</v>
      </c>
      <c r="S31">
        <v>2020</v>
      </c>
    </row>
    <row r="32" spans="1:19" x14ac:dyDescent="0.3">
      <c r="A32">
        <v>33</v>
      </c>
      <c r="B32">
        <v>924</v>
      </c>
      <c r="C32" t="s">
        <v>17</v>
      </c>
      <c r="D32" t="s">
        <v>18</v>
      </c>
      <c r="E32">
        <v>78</v>
      </c>
      <c r="F32" t="s">
        <v>20</v>
      </c>
      <c r="G32">
        <v>2496</v>
      </c>
      <c r="H32">
        <v>6670</v>
      </c>
      <c r="I32">
        <v>11</v>
      </c>
      <c r="J32">
        <v>7</v>
      </c>
      <c r="K32">
        <v>1</v>
      </c>
      <c r="L32">
        <v>1</v>
      </c>
      <c r="M32">
        <v>0</v>
      </c>
      <c r="N32">
        <v>0</v>
      </c>
      <c r="P32">
        <f>G32*I32/100</f>
        <v>274.56</v>
      </c>
      <c r="Q32">
        <f t="shared" si="0"/>
        <v>29952</v>
      </c>
      <c r="R32">
        <f>K32/J32</f>
        <v>0.14285714285714285</v>
      </c>
      <c r="S32">
        <v>2020</v>
      </c>
    </row>
    <row r="33" spans="1:19" x14ac:dyDescent="0.3">
      <c r="A33">
        <v>44</v>
      </c>
      <c r="B33">
        <v>1459</v>
      </c>
      <c r="C33" t="s">
        <v>17</v>
      </c>
      <c r="D33" t="s">
        <v>18</v>
      </c>
      <c r="E33">
        <v>41</v>
      </c>
      <c r="F33" t="s">
        <v>22</v>
      </c>
      <c r="G33">
        <v>6465</v>
      </c>
      <c r="H33">
        <v>19121</v>
      </c>
      <c r="I33">
        <v>13</v>
      </c>
      <c r="J33">
        <v>9</v>
      </c>
      <c r="K33">
        <v>4</v>
      </c>
      <c r="L33">
        <v>2</v>
      </c>
      <c r="M33">
        <v>1</v>
      </c>
      <c r="N33">
        <v>3</v>
      </c>
      <c r="P33">
        <f>G33*I33/100</f>
        <v>840.45</v>
      </c>
      <c r="Q33">
        <f t="shared" si="0"/>
        <v>77580</v>
      </c>
      <c r="R33">
        <f>K33/J33</f>
        <v>0.44444444444444442</v>
      </c>
      <c r="S33">
        <v>2020</v>
      </c>
    </row>
    <row r="34" spans="1:19" x14ac:dyDescent="0.3">
      <c r="A34">
        <v>30</v>
      </c>
      <c r="B34">
        <v>125</v>
      </c>
      <c r="C34" t="s">
        <v>17</v>
      </c>
      <c r="D34" t="s">
        <v>18</v>
      </c>
      <c r="E34">
        <v>83</v>
      </c>
      <c r="F34" t="s">
        <v>20</v>
      </c>
      <c r="G34">
        <v>2206</v>
      </c>
      <c r="H34">
        <v>16117</v>
      </c>
      <c r="I34">
        <v>13</v>
      </c>
      <c r="J34">
        <v>10</v>
      </c>
      <c r="K34">
        <v>10</v>
      </c>
      <c r="L34">
        <v>0</v>
      </c>
      <c r="M34">
        <v>1</v>
      </c>
      <c r="N34">
        <v>8</v>
      </c>
      <c r="P34">
        <f>G34*I34/100</f>
        <v>286.77999999999997</v>
      </c>
      <c r="Q34">
        <f t="shared" si="0"/>
        <v>26472</v>
      </c>
      <c r="R34">
        <f>K34/J34</f>
        <v>1</v>
      </c>
      <c r="S34">
        <v>2020</v>
      </c>
    </row>
    <row r="35" spans="1:19" x14ac:dyDescent="0.3">
      <c r="A35">
        <v>39</v>
      </c>
      <c r="B35">
        <v>895</v>
      </c>
      <c r="C35" t="s">
        <v>14</v>
      </c>
      <c r="D35" t="s">
        <v>18</v>
      </c>
      <c r="E35">
        <v>56</v>
      </c>
      <c r="F35" t="s">
        <v>24</v>
      </c>
      <c r="G35">
        <v>2086</v>
      </c>
      <c r="H35">
        <v>3335</v>
      </c>
      <c r="I35">
        <v>14</v>
      </c>
      <c r="J35">
        <v>19</v>
      </c>
      <c r="K35">
        <v>1</v>
      </c>
      <c r="L35">
        <v>0</v>
      </c>
      <c r="M35">
        <v>0</v>
      </c>
      <c r="N35">
        <v>0</v>
      </c>
      <c r="P35">
        <f>G35*I35/100</f>
        <v>292.04000000000002</v>
      </c>
      <c r="Q35">
        <f t="shared" si="0"/>
        <v>25032</v>
      </c>
      <c r="R35">
        <f>K35/J35</f>
        <v>5.2631578947368418E-2</v>
      </c>
      <c r="S35">
        <v>2020</v>
      </c>
    </row>
    <row r="36" spans="1:19" x14ac:dyDescent="0.3">
      <c r="A36">
        <v>24</v>
      </c>
      <c r="B36">
        <v>813</v>
      </c>
      <c r="C36" t="s">
        <v>17</v>
      </c>
      <c r="D36" t="s">
        <v>18</v>
      </c>
      <c r="E36">
        <v>61</v>
      </c>
      <c r="F36" t="s">
        <v>19</v>
      </c>
      <c r="G36">
        <v>2293</v>
      </c>
      <c r="H36">
        <v>3020</v>
      </c>
      <c r="I36">
        <v>16</v>
      </c>
      <c r="J36">
        <v>6</v>
      </c>
      <c r="K36">
        <v>2</v>
      </c>
      <c r="L36">
        <v>0</v>
      </c>
      <c r="M36">
        <v>2</v>
      </c>
      <c r="N36">
        <v>0</v>
      </c>
      <c r="P36">
        <f>G36*I36/100</f>
        <v>366.88</v>
      </c>
      <c r="Q36">
        <f t="shared" si="0"/>
        <v>27516</v>
      </c>
      <c r="R36">
        <f>K36/J36</f>
        <v>0.33333333333333331</v>
      </c>
      <c r="S36">
        <v>2020</v>
      </c>
    </row>
    <row r="37" spans="1:19" x14ac:dyDescent="0.3">
      <c r="A37">
        <v>43</v>
      </c>
      <c r="B37">
        <v>1273</v>
      </c>
      <c r="C37" t="s">
        <v>17</v>
      </c>
      <c r="D37" t="s">
        <v>15</v>
      </c>
      <c r="E37">
        <v>72</v>
      </c>
      <c r="F37" t="s">
        <v>19</v>
      </c>
      <c r="G37">
        <v>2645</v>
      </c>
      <c r="H37">
        <v>21923</v>
      </c>
      <c r="I37">
        <v>12</v>
      </c>
      <c r="J37">
        <v>6</v>
      </c>
      <c r="K37">
        <v>5</v>
      </c>
      <c r="L37">
        <v>3</v>
      </c>
      <c r="M37">
        <v>1</v>
      </c>
      <c r="N37">
        <v>4</v>
      </c>
      <c r="P37">
        <f>G37*I37/100</f>
        <v>317.39999999999998</v>
      </c>
      <c r="Q37">
        <f t="shared" si="0"/>
        <v>31740</v>
      </c>
      <c r="R37">
        <f>K37/J37</f>
        <v>0.83333333333333337</v>
      </c>
      <c r="S37">
        <v>2020</v>
      </c>
    </row>
    <row r="38" spans="1:19" x14ac:dyDescent="0.3">
      <c r="A38">
        <v>50</v>
      </c>
      <c r="B38">
        <v>869</v>
      </c>
      <c r="C38" t="s">
        <v>14</v>
      </c>
      <c r="D38" t="s">
        <v>18</v>
      </c>
      <c r="E38">
        <v>86</v>
      </c>
      <c r="F38" t="s">
        <v>24</v>
      </c>
      <c r="G38">
        <v>2683</v>
      </c>
      <c r="H38">
        <v>3810</v>
      </c>
      <c r="I38">
        <v>14</v>
      </c>
      <c r="J38">
        <v>3</v>
      </c>
      <c r="K38">
        <v>3</v>
      </c>
      <c r="L38">
        <v>2</v>
      </c>
      <c r="M38">
        <v>0</v>
      </c>
      <c r="N38">
        <v>2</v>
      </c>
      <c r="P38">
        <f>G38*I38/100</f>
        <v>375.62</v>
      </c>
      <c r="Q38">
        <f t="shared" si="0"/>
        <v>32196</v>
      </c>
      <c r="R38">
        <f>K38/J38</f>
        <v>1</v>
      </c>
      <c r="S38">
        <v>2020</v>
      </c>
    </row>
    <row r="39" spans="1:19" x14ac:dyDescent="0.3">
      <c r="A39">
        <v>35</v>
      </c>
      <c r="B39">
        <v>890</v>
      </c>
      <c r="C39" t="s">
        <v>14</v>
      </c>
      <c r="D39" t="s">
        <v>15</v>
      </c>
      <c r="E39">
        <v>97</v>
      </c>
      <c r="F39" t="s">
        <v>24</v>
      </c>
      <c r="G39">
        <v>2014</v>
      </c>
      <c r="H39">
        <v>9687</v>
      </c>
      <c r="I39">
        <v>13</v>
      </c>
      <c r="J39">
        <v>2</v>
      </c>
      <c r="K39">
        <v>2</v>
      </c>
      <c r="L39">
        <v>2</v>
      </c>
      <c r="M39">
        <v>2</v>
      </c>
      <c r="N39">
        <v>2</v>
      </c>
      <c r="P39">
        <f>G39*I39/100</f>
        <v>261.82</v>
      </c>
      <c r="Q39">
        <f t="shared" si="0"/>
        <v>24168</v>
      </c>
      <c r="R39">
        <f>K39/J39</f>
        <v>1</v>
      </c>
      <c r="S39">
        <v>2020</v>
      </c>
    </row>
    <row r="40" spans="1:19" x14ac:dyDescent="0.3">
      <c r="A40">
        <v>36</v>
      </c>
      <c r="B40">
        <v>852</v>
      </c>
      <c r="C40" t="s">
        <v>17</v>
      </c>
      <c r="D40" t="s">
        <v>15</v>
      </c>
      <c r="E40">
        <v>82</v>
      </c>
      <c r="F40" t="s">
        <v>19</v>
      </c>
      <c r="G40">
        <v>3419</v>
      </c>
      <c r="H40">
        <v>13072</v>
      </c>
      <c r="I40">
        <v>14</v>
      </c>
      <c r="J40">
        <v>6</v>
      </c>
      <c r="K40">
        <v>1</v>
      </c>
      <c r="L40">
        <v>1</v>
      </c>
      <c r="M40">
        <v>0</v>
      </c>
      <c r="N40">
        <v>0</v>
      </c>
      <c r="P40">
        <f>G40*I40/100</f>
        <v>478.66</v>
      </c>
      <c r="Q40">
        <f t="shared" si="0"/>
        <v>41028</v>
      </c>
      <c r="R40">
        <f>K40/J40</f>
        <v>0.16666666666666666</v>
      </c>
      <c r="S40">
        <v>2020</v>
      </c>
    </row>
    <row r="41" spans="1:19" x14ac:dyDescent="0.3">
      <c r="A41">
        <v>33</v>
      </c>
      <c r="B41">
        <v>1141</v>
      </c>
      <c r="C41" t="s">
        <v>14</v>
      </c>
      <c r="D41" t="s">
        <v>15</v>
      </c>
      <c r="E41">
        <v>42</v>
      </c>
      <c r="F41" t="s">
        <v>16</v>
      </c>
      <c r="G41">
        <v>5376</v>
      </c>
      <c r="H41">
        <v>3193</v>
      </c>
      <c r="I41">
        <v>19</v>
      </c>
      <c r="J41">
        <v>10</v>
      </c>
      <c r="K41">
        <v>5</v>
      </c>
      <c r="L41">
        <v>3</v>
      </c>
      <c r="M41">
        <v>1</v>
      </c>
      <c r="N41">
        <v>3</v>
      </c>
      <c r="P41">
        <f>G41*I41/100</f>
        <v>1021.44</v>
      </c>
      <c r="Q41">
        <f t="shared" si="0"/>
        <v>64512</v>
      </c>
      <c r="R41">
        <f>K41/J41</f>
        <v>0.5</v>
      </c>
      <c r="S41">
        <v>2020</v>
      </c>
    </row>
    <row r="42" spans="1:19" x14ac:dyDescent="0.3">
      <c r="A42">
        <v>35</v>
      </c>
      <c r="B42">
        <v>464</v>
      </c>
      <c r="C42" t="s">
        <v>17</v>
      </c>
      <c r="D42" t="s">
        <v>18</v>
      </c>
      <c r="E42">
        <v>75</v>
      </c>
      <c r="F42" t="s">
        <v>20</v>
      </c>
      <c r="G42">
        <v>1951</v>
      </c>
      <c r="H42">
        <v>10910</v>
      </c>
      <c r="I42">
        <v>12</v>
      </c>
      <c r="J42">
        <v>1</v>
      </c>
      <c r="K42">
        <v>1</v>
      </c>
      <c r="L42">
        <v>0</v>
      </c>
      <c r="M42">
        <v>0</v>
      </c>
      <c r="N42">
        <v>0</v>
      </c>
      <c r="P42">
        <f>G42*I42/100</f>
        <v>234.12</v>
      </c>
      <c r="Q42">
        <f t="shared" si="0"/>
        <v>23412</v>
      </c>
      <c r="R42">
        <f>K42/J42</f>
        <v>1</v>
      </c>
      <c r="S42">
        <v>2020</v>
      </c>
    </row>
    <row r="43" spans="1:19" x14ac:dyDescent="0.3">
      <c r="A43">
        <v>27</v>
      </c>
      <c r="B43">
        <v>1240</v>
      </c>
      <c r="C43" t="s">
        <v>17</v>
      </c>
      <c r="D43" t="s">
        <v>15</v>
      </c>
      <c r="E43">
        <v>33</v>
      </c>
      <c r="F43" t="s">
        <v>20</v>
      </c>
      <c r="G43">
        <v>2341</v>
      </c>
      <c r="H43">
        <v>19715</v>
      </c>
      <c r="I43">
        <v>13</v>
      </c>
      <c r="J43">
        <v>1</v>
      </c>
      <c r="K43">
        <v>1</v>
      </c>
      <c r="L43">
        <v>0</v>
      </c>
      <c r="M43">
        <v>0</v>
      </c>
      <c r="N43">
        <v>0</v>
      </c>
      <c r="P43">
        <f>G43*I43/100</f>
        <v>304.33</v>
      </c>
      <c r="Q43">
        <f t="shared" si="0"/>
        <v>28092</v>
      </c>
      <c r="R43">
        <f>K43/J43</f>
        <v>1</v>
      </c>
      <c r="S43">
        <v>2020</v>
      </c>
    </row>
    <row r="44" spans="1:19" x14ac:dyDescent="0.3">
      <c r="A44">
        <v>26</v>
      </c>
      <c r="B44">
        <v>1357</v>
      </c>
      <c r="C44" t="s">
        <v>17</v>
      </c>
      <c r="D44" t="s">
        <v>18</v>
      </c>
      <c r="E44">
        <v>48</v>
      </c>
      <c r="F44" t="s">
        <v>20</v>
      </c>
      <c r="G44">
        <v>2293</v>
      </c>
      <c r="H44">
        <v>10558</v>
      </c>
      <c r="I44">
        <v>12</v>
      </c>
      <c r="J44">
        <v>1</v>
      </c>
      <c r="K44">
        <v>1</v>
      </c>
      <c r="L44">
        <v>0</v>
      </c>
      <c r="M44">
        <v>0</v>
      </c>
      <c r="N44">
        <v>1</v>
      </c>
      <c r="P44">
        <f>G44*I44/100</f>
        <v>275.16000000000003</v>
      </c>
      <c r="Q44">
        <f t="shared" si="0"/>
        <v>27516</v>
      </c>
      <c r="R44">
        <f>K44/J44</f>
        <v>1</v>
      </c>
      <c r="S44">
        <v>2020</v>
      </c>
    </row>
    <row r="45" spans="1:19" x14ac:dyDescent="0.3">
      <c r="A45">
        <v>27</v>
      </c>
      <c r="B45">
        <v>994</v>
      </c>
      <c r="C45" t="s">
        <v>14</v>
      </c>
      <c r="D45" t="s">
        <v>18</v>
      </c>
      <c r="E45">
        <v>37</v>
      </c>
      <c r="F45" t="s">
        <v>16</v>
      </c>
      <c r="G45">
        <v>8726</v>
      </c>
      <c r="H45">
        <v>2975</v>
      </c>
      <c r="I45">
        <v>15</v>
      </c>
      <c r="J45">
        <v>9</v>
      </c>
      <c r="K45">
        <v>9</v>
      </c>
      <c r="L45">
        <v>8</v>
      </c>
      <c r="M45">
        <v>1</v>
      </c>
      <c r="N45">
        <v>7</v>
      </c>
      <c r="P45">
        <f>G45*I45/100</f>
        <v>1308.9000000000001</v>
      </c>
      <c r="Q45">
        <f t="shared" si="0"/>
        <v>104712</v>
      </c>
      <c r="R45">
        <f>K45/J45</f>
        <v>1</v>
      </c>
      <c r="S45">
        <v>2020</v>
      </c>
    </row>
    <row r="46" spans="1:19" x14ac:dyDescent="0.3">
      <c r="A46">
        <v>30</v>
      </c>
      <c r="B46">
        <v>721</v>
      </c>
      <c r="C46" t="s">
        <v>17</v>
      </c>
      <c r="D46" t="s">
        <v>15</v>
      </c>
      <c r="E46">
        <v>58</v>
      </c>
      <c r="F46" t="s">
        <v>20</v>
      </c>
      <c r="G46">
        <v>4011</v>
      </c>
      <c r="H46">
        <v>10781</v>
      </c>
      <c r="I46">
        <v>23</v>
      </c>
      <c r="J46">
        <v>12</v>
      </c>
      <c r="K46">
        <v>12</v>
      </c>
      <c r="L46">
        <v>8</v>
      </c>
      <c r="M46">
        <v>3</v>
      </c>
      <c r="N46">
        <v>7</v>
      </c>
      <c r="P46">
        <f>G46*I46/100</f>
        <v>922.53</v>
      </c>
      <c r="Q46">
        <f t="shared" si="0"/>
        <v>48132</v>
      </c>
      <c r="R46">
        <f>K46/J46</f>
        <v>1</v>
      </c>
      <c r="S46">
        <v>2020</v>
      </c>
    </row>
    <row r="47" spans="1:19" x14ac:dyDescent="0.3">
      <c r="A47">
        <v>41</v>
      </c>
      <c r="B47">
        <v>1360</v>
      </c>
      <c r="C47" t="s">
        <v>17</v>
      </c>
      <c r="D47" t="s">
        <v>15</v>
      </c>
      <c r="E47">
        <v>49</v>
      </c>
      <c r="F47" t="s">
        <v>25</v>
      </c>
      <c r="G47">
        <v>19545</v>
      </c>
      <c r="H47">
        <v>16280</v>
      </c>
      <c r="I47">
        <v>12</v>
      </c>
      <c r="J47">
        <v>23</v>
      </c>
      <c r="K47">
        <v>22</v>
      </c>
      <c r="L47">
        <v>15</v>
      </c>
      <c r="M47">
        <v>15</v>
      </c>
      <c r="N47">
        <v>8</v>
      </c>
      <c r="P47">
        <f>G47*I47/100</f>
        <v>2345.4</v>
      </c>
      <c r="Q47">
        <f t="shared" si="0"/>
        <v>234540</v>
      </c>
      <c r="R47">
        <f>K47/J47</f>
        <v>0.95652173913043481</v>
      </c>
      <c r="S47">
        <v>2020</v>
      </c>
    </row>
    <row r="48" spans="1:19" x14ac:dyDescent="0.3">
      <c r="A48">
        <v>34</v>
      </c>
      <c r="B48">
        <v>1065</v>
      </c>
      <c r="C48" t="s">
        <v>14</v>
      </c>
      <c r="D48" t="s">
        <v>18</v>
      </c>
      <c r="E48">
        <v>72</v>
      </c>
      <c r="F48" t="s">
        <v>16</v>
      </c>
      <c r="G48">
        <v>4568</v>
      </c>
      <c r="H48">
        <v>10034</v>
      </c>
      <c r="I48">
        <v>20</v>
      </c>
      <c r="J48">
        <v>10</v>
      </c>
      <c r="K48">
        <v>9</v>
      </c>
      <c r="L48">
        <v>5</v>
      </c>
      <c r="M48">
        <v>8</v>
      </c>
      <c r="N48">
        <v>7</v>
      </c>
      <c r="P48">
        <f>G48*I48/100</f>
        <v>913.6</v>
      </c>
      <c r="Q48">
        <f t="shared" si="0"/>
        <v>54816</v>
      </c>
      <c r="R48">
        <f>K48/J48</f>
        <v>0.9</v>
      </c>
      <c r="S48">
        <v>2020</v>
      </c>
    </row>
    <row r="49" spans="1:19" x14ac:dyDescent="0.3">
      <c r="A49">
        <v>37</v>
      </c>
      <c r="B49">
        <v>408</v>
      </c>
      <c r="C49" t="s">
        <v>17</v>
      </c>
      <c r="D49" t="s">
        <v>18</v>
      </c>
      <c r="E49">
        <v>73</v>
      </c>
      <c r="F49" t="s">
        <v>19</v>
      </c>
      <c r="G49">
        <v>3022</v>
      </c>
      <c r="H49">
        <v>10227</v>
      </c>
      <c r="I49">
        <v>21</v>
      </c>
      <c r="J49">
        <v>8</v>
      </c>
      <c r="K49">
        <v>1</v>
      </c>
      <c r="L49">
        <v>0</v>
      </c>
      <c r="M49">
        <v>0</v>
      </c>
      <c r="N49">
        <v>0</v>
      </c>
      <c r="P49">
        <f>G49*I49/100</f>
        <v>634.62</v>
      </c>
      <c r="Q49">
        <f t="shared" si="0"/>
        <v>36264</v>
      </c>
      <c r="R49">
        <f>K49/J49</f>
        <v>0.125</v>
      </c>
      <c r="S49">
        <v>2020</v>
      </c>
    </row>
    <row r="50" spans="1:19" x14ac:dyDescent="0.3">
      <c r="A50">
        <v>46</v>
      </c>
      <c r="B50">
        <v>1211</v>
      </c>
      <c r="C50" t="s">
        <v>14</v>
      </c>
      <c r="D50" t="s">
        <v>18</v>
      </c>
      <c r="E50">
        <v>98</v>
      </c>
      <c r="F50" t="s">
        <v>16</v>
      </c>
      <c r="G50">
        <v>5772</v>
      </c>
      <c r="H50">
        <v>20445</v>
      </c>
      <c r="I50">
        <v>21</v>
      </c>
      <c r="J50">
        <v>14</v>
      </c>
      <c r="K50">
        <v>9</v>
      </c>
      <c r="L50">
        <v>6</v>
      </c>
      <c r="M50">
        <v>0</v>
      </c>
      <c r="N50">
        <v>8</v>
      </c>
      <c r="P50">
        <f>G50*I50/100</f>
        <v>1212.1199999999999</v>
      </c>
      <c r="Q50">
        <f t="shared" si="0"/>
        <v>69264</v>
      </c>
      <c r="R50">
        <f>K50/J50</f>
        <v>0.6428571428571429</v>
      </c>
      <c r="S50">
        <v>2020</v>
      </c>
    </row>
    <row r="51" spans="1:19" x14ac:dyDescent="0.3">
      <c r="A51">
        <v>35</v>
      </c>
      <c r="B51">
        <v>1229</v>
      </c>
      <c r="C51" t="s">
        <v>17</v>
      </c>
      <c r="D51" t="s">
        <v>18</v>
      </c>
      <c r="E51">
        <v>36</v>
      </c>
      <c r="F51" t="s">
        <v>20</v>
      </c>
      <c r="G51">
        <v>2269</v>
      </c>
      <c r="H51">
        <v>4892</v>
      </c>
      <c r="I51">
        <v>19</v>
      </c>
      <c r="J51">
        <v>1</v>
      </c>
      <c r="K51">
        <v>1</v>
      </c>
      <c r="L51">
        <v>0</v>
      </c>
      <c r="M51">
        <v>0</v>
      </c>
      <c r="N51">
        <v>1</v>
      </c>
      <c r="P51">
        <f>G51*I51/100</f>
        <v>431.11</v>
      </c>
      <c r="Q51">
        <f t="shared" si="0"/>
        <v>27228</v>
      </c>
      <c r="R51">
        <f>K51/J51</f>
        <v>1</v>
      </c>
      <c r="S51">
        <v>2020</v>
      </c>
    </row>
    <row r="52" spans="1:19" x14ac:dyDescent="0.3">
      <c r="A52">
        <v>48</v>
      </c>
      <c r="B52">
        <v>626</v>
      </c>
      <c r="C52" t="s">
        <v>17</v>
      </c>
      <c r="D52" t="s">
        <v>18</v>
      </c>
      <c r="E52">
        <v>98</v>
      </c>
      <c r="F52" t="s">
        <v>20</v>
      </c>
      <c r="G52">
        <v>5381</v>
      </c>
      <c r="H52">
        <v>19294</v>
      </c>
      <c r="I52">
        <v>13</v>
      </c>
      <c r="J52">
        <v>23</v>
      </c>
      <c r="K52">
        <v>1</v>
      </c>
      <c r="L52">
        <v>0</v>
      </c>
      <c r="M52">
        <v>0</v>
      </c>
      <c r="N52">
        <v>0</v>
      </c>
      <c r="P52">
        <f>G52*I52/100</f>
        <v>699.53</v>
      </c>
      <c r="Q52">
        <f t="shared" si="0"/>
        <v>64572</v>
      </c>
      <c r="R52">
        <f>K52/J52</f>
        <v>4.3478260869565216E-2</v>
      </c>
      <c r="S52">
        <v>2020</v>
      </c>
    </row>
    <row r="53" spans="1:19" x14ac:dyDescent="0.3">
      <c r="A53">
        <v>28</v>
      </c>
      <c r="B53">
        <v>1434</v>
      </c>
      <c r="C53" t="s">
        <v>17</v>
      </c>
      <c r="D53" t="s">
        <v>18</v>
      </c>
      <c r="E53">
        <v>50</v>
      </c>
      <c r="F53" t="s">
        <v>20</v>
      </c>
      <c r="G53">
        <v>3441</v>
      </c>
      <c r="H53">
        <v>11179</v>
      </c>
      <c r="I53">
        <v>13</v>
      </c>
      <c r="J53">
        <v>2</v>
      </c>
      <c r="K53">
        <v>2</v>
      </c>
      <c r="L53">
        <v>2</v>
      </c>
      <c r="M53">
        <v>2</v>
      </c>
      <c r="N53">
        <v>2</v>
      </c>
      <c r="P53">
        <f>G53*I53/100</f>
        <v>447.33</v>
      </c>
      <c r="Q53">
        <f t="shared" si="0"/>
        <v>41292</v>
      </c>
      <c r="R53">
        <f>K53/J53</f>
        <v>1</v>
      </c>
      <c r="S53">
        <v>2020</v>
      </c>
    </row>
    <row r="54" spans="1:19" x14ac:dyDescent="0.3">
      <c r="A54">
        <v>44</v>
      </c>
      <c r="B54">
        <v>1488</v>
      </c>
      <c r="C54" t="s">
        <v>14</v>
      </c>
      <c r="D54" t="s">
        <v>15</v>
      </c>
      <c r="E54">
        <v>75</v>
      </c>
      <c r="F54" t="s">
        <v>16</v>
      </c>
      <c r="G54">
        <v>5454</v>
      </c>
      <c r="H54">
        <v>4009</v>
      </c>
      <c r="I54">
        <v>21</v>
      </c>
      <c r="J54">
        <v>9</v>
      </c>
      <c r="K54">
        <v>4</v>
      </c>
      <c r="L54">
        <v>3</v>
      </c>
      <c r="M54">
        <v>1</v>
      </c>
      <c r="N54">
        <v>3</v>
      </c>
      <c r="P54">
        <f>G54*I54/100</f>
        <v>1145.3399999999999</v>
      </c>
      <c r="Q54">
        <f t="shared" si="0"/>
        <v>65448</v>
      </c>
      <c r="R54">
        <f>K54/J54</f>
        <v>0.44444444444444442</v>
      </c>
      <c r="S54">
        <v>2020</v>
      </c>
    </row>
    <row r="55" spans="1:19" x14ac:dyDescent="0.3">
      <c r="A55">
        <v>35</v>
      </c>
      <c r="B55">
        <v>1097</v>
      </c>
      <c r="C55" t="s">
        <v>17</v>
      </c>
      <c r="D55" t="s">
        <v>18</v>
      </c>
      <c r="E55">
        <v>79</v>
      </c>
      <c r="F55" t="s">
        <v>22</v>
      </c>
      <c r="G55">
        <v>9884</v>
      </c>
      <c r="H55">
        <v>8302</v>
      </c>
      <c r="I55">
        <v>13</v>
      </c>
      <c r="J55">
        <v>10</v>
      </c>
      <c r="K55">
        <v>4</v>
      </c>
      <c r="L55">
        <v>0</v>
      </c>
      <c r="M55">
        <v>2</v>
      </c>
      <c r="N55">
        <v>3</v>
      </c>
      <c r="P55">
        <f>G55*I55/100</f>
        <v>1284.92</v>
      </c>
      <c r="Q55">
        <f t="shared" si="0"/>
        <v>118608</v>
      </c>
      <c r="R55">
        <f>K55/J55</f>
        <v>0.4</v>
      </c>
      <c r="S55">
        <v>2020</v>
      </c>
    </row>
    <row r="56" spans="1:19" x14ac:dyDescent="0.3">
      <c r="A56">
        <v>26</v>
      </c>
      <c r="B56">
        <v>1443</v>
      </c>
      <c r="C56" t="s">
        <v>14</v>
      </c>
      <c r="D56" t="s">
        <v>15</v>
      </c>
      <c r="E56">
        <v>47</v>
      </c>
      <c r="F56" t="s">
        <v>16</v>
      </c>
      <c r="G56">
        <v>4157</v>
      </c>
      <c r="H56">
        <v>21436</v>
      </c>
      <c r="I56">
        <v>19</v>
      </c>
      <c r="J56">
        <v>5</v>
      </c>
      <c r="K56">
        <v>2</v>
      </c>
      <c r="L56">
        <v>2</v>
      </c>
      <c r="M56">
        <v>0</v>
      </c>
      <c r="N56">
        <v>0</v>
      </c>
      <c r="P56">
        <f>G56*I56/100</f>
        <v>789.83</v>
      </c>
      <c r="Q56">
        <f t="shared" si="0"/>
        <v>49884</v>
      </c>
      <c r="R56">
        <f>K56/J56</f>
        <v>0.4</v>
      </c>
      <c r="S56">
        <v>2020</v>
      </c>
    </row>
    <row r="57" spans="1:19" x14ac:dyDescent="0.3">
      <c r="A57">
        <v>33</v>
      </c>
      <c r="B57">
        <v>515</v>
      </c>
      <c r="C57" t="s">
        <v>17</v>
      </c>
      <c r="D57" t="s">
        <v>15</v>
      </c>
      <c r="E57">
        <v>98</v>
      </c>
      <c r="F57" t="s">
        <v>25</v>
      </c>
      <c r="G57">
        <v>13458</v>
      </c>
      <c r="H57">
        <v>15146</v>
      </c>
      <c r="I57">
        <v>12</v>
      </c>
      <c r="J57">
        <v>15</v>
      </c>
      <c r="K57">
        <v>15</v>
      </c>
      <c r="L57">
        <v>14</v>
      </c>
      <c r="M57">
        <v>8</v>
      </c>
      <c r="N57">
        <v>12</v>
      </c>
      <c r="P57">
        <f>G57*I57/100</f>
        <v>1614.96</v>
      </c>
      <c r="Q57">
        <f t="shared" si="0"/>
        <v>161496</v>
      </c>
      <c r="R57">
        <f>K57/J57</f>
        <v>1</v>
      </c>
      <c r="S57">
        <v>2020</v>
      </c>
    </row>
    <row r="58" spans="1:19" x14ac:dyDescent="0.3">
      <c r="A58">
        <v>35</v>
      </c>
      <c r="B58">
        <v>853</v>
      </c>
      <c r="C58" t="s">
        <v>14</v>
      </c>
      <c r="D58" t="s">
        <v>18</v>
      </c>
      <c r="E58">
        <v>71</v>
      </c>
      <c r="F58" t="s">
        <v>16</v>
      </c>
      <c r="G58">
        <v>9069</v>
      </c>
      <c r="H58">
        <v>11031</v>
      </c>
      <c r="I58">
        <v>22</v>
      </c>
      <c r="J58">
        <v>9</v>
      </c>
      <c r="K58">
        <v>9</v>
      </c>
      <c r="L58">
        <v>8</v>
      </c>
      <c r="M58">
        <v>1</v>
      </c>
      <c r="N58">
        <v>8</v>
      </c>
      <c r="P58">
        <f>G58*I58/100</f>
        <v>1995.18</v>
      </c>
      <c r="Q58">
        <f t="shared" si="0"/>
        <v>108828</v>
      </c>
      <c r="R58">
        <f>K58/J58</f>
        <v>1</v>
      </c>
      <c r="S58">
        <v>2020</v>
      </c>
    </row>
    <row r="59" spans="1:19" x14ac:dyDescent="0.3">
      <c r="A59">
        <v>35</v>
      </c>
      <c r="B59">
        <v>1142</v>
      </c>
      <c r="C59" t="s">
        <v>17</v>
      </c>
      <c r="D59" t="s">
        <v>15</v>
      </c>
      <c r="E59">
        <v>30</v>
      </c>
      <c r="F59" t="s">
        <v>20</v>
      </c>
      <c r="G59">
        <v>4014</v>
      </c>
      <c r="H59">
        <v>16002</v>
      </c>
      <c r="I59">
        <v>15</v>
      </c>
      <c r="J59">
        <v>4</v>
      </c>
      <c r="K59">
        <v>2</v>
      </c>
      <c r="L59">
        <v>2</v>
      </c>
      <c r="M59">
        <v>2</v>
      </c>
      <c r="N59">
        <v>2</v>
      </c>
      <c r="P59">
        <f>G59*I59/100</f>
        <v>602.1</v>
      </c>
      <c r="Q59">
        <f t="shared" si="0"/>
        <v>48168</v>
      </c>
      <c r="R59">
        <f>K59/J59</f>
        <v>0.5</v>
      </c>
      <c r="S59">
        <v>2020</v>
      </c>
    </row>
    <row r="60" spans="1:19" x14ac:dyDescent="0.3">
      <c r="A60">
        <v>31</v>
      </c>
      <c r="B60">
        <v>655</v>
      </c>
      <c r="C60" t="s">
        <v>17</v>
      </c>
      <c r="D60" t="s">
        <v>18</v>
      </c>
      <c r="E60">
        <v>48</v>
      </c>
      <c r="F60" t="s">
        <v>20</v>
      </c>
      <c r="G60">
        <v>5915</v>
      </c>
      <c r="H60">
        <v>9528</v>
      </c>
      <c r="I60">
        <v>22</v>
      </c>
      <c r="J60">
        <v>10</v>
      </c>
      <c r="K60">
        <v>7</v>
      </c>
      <c r="L60">
        <v>7</v>
      </c>
      <c r="M60">
        <v>1</v>
      </c>
      <c r="N60">
        <v>7</v>
      </c>
      <c r="P60">
        <f>G60*I60/100</f>
        <v>1301.3</v>
      </c>
      <c r="Q60">
        <f t="shared" si="0"/>
        <v>70980</v>
      </c>
      <c r="R60">
        <f>K60/J60</f>
        <v>0.7</v>
      </c>
      <c r="S60">
        <v>2020</v>
      </c>
    </row>
    <row r="61" spans="1:19" x14ac:dyDescent="0.3">
      <c r="A61">
        <v>37</v>
      </c>
      <c r="B61">
        <v>1115</v>
      </c>
      <c r="C61" t="s">
        <v>17</v>
      </c>
      <c r="D61" t="s">
        <v>18</v>
      </c>
      <c r="E61">
        <v>51</v>
      </c>
      <c r="F61" t="s">
        <v>21</v>
      </c>
      <c r="G61">
        <v>5993</v>
      </c>
      <c r="H61">
        <v>2689</v>
      </c>
      <c r="I61">
        <v>18</v>
      </c>
      <c r="J61">
        <v>7</v>
      </c>
      <c r="K61">
        <v>7</v>
      </c>
      <c r="L61">
        <v>5</v>
      </c>
      <c r="M61">
        <v>0</v>
      </c>
      <c r="N61">
        <v>7</v>
      </c>
      <c r="P61">
        <f>G61*I61/100</f>
        <v>1078.74</v>
      </c>
      <c r="Q61">
        <f t="shared" si="0"/>
        <v>71916</v>
      </c>
      <c r="R61">
        <f>K61/J61</f>
        <v>1</v>
      </c>
      <c r="S61">
        <v>2020</v>
      </c>
    </row>
    <row r="62" spans="1:19" x14ac:dyDescent="0.3">
      <c r="A62">
        <v>32</v>
      </c>
      <c r="B62">
        <v>427</v>
      </c>
      <c r="C62" t="s">
        <v>17</v>
      </c>
      <c r="D62" t="s">
        <v>18</v>
      </c>
      <c r="E62">
        <v>33</v>
      </c>
      <c r="F62" t="s">
        <v>21</v>
      </c>
      <c r="G62">
        <v>6162</v>
      </c>
      <c r="H62">
        <v>10877</v>
      </c>
      <c r="I62">
        <v>22</v>
      </c>
      <c r="J62">
        <v>9</v>
      </c>
      <c r="K62">
        <v>9</v>
      </c>
      <c r="L62">
        <v>8</v>
      </c>
      <c r="M62">
        <v>7</v>
      </c>
      <c r="N62">
        <v>8</v>
      </c>
      <c r="P62">
        <f>G62*I62/100</f>
        <v>1355.64</v>
      </c>
      <c r="Q62">
        <f t="shared" si="0"/>
        <v>73944</v>
      </c>
      <c r="R62">
        <f>K62/J62</f>
        <v>1</v>
      </c>
      <c r="S62">
        <v>2020</v>
      </c>
    </row>
    <row r="63" spans="1:19" x14ac:dyDescent="0.3">
      <c r="A63">
        <v>38</v>
      </c>
      <c r="B63">
        <v>653</v>
      </c>
      <c r="C63" t="s">
        <v>17</v>
      </c>
      <c r="D63" t="s">
        <v>15</v>
      </c>
      <c r="E63">
        <v>50</v>
      </c>
      <c r="F63" t="s">
        <v>20</v>
      </c>
      <c r="G63">
        <v>2406</v>
      </c>
      <c r="H63">
        <v>5456</v>
      </c>
      <c r="I63">
        <v>11</v>
      </c>
      <c r="J63">
        <v>10</v>
      </c>
      <c r="K63">
        <v>10</v>
      </c>
      <c r="L63">
        <v>3</v>
      </c>
      <c r="M63">
        <v>9</v>
      </c>
      <c r="N63">
        <v>9</v>
      </c>
      <c r="P63">
        <f>G63*I63/100</f>
        <v>264.66000000000003</v>
      </c>
      <c r="Q63">
        <f t="shared" si="0"/>
        <v>28872</v>
      </c>
      <c r="R63">
        <f>K63/J63</f>
        <v>1</v>
      </c>
      <c r="S63">
        <v>2020</v>
      </c>
    </row>
    <row r="64" spans="1:19" x14ac:dyDescent="0.3">
      <c r="A64">
        <v>50</v>
      </c>
      <c r="B64">
        <v>989</v>
      </c>
      <c r="C64" t="s">
        <v>17</v>
      </c>
      <c r="D64" t="s">
        <v>15</v>
      </c>
      <c r="E64">
        <v>43</v>
      </c>
      <c r="F64" t="s">
        <v>25</v>
      </c>
      <c r="G64">
        <v>18740</v>
      </c>
      <c r="H64">
        <v>16701</v>
      </c>
      <c r="I64">
        <v>12</v>
      </c>
      <c r="J64">
        <v>29</v>
      </c>
      <c r="K64">
        <v>27</v>
      </c>
      <c r="L64">
        <v>3</v>
      </c>
      <c r="M64">
        <v>13</v>
      </c>
      <c r="N64">
        <v>8</v>
      </c>
      <c r="P64">
        <f>G64*I64/100</f>
        <v>2248.8000000000002</v>
      </c>
      <c r="Q64">
        <f t="shared" si="0"/>
        <v>224880</v>
      </c>
      <c r="R64">
        <f>K64/J64</f>
        <v>0.93103448275862066</v>
      </c>
      <c r="S64">
        <v>2020</v>
      </c>
    </row>
    <row r="65" spans="1:19" x14ac:dyDescent="0.3">
      <c r="A65">
        <v>59</v>
      </c>
      <c r="B65">
        <v>1435</v>
      </c>
      <c r="C65" t="s">
        <v>14</v>
      </c>
      <c r="D65" t="s">
        <v>15</v>
      </c>
      <c r="E65">
        <v>99</v>
      </c>
      <c r="F65" t="s">
        <v>16</v>
      </c>
      <c r="G65">
        <v>7637</v>
      </c>
      <c r="H65">
        <v>2354</v>
      </c>
      <c r="I65">
        <v>11</v>
      </c>
      <c r="J65">
        <v>28</v>
      </c>
      <c r="K65">
        <v>21</v>
      </c>
      <c r="L65">
        <v>16</v>
      </c>
      <c r="M65">
        <v>7</v>
      </c>
      <c r="N65">
        <v>9</v>
      </c>
      <c r="P65">
        <f>G65*I65/100</f>
        <v>840.07</v>
      </c>
      <c r="Q65">
        <f t="shared" si="0"/>
        <v>91644</v>
      </c>
      <c r="R65">
        <f>K65/J65</f>
        <v>0.75</v>
      </c>
      <c r="S65">
        <v>2020</v>
      </c>
    </row>
    <row r="66" spans="1:19" x14ac:dyDescent="0.3">
      <c r="A66">
        <v>36</v>
      </c>
      <c r="B66">
        <v>1223</v>
      </c>
      <c r="C66" t="s">
        <v>17</v>
      </c>
      <c r="D66" t="s">
        <v>15</v>
      </c>
      <c r="E66">
        <v>59</v>
      </c>
      <c r="F66" t="s">
        <v>22</v>
      </c>
      <c r="G66">
        <v>10096</v>
      </c>
      <c r="H66">
        <v>8202</v>
      </c>
      <c r="I66">
        <v>13</v>
      </c>
      <c r="J66">
        <v>17</v>
      </c>
      <c r="K66">
        <v>17</v>
      </c>
      <c r="L66">
        <v>14</v>
      </c>
      <c r="M66">
        <v>12</v>
      </c>
      <c r="N66">
        <v>8</v>
      </c>
      <c r="P66">
        <f>G66*I66/100</f>
        <v>1312.48</v>
      </c>
      <c r="Q66">
        <f t="shared" si="0"/>
        <v>121152</v>
      </c>
      <c r="R66">
        <f>K66/J66</f>
        <v>1</v>
      </c>
      <c r="S66">
        <v>2020</v>
      </c>
    </row>
    <row r="67" spans="1:19" x14ac:dyDescent="0.3">
      <c r="A67">
        <v>55</v>
      </c>
      <c r="B67">
        <v>836</v>
      </c>
      <c r="C67" t="s">
        <v>17</v>
      </c>
      <c r="D67" t="s">
        <v>15</v>
      </c>
      <c r="E67">
        <v>33</v>
      </c>
      <c r="F67" t="s">
        <v>23</v>
      </c>
      <c r="G67">
        <v>14756</v>
      </c>
      <c r="H67">
        <v>19730</v>
      </c>
      <c r="I67">
        <v>14</v>
      </c>
      <c r="J67">
        <v>21</v>
      </c>
      <c r="K67">
        <v>5</v>
      </c>
      <c r="L67">
        <v>0</v>
      </c>
      <c r="M67">
        <v>0</v>
      </c>
      <c r="N67">
        <v>2</v>
      </c>
      <c r="P67">
        <f>G67*I67/100</f>
        <v>2065.84</v>
      </c>
      <c r="Q67">
        <f t="shared" ref="Q67:Q130" si="1">G67*12</f>
        <v>177072</v>
      </c>
      <c r="R67">
        <f>K67/J67</f>
        <v>0.23809523809523808</v>
      </c>
      <c r="S67">
        <v>2020</v>
      </c>
    </row>
    <row r="68" spans="1:19" x14ac:dyDescent="0.3">
      <c r="A68">
        <v>36</v>
      </c>
      <c r="B68">
        <v>1195</v>
      </c>
      <c r="C68" t="s">
        <v>17</v>
      </c>
      <c r="D68" t="s">
        <v>18</v>
      </c>
      <c r="E68">
        <v>95</v>
      </c>
      <c r="F68" t="s">
        <v>21</v>
      </c>
      <c r="G68">
        <v>6499</v>
      </c>
      <c r="H68">
        <v>22656</v>
      </c>
      <c r="I68">
        <v>13</v>
      </c>
      <c r="J68">
        <v>6</v>
      </c>
      <c r="K68">
        <v>6</v>
      </c>
      <c r="L68">
        <v>5</v>
      </c>
      <c r="M68">
        <v>0</v>
      </c>
      <c r="N68">
        <v>3</v>
      </c>
      <c r="P68">
        <f>G68*I68/100</f>
        <v>844.87</v>
      </c>
      <c r="Q68">
        <f t="shared" si="1"/>
        <v>77988</v>
      </c>
      <c r="R68">
        <f>K68/J68</f>
        <v>1</v>
      </c>
      <c r="S68">
        <v>2020</v>
      </c>
    </row>
    <row r="69" spans="1:19" x14ac:dyDescent="0.3">
      <c r="A69">
        <v>45</v>
      </c>
      <c r="B69">
        <v>1339</v>
      </c>
      <c r="C69" t="s">
        <v>17</v>
      </c>
      <c r="D69" t="s">
        <v>18</v>
      </c>
      <c r="E69">
        <v>59</v>
      </c>
      <c r="F69" t="s">
        <v>19</v>
      </c>
      <c r="G69">
        <v>9724</v>
      </c>
      <c r="H69">
        <v>18787</v>
      </c>
      <c r="I69">
        <v>17</v>
      </c>
      <c r="J69">
        <v>25</v>
      </c>
      <c r="K69">
        <v>1</v>
      </c>
      <c r="L69">
        <v>0</v>
      </c>
      <c r="M69">
        <v>0</v>
      </c>
      <c r="N69">
        <v>0</v>
      </c>
      <c r="P69">
        <f>G69*I69/100</f>
        <v>1653.08</v>
      </c>
      <c r="Q69">
        <f t="shared" si="1"/>
        <v>116688</v>
      </c>
      <c r="R69">
        <f>K69/J69</f>
        <v>0.04</v>
      </c>
      <c r="S69">
        <v>2020</v>
      </c>
    </row>
    <row r="70" spans="1:19" x14ac:dyDescent="0.3">
      <c r="A70">
        <v>35</v>
      </c>
      <c r="B70">
        <v>664</v>
      </c>
      <c r="C70" t="s">
        <v>17</v>
      </c>
      <c r="D70" t="s">
        <v>18</v>
      </c>
      <c r="E70">
        <v>79</v>
      </c>
      <c r="F70" t="s">
        <v>19</v>
      </c>
      <c r="G70">
        <v>2194</v>
      </c>
      <c r="H70">
        <v>5868</v>
      </c>
      <c r="I70">
        <v>13</v>
      </c>
      <c r="J70">
        <v>5</v>
      </c>
      <c r="K70">
        <v>3</v>
      </c>
      <c r="L70">
        <v>2</v>
      </c>
      <c r="M70">
        <v>1</v>
      </c>
      <c r="N70">
        <v>2</v>
      </c>
      <c r="P70">
        <f>G70*I70/100</f>
        <v>285.22000000000003</v>
      </c>
      <c r="Q70">
        <f t="shared" si="1"/>
        <v>26328</v>
      </c>
      <c r="R70">
        <f>K70/J70</f>
        <v>0.6</v>
      </c>
      <c r="S70">
        <v>2020</v>
      </c>
    </row>
    <row r="71" spans="1:19" x14ac:dyDescent="0.3">
      <c r="A71">
        <v>36</v>
      </c>
      <c r="B71">
        <v>318</v>
      </c>
      <c r="C71" t="s">
        <v>17</v>
      </c>
      <c r="D71" t="s">
        <v>18</v>
      </c>
      <c r="E71">
        <v>79</v>
      </c>
      <c r="F71" t="s">
        <v>19</v>
      </c>
      <c r="G71">
        <v>3388</v>
      </c>
      <c r="H71">
        <v>21777</v>
      </c>
      <c r="I71">
        <v>17</v>
      </c>
      <c r="J71">
        <v>2</v>
      </c>
      <c r="K71">
        <v>1</v>
      </c>
      <c r="L71">
        <v>0</v>
      </c>
      <c r="M71">
        <v>0</v>
      </c>
      <c r="N71">
        <v>0</v>
      </c>
      <c r="P71">
        <f>G71*I71/100</f>
        <v>575.96</v>
      </c>
      <c r="Q71">
        <f t="shared" si="1"/>
        <v>40656</v>
      </c>
      <c r="R71">
        <f>K71/J71</f>
        <v>0.5</v>
      </c>
      <c r="S71">
        <v>2020</v>
      </c>
    </row>
    <row r="72" spans="1:19" x14ac:dyDescent="0.3">
      <c r="A72">
        <v>59</v>
      </c>
      <c r="B72">
        <v>1225</v>
      </c>
      <c r="C72" t="s">
        <v>14</v>
      </c>
      <c r="D72" t="s">
        <v>15</v>
      </c>
      <c r="E72">
        <v>57</v>
      </c>
      <c r="F72" t="s">
        <v>16</v>
      </c>
      <c r="G72">
        <v>5473</v>
      </c>
      <c r="H72">
        <v>24668</v>
      </c>
      <c r="I72">
        <v>11</v>
      </c>
      <c r="J72">
        <v>20</v>
      </c>
      <c r="K72">
        <v>4</v>
      </c>
      <c r="L72">
        <v>3</v>
      </c>
      <c r="M72">
        <v>1</v>
      </c>
      <c r="N72">
        <v>3</v>
      </c>
      <c r="P72">
        <f>G72*I72/100</f>
        <v>602.03</v>
      </c>
      <c r="Q72">
        <f t="shared" si="1"/>
        <v>65676</v>
      </c>
      <c r="R72">
        <f>K72/J72</f>
        <v>0.2</v>
      </c>
      <c r="S72">
        <v>2020</v>
      </c>
    </row>
    <row r="73" spans="1:19" x14ac:dyDescent="0.3">
      <c r="A73">
        <v>29</v>
      </c>
      <c r="B73">
        <v>1328</v>
      </c>
      <c r="C73" t="s">
        <v>17</v>
      </c>
      <c r="D73" t="s">
        <v>18</v>
      </c>
      <c r="E73">
        <v>76</v>
      </c>
      <c r="F73" t="s">
        <v>19</v>
      </c>
      <c r="G73">
        <v>2703</v>
      </c>
      <c r="H73">
        <v>4956</v>
      </c>
      <c r="I73">
        <v>23</v>
      </c>
      <c r="J73">
        <v>6</v>
      </c>
      <c r="K73">
        <v>5</v>
      </c>
      <c r="L73">
        <v>4</v>
      </c>
      <c r="M73">
        <v>0</v>
      </c>
      <c r="N73">
        <v>4</v>
      </c>
      <c r="P73">
        <f>G73*I73/100</f>
        <v>621.69000000000005</v>
      </c>
      <c r="Q73">
        <f t="shared" si="1"/>
        <v>32436</v>
      </c>
      <c r="R73">
        <f>K73/J73</f>
        <v>0.83333333333333337</v>
      </c>
      <c r="S73">
        <v>2020</v>
      </c>
    </row>
    <row r="74" spans="1:19" x14ac:dyDescent="0.3">
      <c r="A74">
        <v>31</v>
      </c>
      <c r="B74">
        <v>1082</v>
      </c>
      <c r="C74" t="s">
        <v>17</v>
      </c>
      <c r="D74" t="s">
        <v>18</v>
      </c>
      <c r="E74">
        <v>87</v>
      </c>
      <c r="F74" t="s">
        <v>19</v>
      </c>
      <c r="G74">
        <v>2501</v>
      </c>
      <c r="H74">
        <v>18775</v>
      </c>
      <c r="I74">
        <v>17</v>
      </c>
      <c r="J74">
        <v>1</v>
      </c>
      <c r="K74">
        <v>1</v>
      </c>
      <c r="L74">
        <v>1</v>
      </c>
      <c r="M74">
        <v>1</v>
      </c>
      <c r="N74">
        <v>0</v>
      </c>
      <c r="P74">
        <f>G74*I74/100</f>
        <v>425.17</v>
      </c>
      <c r="Q74">
        <f t="shared" si="1"/>
        <v>30012</v>
      </c>
      <c r="R74">
        <f>K74/J74</f>
        <v>1</v>
      </c>
      <c r="S74">
        <v>2020</v>
      </c>
    </row>
    <row r="75" spans="1:19" x14ac:dyDescent="0.3">
      <c r="A75">
        <v>32</v>
      </c>
      <c r="B75">
        <v>548</v>
      </c>
      <c r="C75" t="s">
        <v>17</v>
      </c>
      <c r="D75" t="s">
        <v>18</v>
      </c>
      <c r="E75">
        <v>66</v>
      </c>
      <c r="F75" t="s">
        <v>19</v>
      </c>
      <c r="G75">
        <v>6220</v>
      </c>
      <c r="H75">
        <v>7346</v>
      </c>
      <c r="I75">
        <v>17</v>
      </c>
      <c r="J75">
        <v>10</v>
      </c>
      <c r="K75">
        <v>10</v>
      </c>
      <c r="L75">
        <v>4</v>
      </c>
      <c r="M75">
        <v>0</v>
      </c>
      <c r="N75">
        <v>9</v>
      </c>
      <c r="P75">
        <f>G75*I75/100</f>
        <v>1057.4000000000001</v>
      </c>
      <c r="Q75">
        <f t="shared" si="1"/>
        <v>74640</v>
      </c>
      <c r="R75">
        <f>K75/J75</f>
        <v>1</v>
      </c>
      <c r="S75">
        <v>2020</v>
      </c>
    </row>
    <row r="76" spans="1:19" x14ac:dyDescent="0.3">
      <c r="A76">
        <v>36</v>
      </c>
      <c r="B76">
        <v>132</v>
      </c>
      <c r="C76" t="s">
        <v>17</v>
      </c>
      <c r="D76" t="s">
        <v>15</v>
      </c>
      <c r="E76">
        <v>55</v>
      </c>
      <c r="F76" t="s">
        <v>20</v>
      </c>
      <c r="G76">
        <v>3038</v>
      </c>
      <c r="H76">
        <v>22002</v>
      </c>
      <c r="I76">
        <v>12</v>
      </c>
      <c r="J76">
        <v>5</v>
      </c>
      <c r="K76">
        <v>1</v>
      </c>
      <c r="L76">
        <v>0</v>
      </c>
      <c r="M76">
        <v>0</v>
      </c>
      <c r="N76">
        <v>0</v>
      </c>
      <c r="P76">
        <f>G76*I76/100</f>
        <v>364.56</v>
      </c>
      <c r="Q76">
        <f t="shared" si="1"/>
        <v>36456</v>
      </c>
      <c r="R76">
        <f>K76/J76</f>
        <v>0.2</v>
      </c>
      <c r="S76">
        <v>2020</v>
      </c>
    </row>
    <row r="77" spans="1:19" x14ac:dyDescent="0.3">
      <c r="A77">
        <v>31</v>
      </c>
      <c r="B77">
        <v>746</v>
      </c>
      <c r="C77" t="s">
        <v>17</v>
      </c>
      <c r="D77" t="s">
        <v>15</v>
      </c>
      <c r="E77">
        <v>61</v>
      </c>
      <c r="F77" t="s">
        <v>21</v>
      </c>
      <c r="G77">
        <v>4424</v>
      </c>
      <c r="H77">
        <v>20682</v>
      </c>
      <c r="I77">
        <v>23</v>
      </c>
      <c r="J77">
        <v>11</v>
      </c>
      <c r="K77">
        <v>11</v>
      </c>
      <c r="L77">
        <v>7</v>
      </c>
      <c r="M77">
        <v>1</v>
      </c>
      <c r="N77">
        <v>8</v>
      </c>
      <c r="P77">
        <f>G77*I77/100</f>
        <v>1017.52</v>
      </c>
      <c r="Q77">
        <f t="shared" si="1"/>
        <v>53088</v>
      </c>
      <c r="R77">
        <f>K77/J77</f>
        <v>1</v>
      </c>
      <c r="S77">
        <v>2020</v>
      </c>
    </row>
    <row r="78" spans="1:19" x14ac:dyDescent="0.3">
      <c r="A78">
        <v>35</v>
      </c>
      <c r="B78">
        <v>776</v>
      </c>
      <c r="C78" t="s">
        <v>14</v>
      </c>
      <c r="D78" t="s">
        <v>18</v>
      </c>
      <c r="E78">
        <v>32</v>
      </c>
      <c r="F78" t="s">
        <v>16</v>
      </c>
      <c r="G78">
        <v>4312</v>
      </c>
      <c r="H78">
        <v>23016</v>
      </c>
      <c r="I78">
        <v>14</v>
      </c>
      <c r="J78">
        <v>16</v>
      </c>
      <c r="K78">
        <v>15</v>
      </c>
      <c r="L78">
        <v>13</v>
      </c>
      <c r="M78">
        <v>2</v>
      </c>
      <c r="N78">
        <v>8</v>
      </c>
      <c r="P78">
        <f>G78*I78/100</f>
        <v>603.67999999999995</v>
      </c>
      <c r="Q78">
        <f t="shared" si="1"/>
        <v>51744</v>
      </c>
      <c r="R78">
        <f>K78/J78</f>
        <v>0.9375</v>
      </c>
      <c r="S78">
        <v>2020</v>
      </c>
    </row>
    <row r="79" spans="1:19" x14ac:dyDescent="0.3">
      <c r="A79">
        <v>45</v>
      </c>
      <c r="B79">
        <v>193</v>
      </c>
      <c r="C79" t="s">
        <v>17</v>
      </c>
      <c r="D79" t="s">
        <v>18</v>
      </c>
      <c r="E79">
        <v>52</v>
      </c>
      <c r="F79" t="s">
        <v>25</v>
      </c>
      <c r="G79">
        <v>13245</v>
      </c>
      <c r="H79">
        <v>15067</v>
      </c>
      <c r="I79">
        <v>14</v>
      </c>
      <c r="J79">
        <v>17</v>
      </c>
      <c r="K79">
        <v>0</v>
      </c>
      <c r="L79">
        <v>0</v>
      </c>
      <c r="M79">
        <v>0</v>
      </c>
      <c r="N79">
        <v>0</v>
      </c>
      <c r="P79">
        <f>G79*I79/100</f>
        <v>1854.3</v>
      </c>
      <c r="Q79">
        <f t="shared" si="1"/>
        <v>158940</v>
      </c>
      <c r="R79">
        <f>K79/J79</f>
        <v>0</v>
      </c>
      <c r="S79">
        <v>2020</v>
      </c>
    </row>
    <row r="80" spans="1:19" x14ac:dyDescent="0.3">
      <c r="A80">
        <v>37</v>
      </c>
      <c r="B80">
        <v>397</v>
      </c>
      <c r="C80" t="s">
        <v>17</v>
      </c>
      <c r="D80" t="s">
        <v>18</v>
      </c>
      <c r="E80">
        <v>30</v>
      </c>
      <c r="F80" t="s">
        <v>25</v>
      </c>
      <c r="G80">
        <v>13664</v>
      </c>
      <c r="H80">
        <v>25258</v>
      </c>
      <c r="I80">
        <v>13</v>
      </c>
      <c r="J80">
        <v>16</v>
      </c>
      <c r="K80">
        <v>5</v>
      </c>
      <c r="L80">
        <v>2</v>
      </c>
      <c r="M80">
        <v>0</v>
      </c>
      <c r="N80">
        <v>2</v>
      </c>
      <c r="P80">
        <f>G80*I80/100</f>
        <v>1776.32</v>
      </c>
      <c r="Q80">
        <f t="shared" si="1"/>
        <v>163968</v>
      </c>
      <c r="R80">
        <f>K80/J80</f>
        <v>0.3125</v>
      </c>
      <c r="S80">
        <v>2020</v>
      </c>
    </row>
    <row r="81" spans="1:19" x14ac:dyDescent="0.3">
      <c r="A81">
        <v>46</v>
      </c>
      <c r="B81">
        <v>945</v>
      </c>
      <c r="C81" t="s">
        <v>26</v>
      </c>
      <c r="D81" t="s">
        <v>18</v>
      </c>
      <c r="E81">
        <v>80</v>
      </c>
      <c r="F81" t="s">
        <v>26</v>
      </c>
      <c r="G81">
        <v>5021</v>
      </c>
      <c r="H81">
        <v>10425</v>
      </c>
      <c r="I81">
        <v>22</v>
      </c>
      <c r="J81">
        <v>16</v>
      </c>
      <c r="K81">
        <v>4</v>
      </c>
      <c r="L81">
        <v>2</v>
      </c>
      <c r="M81">
        <v>0</v>
      </c>
      <c r="N81">
        <v>2</v>
      </c>
      <c r="P81">
        <f>G81*I81/100</f>
        <v>1104.6199999999999</v>
      </c>
      <c r="Q81">
        <f t="shared" si="1"/>
        <v>60252</v>
      </c>
      <c r="R81">
        <f>K81/J81</f>
        <v>0.25</v>
      </c>
      <c r="S81">
        <v>2020</v>
      </c>
    </row>
    <row r="82" spans="1:19" x14ac:dyDescent="0.3">
      <c r="A82">
        <v>30</v>
      </c>
      <c r="B82">
        <v>852</v>
      </c>
      <c r="C82" t="s">
        <v>17</v>
      </c>
      <c r="D82" t="s">
        <v>18</v>
      </c>
      <c r="E82">
        <v>55</v>
      </c>
      <c r="F82" t="s">
        <v>20</v>
      </c>
      <c r="G82">
        <v>5126</v>
      </c>
      <c r="H82">
        <v>15998</v>
      </c>
      <c r="I82">
        <v>12</v>
      </c>
      <c r="J82">
        <v>10</v>
      </c>
      <c r="K82">
        <v>10</v>
      </c>
      <c r="L82">
        <v>8</v>
      </c>
      <c r="M82">
        <v>3</v>
      </c>
      <c r="N82">
        <v>0</v>
      </c>
      <c r="P82">
        <f>G82*I82/100</f>
        <v>615.12</v>
      </c>
      <c r="Q82">
        <f t="shared" si="1"/>
        <v>61512</v>
      </c>
      <c r="R82">
        <f>K82/J82</f>
        <v>1</v>
      </c>
      <c r="S82">
        <v>2020</v>
      </c>
    </row>
    <row r="83" spans="1:19" x14ac:dyDescent="0.3">
      <c r="A83">
        <v>35</v>
      </c>
      <c r="B83">
        <v>1214</v>
      </c>
      <c r="C83" t="s">
        <v>17</v>
      </c>
      <c r="D83" t="s">
        <v>18</v>
      </c>
      <c r="E83">
        <v>30</v>
      </c>
      <c r="F83" t="s">
        <v>19</v>
      </c>
      <c r="G83">
        <v>2859</v>
      </c>
      <c r="H83">
        <v>26278</v>
      </c>
      <c r="I83">
        <v>18</v>
      </c>
      <c r="J83">
        <v>6</v>
      </c>
      <c r="K83">
        <v>6</v>
      </c>
      <c r="L83">
        <v>4</v>
      </c>
      <c r="M83">
        <v>0</v>
      </c>
      <c r="N83">
        <v>4</v>
      </c>
      <c r="P83">
        <f>G83*I83/100</f>
        <v>514.62</v>
      </c>
      <c r="Q83">
        <f t="shared" si="1"/>
        <v>34308</v>
      </c>
      <c r="R83">
        <f>K83/J83</f>
        <v>1</v>
      </c>
      <c r="S83">
        <v>2020</v>
      </c>
    </row>
    <row r="84" spans="1:19" x14ac:dyDescent="0.3">
      <c r="A84">
        <v>55</v>
      </c>
      <c r="B84">
        <v>111</v>
      </c>
      <c r="C84" t="s">
        <v>14</v>
      </c>
      <c r="D84" t="s">
        <v>18</v>
      </c>
      <c r="E84">
        <v>70</v>
      </c>
      <c r="F84" t="s">
        <v>16</v>
      </c>
      <c r="G84">
        <v>10239</v>
      </c>
      <c r="H84">
        <v>18092</v>
      </c>
      <c r="I84">
        <v>14</v>
      </c>
      <c r="J84">
        <v>24</v>
      </c>
      <c r="K84">
        <v>1</v>
      </c>
      <c r="L84">
        <v>0</v>
      </c>
      <c r="M84">
        <v>1</v>
      </c>
      <c r="N84">
        <v>0</v>
      </c>
      <c r="P84">
        <f>G84*I84/100</f>
        <v>1433.46</v>
      </c>
      <c r="Q84">
        <f t="shared" si="1"/>
        <v>122868</v>
      </c>
      <c r="R84">
        <f>K84/J84</f>
        <v>4.1666666666666664E-2</v>
      </c>
      <c r="S84">
        <v>2020</v>
      </c>
    </row>
    <row r="85" spans="1:19" x14ac:dyDescent="0.3">
      <c r="A85">
        <v>38</v>
      </c>
      <c r="B85">
        <v>573</v>
      </c>
      <c r="C85" t="s">
        <v>17</v>
      </c>
      <c r="D85" t="s">
        <v>15</v>
      </c>
      <c r="E85">
        <v>79</v>
      </c>
      <c r="F85" t="s">
        <v>19</v>
      </c>
      <c r="G85">
        <v>5329</v>
      </c>
      <c r="H85">
        <v>15717</v>
      </c>
      <c r="I85">
        <v>12</v>
      </c>
      <c r="J85">
        <v>17</v>
      </c>
      <c r="K85">
        <v>13</v>
      </c>
      <c r="L85">
        <v>11</v>
      </c>
      <c r="M85">
        <v>1</v>
      </c>
      <c r="N85">
        <v>9</v>
      </c>
      <c r="P85">
        <f>G85*I85/100</f>
        <v>639.48</v>
      </c>
      <c r="Q85">
        <f t="shared" si="1"/>
        <v>63948</v>
      </c>
      <c r="R85">
        <f>K85/J85</f>
        <v>0.76470588235294112</v>
      </c>
      <c r="S85">
        <v>2020</v>
      </c>
    </row>
    <row r="86" spans="1:19" x14ac:dyDescent="0.3">
      <c r="A86">
        <v>34</v>
      </c>
      <c r="B86">
        <v>1153</v>
      </c>
      <c r="C86" t="s">
        <v>17</v>
      </c>
      <c r="D86" t="s">
        <v>18</v>
      </c>
      <c r="E86">
        <v>94</v>
      </c>
      <c r="F86" t="s">
        <v>21</v>
      </c>
      <c r="G86">
        <v>4325</v>
      </c>
      <c r="H86">
        <v>17736</v>
      </c>
      <c r="I86">
        <v>15</v>
      </c>
      <c r="J86">
        <v>5</v>
      </c>
      <c r="K86">
        <v>5</v>
      </c>
      <c r="L86">
        <v>2</v>
      </c>
      <c r="M86">
        <v>1</v>
      </c>
      <c r="N86">
        <v>3</v>
      </c>
      <c r="P86">
        <f>G86*I86/100</f>
        <v>648.75</v>
      </c>
      <c r="Q86">
        <f t="shared" si="1"/>
        <v>51900</v>
      </c>
      <c r="R86">
        <f>K86/J86</f>
        <v>1</v>
      </c>
      <c r="S86">
        <v>2020</v>
      </c>
    </row>
    <row r="87" spans="1:19" x14ac:dyDescent="0.3">
      <c r="A87">
        <v>56</v>
      </c>
      <c r="B87">
        <v>1400</v>
      </c>
      <c r="C87" t="s">
        <v>17</v>
      </c>
      <c r="D87" t="s">
        <v>18</v>
      </c>
      <c r="E87">
        <v>49</v>
      </c>
      <c r="F87" t="s">
        <v>21</v>
      </c>
      <c r="G87">
        <v>7260</v>
      </c>
      <c r="H87">
        <v>21698</v>
      </c>
      <c r="I87">
        <v>11</v>
      </c>
      <c r="J87">
        <v>37</v>
      </c>
      <c r="K87">
        <v>6</v>
      </c>
      <c r="L87">
        <v>4</v>
      </c>
      <c r="M87">
        <v>0</v>
      </c>
      <c r="N87">
        <v>2</v>
      </c>
      <c r="P87">
        <f>G87*I87/100</f>
        <v>798.6</v>
      </c>
      <c r="Q87">
        <f t="shared" si="1"/>
        <v>87120</v>
      </c>
      <c r="R87">
        <f>K87/J87</f>
        <v>0.16216216216216217</v>
      </c>
      <c r="S87">
        <v>2020</v>
      </c>
    </row>
    <row r="88" spans="1:19" x14ac:dyDescent="0.3">
      <c r="A88">
        <v>23</v>
      </c>
      <c r="B88">
        <v>541</v>
      </c>
      <c r="C88" t="s">
        <v>14</v>
      </c>
      <c r="D88" t="s">
        <v>18</v>
      </c>
      <c r="E88">
        <v>62</v>
      </c>
      <c r="F88" t="s">
        <v>24</v>
      </c>
      <c r="G88">
        <v>2322</v>
      </c>
      <c r="H88">
        <v>9518</v>
      </c>
      <c r="I88">
        <v>13</v>
      </c>
      <c r="J88">
        <v>3</v>
      </c>
      <c r="K88">
        <v>0</v>
      </c>
      <c r="L88">
        <v>0</v>
      </c>
      <c r="M88">
        <v>0</v>
      </c>
      <c r="N88">
        <v>0</v>
      </c>
      <c r="P88">
        <f>G88*I88/100</f>
        <v>301.86</v>
      </c>
      <c r="Q88">
        <f t="shared" si="1"/>
        <v>27864</v>
      </c>
      <c r="R88">
        <f>K88/J88</f>
        <v>0</v>
      </c>
      <c r="S88">
        <v>2020</v>
      </c>
    </row>
    <row r="89" spans="1:19" x14ac:dyDescent="0.3">
      <c r="A89">
        <v>51</v>
      </c>
      <c r="B89">
        <v>432</v>
      </c>
      <c r="C89" t="s">
        <v>17</v>
      </c>
      <c r="D89" t="s">
        <v>18</v>
      </c>
      <c r="E89">
        <v>96</v>
      </c>
      <c r="F89" t="s">
        <v>20</v>
      </c>
      <c r="G89">
        <v>2075</v>
      </c>
      <c r="H89">
        <v>18725</v>
      </c>
      <c r="I89">
        <v>23</v>
      </c>
      <c r="J89">
        <v>10</v>
      </c>
      <c r="K89">
        <v>4</v>
      </c>
      <c r="L89">
        <v>2</v>
      </c>
      <c r="M89">
        <v>0</v>
      </c>
      <c r="N89">
        <v>3</v>
      </c>
      <c r="P89">
        <f>G89*I89/100</f>
        <v>477.25</v>
      </c>
      <c r="Q89">
        <f t="shared" si="1"/>
        <v>24900</v>
      </c>
      <c r="R89">
        <f>K89/J89</f>
        <v>0.4</v>
      </c>
      <c r="S89">
        <v>2020</v>
      </c>
    </row>
    <row r="90" spans="1:19" x14ac:dyDescent="0.3">
      <c r="A90">
        <v>30</v>
      </c>
      <c r="B90">
        <v>288</v>
      </c>
      <c r="C90" t="s">
        <v>17</v>
      </c>
      <c r="D90" t="s">
        <v>18</v>
      </c>
      <c r="E90">
        <v>99</v>
      </c>
      <c r="F90" t="s">
        <v>22</v>
      </c>
      <c r="G90">
        <v>4152</v>
      </c>
      <c r="H90">
        <v>15830</v>
      </c>
      <c r="I90">
        <v>19</v>
      </c>
      <c r="J90">
        <v>11</v>
      </c>
      <c r="K90">
        <v>11</v>
      </c>
      <c r="L90">
        <v>10</v>
      </c>
      <c r="M90">
        <v>10</v>
      </c>
      <c r="N90">
        <v>8</v>
      </c>
      <c r="P90">
        <f>G90*I90/100</f>
        <v>788.88</v>
      </c>
      <c r="Q90">
        <f t="shared" si="1"/>
        <v>49824</v>
      </c>
      <c r="R90">
        <f>K90/J90</f>
        <v>1</v>
      </c>
      <c r="S90">
        <v>2020</v>
      </c>
    </row>
    <row r="91" spans="1:19" x14ac:dyDescent="0.3">
      <c r="A91">
        <v>46</v>
      </c>
      <c r="B91">
        <v>669</v>
      </c>
      <c r="C91" t="s">
        <v>14</v>
      </c>
      <c r="D91" t="s">
        <v>18</v>
      </c>
      <c r="E91">
        <v>64</v>
      </c>
      <c r="F91" t="s">
        <v>16</v>
      </c>
      <c r="G91">
        <v>9619</v>
      </c>
      <c r="H91">
        <v>13596</v>
      </c>
      <c r="I91">
        <v>16</v>
      </c>
      <c r="J91">
        <v>9</v>
      </c>
      <c r="K91">
        <v>9</v>
      </c>
      <c r="L91">
        <v>8</v>
      </c>
      <c r="M91">
        <v>4</v>
      </c>
      <c r="N91">
        <v>7</v>
      </c>
      <c r="P91">
        <f>G91*I91/100</f>
        <v>1539.04</v>
      </c>
      <c r="Q91">
        <f t="shared" si="1"/>
        <v>115428</v>
      </c>
      <c r="R91">
        <f>K91/J91</f>
        <v>1</v>
      </c>
      <c r="S91">
        <v>2020</v>
      </c>
    </row>
    <row r="92" spans="1:19" x14ac:dyDescent="0.3">
      <c r="A92">
        <v>40</v>
      </c>
      <c r="B92">
        <v>530</v>
      </c>
      <c r="C92" t="s">
        <v>17</v>
      </c>
      <c r="D92" t="s">
        <v>18</v>
      </c>
      <c r="E92">
        <v>78</v>
      </c>
      <c r="F92" t="s">
        <v>22</v>
      </c>
      <c r="G92">
        <v>13503</v>
      </c>
      <c r="H92">
        <v>14115</v>
      </c>
      <c r="I92">
        <v>22</v>
      </c>
      <c r="J92">
        <v>22</v>
      </c>
      <c r="K92">
        <v>22</v>
      </c>
      <c r="L92">
        <v>3</v>
      </c>
      <c r="M92">
        <v>11</v>
      </c>
      <c r="N92">
        <v>11</v>
      </c>
      <c r="P92">
        <f>G92*I92/100</f>
        <v>2970.66</v>
      </c>
      <c r="Q92">
        <f t="shared" si="1"/>
        <v>162036</v>
      </c>
      <c r="R92">
        <f>K92/J92</f>
        <v>1</v>
      </c>
      <c r="S92">
        <v>2020</v>
      </c>
    </row>
    <row r="93" spans="1:19" x14ac:dyDescent="0.3">
      <c r="A93">
        <v>51</v>
      </c>
      <c r="B93">
        <v>632</v>
      </c>
      <c r="C93" t="s">
        <v>14</v>
      </c>
      <c r="D93" t="s">
        <v>18</v>
      </c>
      <c r="E93">
        <v>71</v>
      </c>
      <c r="F93" t="s">
        <v>16</v>
      </c>
      <c r="G93">
        <v>5441</v>
      </c>
      <c r="H93">
        <v>8423</v>
      </c>
      <c r="I93">
        <v>22</v>
      </c>
      <c r="J93">
        <v>11</v>
      </c>
      <c r="K93">
        <v>10</v>
      </c>
      <c r="L93">
        <v>7</v>
      </c>
      <c r="M93">
        <v>1</v>
      </c>
      <c r="N93">
        <v>0</v>
      </c>
      <c r="P93">
        <f>G93*I93/100</f>
        <v>1197.02</v>
      </c>
      <c r="Q93">
        <f t="shared" si="1"/>
        <v>65292</v>
      </c>
      <c r="R93">
        <f>K93/J93</f>
        <v>0.90909090909090906</v>
      </c>
      <c r="S93">
        <v>2020</v>
      </c>
    </row>
    <row r="94" spans="1:19" x14ac:dyDescent="0.3">
      <c r="A94">
        <v>30</v>
      </c>
      <c r="B94">
        <v>1334</v>
      </c>
      <c r="C94" t="s">
        <v>14</v>
      </c>
      <c r="D94" t="s">
        <v>15</v>
      </c>
      <c r="E94">
        <v>63</v>
      </c>
      <c r="F94" t="s">
        <v>16</v>
      </c>
      <c r="G94">
        <v>5209</v>
      </c>
      <c r="H94">
        <v>19760</v>
      </c>
      <c r="I94">
        <v>12</v>
      </c>
      <c r="J94">
        <v>11</v>
      </c>
      <c r="K94">
        <v>11</v>
      </c>
      <c r="L94">
        <v>8</v>
      </c>
      <c r="M94">
        <v>2</v>
      </c>
      <c r="N94">
        <v>7</v>
      </c>
      <c r="P94">
        <f>G94*I94/100</f>
        <v>625.08000000000004</v>
      </c>
      <c r="Q94">
        <f t="shared" si="1"/>
        <v>62508</v>
      </c>
      <c r="R94">
        <f>K94/J94</f>
        <v>1</v>
      </c>
      <c r="S94">
        <v>2020</v>
      </c>
    </row>
    <row r="95" spans="1:19" x14ac:dyDescent="0.3">
      <c r="A95">
        <v>46</v>
      </c>
      <c r="B95">
        <v>638</v>
      </c>
      <c r="C95" t="s">
        <v>17</v>
      </c>
      <c r="D95" t="s">
        <v>18</v>
      </c>
      <c r="E95">
        <v>40</v>
      </c>
      <c r="F95" t="s">
        <v>22</v>
      </c>
      <c r="G95">
        <v>10673</v>
      </c>
      <c r="H95">
        <v>3142</v>
      </c>
      <c r="I95">
        <v>13</v>
      </c>
      <c r="J95">
        <v>21</v>
      </c>
      <c r="K95">
        <v>10</v>
      </c>
      <c r="L95">
        <v>9</v>
      </c>
      <c r="M95">
        <v>9</v>
      </c>
      <c r="N95">
        <v>5</v>
      </c>
      <c r="P95">
        <f>G95*I95/100</f>
        <v>1387.49</v>
      </c>
      <c r="Q95">
        <f t="shared" si="1"/>
        <v>128076</v>
      </c>
      <c r="R95">
        <f>K95/J95</f>
        <v>0.47619047619047616</v>
      </c>
      <c r="S95">
        <v>2020</v>
      </c>
    </row>
    <row r="96" spans="1:19" x14ac:dyDescent="0.3">
      <c r="A96">
        <v>32</v>
      </c>
      <c r="B96">
        <v>1093</v>
      </c>
      <c r="C96" t="s">
        <v>14</v>
      </c>
      <c r="D96" t="s">
        <v>18</v>
      </c>
      <c r="E96">
        <v>87</v>
      </c>
      <c r="F96" t="s">
        <v>16</v>
      </c>
      <c r="G96">
        <v>5010</v>
      </c>
      <c r="H96">
        <v>24301</v>
      </c>
      <c r="I96">
        <v>16</v>
      </c>
      <c r="J96">
        <v>12</v>
      </c>
      <c r="K96">
        <v>11</v>
      </c>
      <c r="L96">
        <v>8</v>
      </c>
      <c r="M96">
        <v>5</v>
      </c>
      <c r="N96">
        <v>7</v>
      </c>
      <c r="P96">
        <f>G96*I96/100</f>
        <v>801.6</v>
      </c>
      <c r="Q96">
        <f t="shared" si="1"/>
        <v>60120</v>
      </c>
      <c r="R96">
        <f>K96/J96</f>
        <v>0.91666666666666663</v>
      </c>
      <c r="S96">
        <v>2020</v>
      </c>
    </row>
    <row r="97" spans="1:19" x14ac:dyDescent="0.3">
      <c r="A97">
        <v>54</v>
      </c>
      <c r="B97">
        <v>1217</v>
      </c>
      <c r="C97" t="s">
        <v>17</v>
      </c>
      <c r="D97" t="s">
        <v>15</v>
      </c>
      <c r="E97">
        <v>60</v>
      </c>
      <c r="F97" t="s">
        <v>25</v>
      </c>
      <c r="G97">
        <v>13549</v>
      </c>
      <c r="H97">
        <v>24001</v>
      </c>
      <c r="I97">
        <v>12</v>
      </c>
      <c r="J97">
        <v>16</v>
      </c>
      <c r="K97">
        <v>4</v>
      </c>
      <c r="L97">
        <v>3</v>
      </c>
      <c r="M97">
        <v>0</v>
      </c>
      <c r="N97">
        <v>3</v>
      </c>
      <c r="P97">
        <f>G97*I97/100</f>
        <v>1625.88</v>
      </c>
      <c r="Q97">
        <f t="shared" si="1"/>
        <v>162588</v>
      </c>
      <c r="R97">
        <f>K97/J97</f>
        <v>0.25</v>
      </c>
      <c r="S97">
        <v>2020</v>
      </c>
    </row>
    <row r="98" spans="1:19" x14ac:dyDescent="0.3">
      <c r="A98">
        <v>24</v>
      </c>
      <c r="B98">
        <v>1353</v>
      </c>
      <c r="C98" t="s">
        <v>14</v>
      </c>
      <c r="D98" t="s">
        <v>15</v>
      </c>
      <c r="E98">
        <v>33</v>
      </c>
      <c r="F98" t="s">
        <v>16</v>
      </c>
      <c r="G98">
        <v>4999</v>
      </c>
      <c r="H98">
        <v>17519</v>
      </c>
      <c r="I98">
        <v>21</v>
      </c>
      <c r="J98">
        <v>4</v>
      </c>
      <c r="K98">
        <v>3</v>
      </c>
      <c r="L98">
        <v>2</v>
      </c>
      <c r="M98">
        <v>0</v>
      </c>
      <c r="N98">
        <v>2</v>
      </c>
      <c r="P98">
        <f>G98*I98/100</f>
        <v>1049.79</v>
      </c>
      <c r="Q98">
        <f t="shared" si="1"/>
        <v>59988</v>
      </c>
      <c r="R98">
        <f>K98/J98</f>
        <v>0.75</v>
      </c>
      <c r="S98">
        <v>2020</v>
      </c>
    </row>
    <row r="99" spans="1:19" x14ac:dyDescent="0.3">
      <c r="A99">
        <v>28</v>
      </c>
      <c r="B99">
        <v>120</v>
      </c>
      <c r="C99" t="s">
        <v>14</v>
      </c>
      <c r="D99" t="s">
        <v>18</v>
      </c>
      <c r="E99">
        <v>43</v>
      </c>
      <c r="F99" t="s">
        <v>16</v>
      </c>
      <c r="G99">
        <v>4221</v>
      </c>
      <c r="H99">
        <v>8863</v>
      </c>
      <c r="I99">
        <v>15</v>
      </c>
      <c r="J99">
        <v>5</v>
      </c>
      <c r="K99">
        <v>5</v>
      </c>
      <c r="L99">
        <v>4</v>
      </c>
      <c r="M99">
        <v>0</v>
      </c>
      <c r="N99">
        <v>4</v>
      </c>
      <c r="P99">
        <f>G99*I99/100</f>
        <v>633.15</v>
      </c>
      <c r="Q99">
        <f t="shared" si="1"/>
        <v>50652</v>
      </c>
      <c r="R99">
        <f>K99/J99</f>
        <v>1</v>
      </c>
      <c r="S99">
        <v>2020</v>
      </c>
    </row>
    <row r="100" spans="1:19" x14ac:dyDescent="0.3">
      <c r="A100">
        <v>58</v>
      </c>
      <c r="B100">
        <v>682</v>
      </c>
      <c r="C100" t="s">
        <v>14</v>
      </c>
      <c r="D100" t="s">
        <v>18</v>
      </c>
      <c r="E100">
        <v>37</v>
      </c>
      <c r="F100" t="s">
        <v>16</v>
      </c>
      <c r="G100">
        <v>13872</v>
      </c>
      <c r="H100">
        <v>24409</v>
      </c>
      <c r="I100">
        <v>13</v>
      </c>
      <c r="J100">
        <v>38</v>
      </c>
      <c r="K100">
        <v>37</v>
      </c>
      <c r="L100">
        <v>10</v>
      </c>
      <c r="M100">
        <v>1</v>
      </c>
      <c r="N100">
        <v>8</v>
      </c>
      <c r="P100">
        <f>G100*I100/100</f>
        <v>1803.36</v>
      </c>
      <c r="Q100">
        <f t="shared" si="1"/>
        <v>166464</v>
      </c>
      <c r="R100">
        <f>K100/J100</f>
        <v>0.97368421052631582</v>
      </c>
      <c r="S100">
        <v>2020</v>
      </c>
    </row>
    <row r="101" spans="1:19" x14ac:dyDescent="0.3">
      <c r="A101">
        <v>44</v>
      </c>
      <c r="B101">
        <v>489</v>
      </c>
      <c r="C101" t="s">
        <v>17</v>
      </c>
      <c r="D101" t="s">
        <v>18</v>
      </c>
      <c r="E101">
        <v>67</v>
      </c>
      <c r="F101" t="s">
        <v>20</v>
      </c>
      <c r="G101">
        <v>2042</v>
      </c>
      <c r="H101">
        <v>25043</v>
      </c>
      <c r="I101">
        <v>12</v>
      </c>
      <c r="J101">
        <v>17</v>
      </c>
      <c r="K101">
        <v>3</v>
      </c>
      <c r="L101">
        <v>2</v>
      </c>
      <c r="M101">
        <v>1</v>
      </c>
      <c r="N101">
        <v>2</v>
      </c>
      <c r="P101">
        <f>G101*I101/100</f>
        <v>245.04</v>
      </c>
      <c r="Q101">
        <f t="shared" si="1"/>
        <v>24504</v>
      </c>
      <c r="R101">
        <f>K101/J101</f>
        <v>0.17647058823529413</v>
      </c>
      <c r="S101">
        <v>2020</v>
      </c>
    </row>
    <row r="102" spans="1:19" x14ac:dyDescent="0.3">
      <c r="A102">
        <v>37</v>
      </c>
      <c r="B102">
        <v>807</v>
      </c>
      <c r="C102" t="s">
        <v>26</v>
      </c>
      <c r="D102" t="s">
        <v>18</v>
      </c>
      <c r="E102">
        <v>63</v>
      </c>
      <c r="F102" t="s">
        <v>26</v>
      </c>
      <c r="G102">
        <v>2073</v>
      </c>
      <c r="H102">
        <v>23648</v>
      </c>
      <c r="I102">
        <v>22</v>
      </c>
      <c r="J102">
        <v>7</v>
      </c>
      <c r="K102">
        <v>3</v>
      </c>
      <c r="L102">
        <v>2</v>
      </c>
      <c r="M102">
        <v>0</v>
      </c>
      <c r="N102">
        <v>2</v>
      </c>
      <c r="P102">
        <f>G102*I102/100</f>
        <v>456.06</v>
      </c>
      <c r="Q102">
        <f t="shared" si="1"/>
        <v>24876</v>
      </c>
      <c r="R102">
        <f>K102/J102</f>
        <v>0.42857142857142855</v>
      </c>
      <c r="S102">
        <v>2020</v>
      </c>
    </row>
    <row r="103" spans="1:19" x14ac:dyDescent="0.3">
      <c r="A103">
        <v>32</v>
      </c>
      <c r="B103">
        <v>827</v>
      </c>
      <c r="C103" t="s">
        <v>17</v>
      </c>
      <c r="D103" t="s">
        <v>18</v>
      </c>
      <c r="E103">
        <v>71</v>
      </c>
      <c r="F103" t="s">
        <v>19</v>
      </c>
      <c r="G103">
        <v>2956</v>
      </c>
      <c r="H103">
        <v>15178</v>
      </c>
      <c r="I103">
        <v>13</v>
      </c>
      <c r="J103">
        <v>1</v>
      </c>
      <c r="K103">
        <v>1</v>
      </c>
      <c r="L103">
        <v>0</v>
      </c>
      <c r="M103">
        <v>0</v>
      </c>
      <c r="N103">
        <v>0</v>
      </c>
      <c r="P103">
        <f>G103*I103/100</f>
        <v>384.28</v>
      </c>
      <c r="Q103">
        <f t="shared" si="1"/>
        <v>35472</v>
      </c>
      <c r="R103">
        <f>K103/J103</f>
        <v>1</v>
      </c>
      <c r="S103">
        <v>2020</v>
      </c>
    </row>
    <row r="104" spans="1:19" x14ac:dyDescent="0.3">
      <c r="A104">
        <v>20</v>
      </c>
      <c r="B104">
        <v>871</v>
      </c>
      <c r="C104" t="s">
        <v>17</v>
      </c>
      <c r="D104" t="s">
        <v>15</v>
      </c>
      <c r="E104">
        <v>66</v>
      </c>
      <c r="F104" t="s">
        <v>20</v>
      </c>
      <c r="G104">
        <v>2926</v>
      </c>
      <c r="H104">
        <v>19783</v>
      </c>
      <c r="I104">
        <v>18</v>
      </c>
      <c r="J104">
        <v>1</v>
      </c>
      <c r="K104">
        <v>1</v>
      </c>
      <c r="L104">
        <v>0</v>
      </c>
      <c r="M104">
        <v>1</v>
      </c>
      <c r="N104">
        <v>0</v>
      </c>
      <c r="P104">
        <f>G104*I104/100</f>
        <v>526.67999999999995</v>
      </c>
      <c r="Q104">
        <f t="shared" si="1"/>
        <v>35112</v>
      </c>
      <c r="R104">
        <f>K104/J104</f>
        <v>1</v>
      </c>
      <c r="S104">
        <v>2020</v>
      </c>
    </row>
    <row r="105" spans="1:19" x14ac:dyDescent="0.3">
      <c r="A105">
        <v>34</v>
      </c>
      <c r="B105">
        <v>665</v>
      </c>
      <c r="C105" t="s">
        <v>17</v>
      </c>
      <c r="D105" t="s">
        <v>15</v>
      </c>
      <c r="E105">
        <v>41</v>
      </c>
      <c r="F105" t="s">
        <v>19</v>
      </c>
      <c r="G105">
        <v>4809</v>
      </c>
      <c r="H105">
        <v>12482</v>
      </c>
      <c r="I105">
        <v>14</v>
      </c>
      <c r="J105">
        <v>16</v>
      </c>
      <c r="K105">
        <v>16</v>
      </c>
      <c r="L105">
        <v>13</v>
      </c>
      <c r="M105">
        <v>2</v>
      </c>
      <c r="N105">
        <v>10</v>
      </c>
      <c r="P105">
        <f>G105*I105/100</f>
        <v>673.26</v>
      </c>
      <c r="Q105">
        <f t="shared" si="1"/>
        <v>57708</v>
      </c>
      <c r="R105">
        <f>K105/J105</f>
        <v>1</v>
      </c>
      <c r="S105">
        <v>2020</v>
      </c>
    </row>
    <row r="106" spans="1:19" x14ac:dyDescent="0.3">
      <c r="A106">
        <v>37</v>
      </c>
      <c r="B106">
        <v>1040</v>
      </c>
      <c r="C106" t="s">
        <v>17</v>
      </c>
      <c r="D106" t="s">
        <v>18</v>
      </c>
      <c r="E106">
        <v>100</v>
      </c>
      <c r="F106" t="s">
        <v>22</v>
      </c>
      <c r="G106">
        <v>5163</v>
      </c>
      <c r="H106">
        <v>15850</v>
      </c>
      <c r="I106">
        <v>14</v>
      </c>
      <c r="J106">
        <v>17</v>
      </c>
      <c r="K106">
        <v>1</v>
      </c>
      <c r="L106">
        <v>0</v>
      </c>
      <c r="M106">
        <v>0</v>
      </c>
      <c r="N106">
        <v>0</v>
      </c>
      <c r="P106">
        <f>G106*I106/100</f>
        <v>722.82</v>
      </c>
      <c r="Q106">
        <f t="shared" si="1"/>
        <v>61956</v>
      </c>
      <c r="R106">
        <f>K106/J106</f>
        <v>5.8823529411764705E-2</v>
      </c>
      <c r="S106">
        <v>2020</v>
      </c>
    </row>
    <row r="107" spans="1:19" x14ac:dyDescent="0.3">
      <c r="A107">
        <v>59</v>
      </c>
      <c r="B107">
        <v>1420</v>
      </c>
      <c r="C107" t="s">
        <v>26</v>
      </c>
      <c r="D107" t="s">
        <v>15</v>
      </c>
      <c r="E107">
        <v>32</v>
      </c>
      <c r="F107" t="s">
        <v>23</v>
      </c>
      <c r="G107">
        <v>18844</v>
      </c>
      <c r="H107">
        <v>21922</v>
      </c>
      <c r="I107">
        <v>21</v>
      </c>
      <c r="J107">
        <v>30</v>
      </c>
      <c r="K107">
        <v>3</v>
      </c>
      <c r="L107">
        <v>2</v>
      </c>
      <c r="M107">
        <v>2</v>
      </c>
      <c r="N107">
        <v>2</v>
      </c>
      <c r="P107">
        <f>G107*I107/100</f>
        <v>3957.24</v>
      </c>
      <c r="Q107">
        <f t="shared" si="1"/>
        <v>226128</v>
      </c>
      <c r="R107">
        <f>K107/J107</f>
        <v>0.1</v>
      </c>
      <c r="S107">
        <v>2020</v>
      </c>
    </row>
    <row r="108" spans="1:19" x14ac:dyDescent="0.3">
      <c r="A108">
        <v>50</v>
      </c>
      <c r="B108">
        <v>1115</v>
      </c>
      <c r="C108" t="s">
        <v>17</v>
      </c>
      <c r="D108" t="s">
        <v>15</v>
      </c>
      <c r="E108">
        <v>73</v>
      </c>
      <c r="F108" t="s">
        <v>25</v>
      </c>
      <c r="G108">
        <v>18172</v>
      </c>
      <c r="H108">
        <v>9755</v>
      </c>
      <c r="I108">
        <v>19</v>
      </c>
      <c r="J108">
        <v>28</v>
      </c>
      <c r="K108">
        <v>8</v>
      </c>
      <c r="L108">
        <v>3</v>
      </c>
      <c r="M108">
        <v>0</v>
      </c>
      <c r="N108">
        <v>7</v>
      </c>
      <c r="P108">
        <f>G108*I108/100</f>
        <v>3452.68</v>
      </c>
      <c r="Q108">
        <f t="shared" si="1"/>
        <v>218064</v>
      </c>
      <c r="R108">
        <f>K108/J108</f>
        <v>0.2857142857142857</v>
      </c>
      <c r="S108">
        <v>2020</v>
      </c>
    </row>
    <row r="109" spans="1:19" x14ac:dyDescent="0.3">
      <c r="A109">
        <v>25</v>
      </c>
      <c r="B109">
        <v>240</v>
      </c>
      <c r="C109" t="s">
        <v>14</v>
      </c>
      <c r="D109" t="s">
        <v>18</v>
      </c>
      <c r="E109">
        <v>46</v>
      </c>
      <c r="F109" t="s">
        <v>16</v>
      </c>
      <c r="G109">
        <v>5744</v>
      </c>
      <c r="H109">
        <v>26959</v>
      </c>
      <c r="I109">
        <v>11</v>
      </c>
      <c r="J109">
        <v>6</v>
      </c>
      <c r="K109">
        <v>6</v>
      </c>
      <c r="L109">
        <v>4</v>
      </c>
      <c r="M109">
        <v>0</v>
      </c>
      <c r="N109">
        <v>3</v>
      </c>
      <c r="P109">
        <f>G109*I109/100</f>
        <v>631.84</v>
      </c>
      <c r="Q109">
        <f t="shared" si="1"/>
        <v>68928</v>
      </c>
      <c r="R109">
        <f>K109/J109</f>
        <v>1</v>
      </c>
      <c r="S109">
        <v>2020</v>
      </c>
    </row>
    <row r="110" spans="1:19" x14ac:dyDescent="0.3">
      <c r="A110">
        <v>25</v>
      </c>
      <c r="B110">
        <v>1280</v>
      </c>
      <c r="C110" t="s">
        <v>17</v>
      </c>
      <c r="D110" t="s">
        <v>18</v>
      </c>
      <c r="E110">
        <v>64</v>
      </c>
      <c r="F110" t="s">
        <v>19</v>
      </c>
      <c r="G110">
        <v>2889</v>
      </c>
      <c r="H110">
        <v>26897</v>
      </c>
      <c r="I110">
        <v>11</v>
      </c>
      <c r="J110">
        <v>2</v>
      </c>
      <c r="K110">
        <v>2</v>
      </c>
      <c r="L110">
        <v>2</v>
      </c>
      <c r="M110">
        <v>2</v>
      </c>
      <c r="N110">
        <v>1</v>
      </c>
      <c r="P110">
        <f>G110*I110/100</f>
        <v>317.79000000000002</v>
      </c>
      <c r="Q110">
        <f t="shared" si="1"/>
        <v>34668</v>
      </c>
      <c r="R110">
        <f>K110/J110</f>
        <v>1</v>
      </c>
      <c r="S110">
        <v>2020</v>
      </c>
    </row>
    <row r="111" spans="1:19" x14ac:dyDescent="0.3">
      <c r="A111">
        <v>22</v>
      </c>
      <c r="B111">
        <v>534</v>
      </c>
      <c r="C111" t="s">
        <v>17</v>
      </c>
      <c r="D111" t="s">
        <v>15</v>
      </c>
      <c r="E111">
        <v>59</v>
      </c>
      <c r="F111" t="s">
        <v>20</v>
      </c>
      <c r="G111">
        <v>2871</v>
      </c>
      <c r="H111">
        <v>23785</v>
      </c>
      <c r="I111">
        <v>15</v>
      </c>
      <c r="J111">
        <v>1</v>
      </c>
      <c r="K111">
        <v>0</v>
      </c>
      <c r="L111">
        <v>0</v>
      </c>
      <c r="M111">
        <v>0</v>
      </c>
      <c r="N111">
        <v>0</v>
      </c>
      <c r="P111">
        <f>G111*I111/100</f>
        <v>430.65</v>
      </c>
      <c r="Q111">
        <f t="shared" si="1"/>
        <v>34452</v>
      </c>
      <c r="R111">
        <f>K111/J111</f>
        <v>0</v>
      </c>
      <c r="S111">
        <v>2020</v>
      </c>
    </row>
    <row r="112" spans="1:19" x14ac:dyDescent="0.3">
      <c r="A112">
        <v>51</v>
      </c>
      <c r="B112">
        <v>1456</v>
      </c>
      <c r="C112" t="s">
        <v>17</v>
      </c>
      <c r="D112" t="s">
        <v>15</v>
      </c>
      <c r="E112">
        <v>30</v>
      </c>
      <c r="F112" t="s">
        <v>22</v>
      </c>
      <c r="G112">
        <v>7484</v>
      </c>
      <c r="H112">
        <v>25796</v>
      </c>
      <c r="I112">
        <v>20</v>
      </c>
      <c r="J112">
        <v>23</v>
      </c>
      <c r="K112">
        <v>13</v>
      </c>
      <c r="L112">
        <v>12</v>
      </c>
      <c r="M112">
        <v>12</v>
      </c>
      <c r="N112">
        <v>8</v>
      </c>
      <c r="P112">
        <f>G112*I112/100</f>
        <v>1496.8</v>
      </c>
      <c r="Q112">
        <f t="shared" si="1"/>
        <v>89808</v>
      </c>
      <c r="R112">
        <f>K112/J112</f>
        <v>0.56521739130434778</v>
      </c>
      <c r="S112">
        <v>2020</v>
      </c>
    </row>
    <row r="113" spans="1:19" x14ac:dyDescent="0.3">
      <c r="A113">
        <v>34</v>
      </c>
      <c r="B113">
        <v>658</v>
      </c>
      <c r="C113" t="s">
        <v>17</v>
      </c>
      <c r="D113" t="s">
        <v>18</v>
      </c>
      <c r="E113">
        <v>66</v>
      </c>
      <c r="F113" t="s">
        <v>20</v>
      </c>
      <c r="G113">
        <v>6074</v>
      </c>
      <c r="H113">
        <v>22887</v>
      </c>
      <c r="I113">
        <v>24</v>
      </c>
      <c r="J113">
        <v>9</v>
      </c>
      <c r="K113">
        <v>9</v>
      </c>
      <c r="L113">
        <v>7</v>
      </c>
      <c r="M113">
        <v>0</v>
      </c>
      <c r="N113">
        <v>6</v>
      </c>
      <c r="P113">
        <f>G113*I113/100</f>
        <v>1457.76</v>
      </c>
      <c r="Q113">
        <f t="shared" si="1"/>
        <v>72888</v>
      </c>
      <c r="R113">
        <f>K113/J113</f>
        <v>1</v>
      </c>
      <c r="S113">
        <v>2020</v>
      </c>
    </row>
    <row r="114" spans="1:19" x14ac:dyDescent="0.3">
      <c r="A114">
        <v>54</v>
      </c>
      <c r="B114">
        <v>142</v>
      </c>
      <c r="C114" t="s">
        <v>26</v>
      </c>
      <c r="D114" t="s">
        <v>15</v>
      </c>
      <c r="E114">
        <v>30</v>
      </c>
      <c r="F114" t="s">
        <v>23</v>
      </c>
      <c r="G114">
        <v>17328</v>
      </c>
      <c r="H114">
        <v>13871</v>
      </c>
      <c r="I114">
        <v>12</v>
      </c>
      <c r="J114">
        <v>23</v>
      </c>
      <c r="K114">
        <v>5</v>
      </c>
      <c r="L114">
        <v>3</v>
      </c>
      <c r="M114">
        <v>4</v>
      </c>
      <c r="N114">
        <v>4</v>
      </c>
      <c r="P114">
        <f>G114*I114/100</f>
        <v>2079.36</v>
      </c>
      <c r="Q114">
        <f t="shared" si="1"/>
        <v>207936</v>
      </c>
      <c r="R114">
        <f>K114/J114</f>
        <v>0.21739130434782608</v>
      </c>
      <c r="S114">
        <v>2020</v>
      </c>
    </row>
    <row r="115" spans="1:19" x14ac:dyDescent="0.3">
      <c r="A115">
        <v>24</v>
      </c>
      <c r="B115">
        <v>1127</v>
      </c>
      <c r="C115" t="s">
        <v>17</v>
      </c>
      <c r="D115" t="s">
        <v>18</v>
      </c>
      <c r="E115">
        <v>52</v>
      </c>
      <c r="F115" t="s">
        <v>20</v>
      </c>
      <c r="G115">
        <v>2774</v>
      </c>
      <c r="H115">
        <v>13257</v>
      </c>
      <c r="I115">
        <v>12</v>
      </c>
      <c r="J115">
        <v>6</v>
      </c>
      <c r="K115">
        <v>5</v>
      </c>
      <c r="L115">
        <v>3</v>
      </c>
      <c r="M115">
        <v>1</v>
      </c>
      <c r="N115">
        <v>2</v>
      </c>
      <c r="P115">
        <f>G115*I115/100</f>
        <v>332.88</v>
      </c>
      <c r="Q115">
        <f t="shared" si="1"/>
        <v>33288</v>
      </c>
      <c r="R115">
        <f>K115/J115</f>
        <v>0.83333333333333337</v>
      </c>
      <c r="S115">
        <v>2020</v>
      </c>
    </row>
    <row r="116" spans="1:19" x14ac:dyDescent="0.3">
      <c r="A116">
        <v>34</v>
      </c>
      <c r="B116">
        <v>1031</v>
      </c>
      <c r="C116" t="s">
        <v>17</v>
      </c>
      <c r="D116" t="s">
        <v>15</v>
      </c>
      <c r="E116">
        <v>45</v>
      </c>
      <c r="F116" t="s">
        <v>19</v>
      </c>
      <c r="G116">
        <v>4505</v>
      </c>
      <c r="H116">
        <v>15000</v>
      </c>
      <c r="I116">
        <v>15</v>
      </c>
      <c r="J116">
        <v>12</v>
      </c>
      <c r="K116">
        <v>1</v>
      </c>
      <c r="L116">
        <v>0</v>
      </c>
      <c r="M116">
        <v>0</v>
      </c>
      <c r="N116">
        <v>0</v>
      </c>
      <c r="P116">
        <f>G116*I116/100</f>
        <v>675.75</v>
      </c>
      <c r="Q116">
        <f t="shared" si="1"/>
        <v>54060</v>
      </c>
      <c r="R116">
        <f>K116/J116</f>
        <v>8.3333333333333329E-2</v>
      </c>
      <c r="S116">
        <v>2020</v>
      </c>
    </row>
    <row r="117" spans="1:19" x14ac:dyDescent="0.3">
      <c r="A117">
        <v>37</v>
      </c>
      <c r="B117">
        <v>1189</v>
      </c>
      <c r="C117" t="s">
        <v>14</v>
      </c>
      <c r="D117" t="s">
        <v>18</v>
      </c>
      <c r="E117">
        <v>87</v>
      </c>
      <c r="F117" t="s">
        <v>16</v>
      </c>
      <c r="G117">
        <v>7428</v>
      </c>
      <c r="H117">
        <v>14506</v>
      </c>
      <c r="I117">
        <v>12</v>
      </c>
      <c r="J117">
        <v>12</v>
      </c>
      <c r="K117">
        <v>5</v>
      </c>
      <c r="L117">
        <v>3</v>
      </c>
      <c r="M117">
        <v>1</v>
      </c>
      <c r="N117">
        <v>3</v>
      </c>
      <c r="P117">
        <f>G117*I117/100</f>
        <v>891.36</v>
      </c>
      <c r="Q117">
        <f t="shared" si="1"/>
        <v>89136</v>
      </c>
      <c r="R117">
        <f>K117/J117</f>
        <v>0.41666666666666669</v>
      </c>
      <c r="S117">
        <v>2020</v>
      </c>
    </row>
    <row r="118" spans="1:19" x14ac:dyDescent="0.3">
      <c r="A118">
        <v>34</v>
      </c>
      <c r="B118">
        <v>1354</v>
      </c>
      <c r="C118" t="s">
        <v>17</v>
      </c>
      <c r="D118" t="s">
        <v>15</v>
      </c>
      <c r="E118">
        <v>45</v>
      </c>
      <c r="F118" t="s">
        <v>23</v>
      </c>
      <c r="G118">
        <v>11631</v>
      </c>
      <c r="H118">
        <v>5615</v>
      </c>
      <c r="I118">
        <v>12</v>
      </c>
      <c r="J118">
        <v>14</v>
      </c>
      <c r="K118">
        <v>11</v>
      </c>
      <c r="L118">
        <v>10</v>
      </c>
      <c r="M118">
        <v>5</v>
      </c>
      <c r="N118">
        <v>8</v>
      </c>
      <c r="P118">
        <f>G118*I118/100</f>
        <v>1395.72</v>
      </c>
      <c r="Q118">
        <f t="shared" si="1"/>
        <v>139572</v>
      </c>
      <c r="R118">
        <f>K118/J118</f>
        <v>0.7857142857142857</v>
      </c>
      <c r="S118">
        <v>2020</v>
      </c>
    </row>
    <row r="119" spans="1:19" x14ac:dyDescent="0.3">
      <c r="A119">
        <v>36</v>
      </c>
      <c r="B119">
        <v>1467</v>
      </c>
      <c r="C119" t="s">
        <v>14</v>
      </c>
      <c r="D119" t="s">
        <v>15</v>
      </c>
      <c r="E119">
        <v>92</v>
      </c>
      <c r="F119" t="s">
        <v>16</v>
      </c>
      <c r="G119">
        <v>9738</v>
      </c>
      <c r="H119">
        <v>22952</v>
      </c>
      <c r="I119">
        <v>14</v>
      </c>
      <c r="J119">
        <v>10</v>
      </c>
      <c r="K119">
        <v>9</v>
      </c>
      <c r="L119">
        <v>7</v>
      </c>
      <c r="M119">
        <v>2</v>
      </c>
      <c r="N119">
        <v>8</v>
      </c>
      <c r="P119">
        <f>G119*I119/100</f>
        <v>1363.32</v>
      </c>
      <c r="Q119">
        <f t="shared" si="1"/>
        <v>116856</v>
      </c>
      <c r="R119">
        <f>K119/J119</f>
        <v>0.9</v>
      </c>
      <c r="S119">
        <v>2020</v>
      </c>
    </row>
    <row r="120" spans="1:19" x14ac:dyDescent="0.3">
      <c r="A120">
        <v>36</v>
      </c>
      <c r="B120">
        <v>922</v>
      </c>
      <c r="C120" t="s">
        <v>17</v>
      </c>
      <c r="D120" t="s">
        <v>15</v>
      </c>
      <c r="E120">
        <v>39</v>
      </c>
      <c r="F120" t="s">
        <v>20</v>
      </c>
      <c r="G120">
        <v>2835</v>
      </c>
      <c r="H120">
        <v>2561</v>
      </c>
      <c r="I120">
        <v>22</v>
      </c>
      <c r="J120">
        <v>7</v>
      </c>
      <c r="K120">
        <v>1</v>
      </c>
      <c r="L120">
        <v>0</v>
      </c>
      <c r="M120">
        <v>0</v>
      </c>
      <c r="N120">
        <v>0</v>
      </c>
      <c r="P120">
        <f>G120*I120/100</f>
        <v>623.70000000000005</v>
      </c>
      <c r="Q120">
        <f t="shared" si="1"/>
        <v>34020</v>
      </c>
      <c r="R120">
        <f>K120/J120</f>
        <v>0.14285714285714285</v>
      </c>
      <c r="S120">
        <v>2020</v>
      </c>
    </row>
    <row r="121" spans="1:19" x14ac:dyDescent="0.3">
      <c r="A121">
        <v>43</v>
      </c>
      <c r="B121">
        <v>394</v>
      </c>
      <c r="C121" t="s">
        <v>14</v>
      </c>
      <c r="D121" t="s">
        <v>18</v>
      </c>
      <c r="E121">
        <v>92</v>
      </c>
      <c r="F121" t="s">
        <v>23</v>
      </c>
      <c r="G121">
        <v>16959</v>
      </c>
      <c r="H121">
        <v>19494</v>
      </c>
      <c r="I121">
        <v>12</v>
      </c>
      <c r="J121">
        <v>25</v>
      </c>
      <c r="K121">
        <v>25</v>
      </c>
      <c r="L121">
        <v>12</v>
      </c>
      <c r="M121">
        <v>4</v>
      </c>
      <c r="N121">
        <v>12</v>
      </c>
      <c r="P121">
        <f>G121*I121/100</f>
        <v>2035.08</v>
      </c>
      <c r="Q121">
        <f t="shared" si="1"/>
        <v>203508</v>
      </c>
      <c r="R121">
        <f>K121/J121</f>
        <v>1</v>
      </c>
      <c r="S121">
        <v>2020</v>
      </c>
    </row>
    <row r="122" spans="1:19" x14ac:dyDescent="0.3">
      <c r="A122">
        <v>30</v>
      </c>
      <c r="B122">
        <v>1312</v>
      </c>
      <c r="C122" t="s">
        <v>17</v>
      </c>
      <c r="D122" t="s">
        <v>18</v>
      </c>
      <c r="E122">
        <v>96</v>
      </c>
      <c r="F122" t="s">
        <v>19</v>
      </c>
      <c r="G122">
        <v>2613</v>
      </c>
      <c r="H122">
        <v>22310</v>
      </c>
      <c r="I122">
        <v>25</v>
      </c>
      <c r="J122">
        <v>10</v>
      </c>
      <c r="K122">
        <v>10</v>
      </c>
      <c r="L122">
        <v>7</v>
      </c>
      <c r="M122">
        <v>0</v>
      </c>
      <c r="N122">
        <v>9</v>
      </c>
      <c r="P122">
        <f>G122*I122/100</f>
        <v>653.25</v>
      </c>
      <c r="Q122">
        <f t="shared" si="1"/>
        <v>31356</v>
      </c>
      <c r="R122">
        <f>K122/J122</f>
        <v>1</v>
      </c>
      <c r="S122">
        <v>2020</v>
      </c>
    </row>
    <row r="123" spans="1:19" x14ac:dyDescent="0.3">
      <c r="A123">
        <v>33</v>
      </c>
      <c r="B123">
        <v>750</v>
      </c>
      <c r="C123" t="s">
        <v>14</v>
      </c>
      <c r="D123" t="s">
        <v>18</v>
      </c>
      <c r="E123">
        <v>95</v>
      </c>
      <c r="F123" t="s">
        <v>16</v>
      </c>
      <c r="G123">
        <v>6146</v>
      </c>
      <c r="H123">
        <v>15480</v>
      </c>
      <c r="I123">
        <v>13</v>
      </c>
      <c r="J123">
        <v>8</v>
      </c>
      <c r="K123">
        <v>7</v>
      </c>
      <c r="L123">
        <v>7</v>
      </c>
      <c r="M123">
        <v>0</v>
      </c>
      <c r="N123">
        <v>7</v>
      </c>
      <c r="P123">
        <f>G123*I123/100</f>
        <v>798.98</v>
      </c>
      <c r="Q123">
        <f t="shared" si="1"/>
        <v>73752</v>
      </c>
      <c r="R123">
        <f>K123/J123</f>
        <v>0.875</v>
      </c>
      <c r="S123">
        <v>2020</v>
      </c>
    </row>
    <row r="124" spans="1:19" x14ac:dyDescent="0.3">
      <c r="A124">
        <v>56</v>
      </c>
      <c r="B124">
        <v>441</v>
      </c>
      <c r="C124" t="s">
        <v>17</v>
      </c>
      <c r="D124" t="s">
        <v>15</v>
      </c>
      <c r="E124">
        <v>72</v>
      </c>
      <c r="F124" t="s">
        <v>19</v>
      </c>
      <c r="G124">
        <v>4963</v>
      </c>
      <c r="H124">
        <v>4510</v>
      </c>
      <c r="I124">
        <v>18</v>
      </c>
      <c r="J124">
        <v>7</v>
      </c>
      <c r="K124">
        <v>5</v>
      </c>
      <c r="L124">
        <v>4</v>
      </c>
      <c r="M124">
        <v>4</v>
      </c>
      <c r="N124">
        <v>3</v>
      </c>
      <c r="P124">
        <f>G124*I124/100</f>
        <v>893.34</v>
      </c>
      <c r="Q124">
        <f t="shared" si="1"/>
        <v>59556</v>
      </c>
      <c r="R124">
        <f>K124/J124</f>
        <v>0.7142857142857143</v>
      </c>
      <c r="S124">
        <v>2020</v>
      </c>
    </row>
    <row r="125" spans="1:19" x14ac:dyDescent="0.3">
      <c r="A125">
        <v>51</v>
      </c>
      <c r="B125">
        <v>684</v>
      </c>
      <c r="C125" t="s">
        <v>17</v>
      </c>
      <c r="D125" t="s">
        <v>18</v>
      </c>
      <c r="E125">
        <v>51</v>
      </c>
      <c r="F125" t="s">
        <v>25</v>
      </c>
      <c r="G125">
        <v>19537</v>
      </c>
      <c r="H125">
        <v>6462</v>
      </c>
      <c r="I125">
        <v>13</v>
      </c>
      <c r="J125">
        <v>23</v>
      </c>
      <c r="K125">
        <v>20</v>
      </c>
      <c r="L125">
        <v>18</v>
      </c>
      <c r="M125">
        <v>15</v>
      </c>
      <c r="N125">
        <v>15</v>
      </c>
      <c r="P125">
        <f>G125*I125/100</f>
        <v>2539.81</v>
      </c>
      <c r="Q125">
        <f t="shared" si="1"/>
        <v>234444</v>
      </c>
      <c r="R125">
        <f>K125/J125</f>
        <v>0.86956521739130432</v>
      </c>
      <c r="S125">
        <v>2020</v>
      </c>
    </row>
    <row r="126" spans="1:19" x14ac:dyDescent="0.3">
      <c r="A126">
        <v>31</v>
      </c>
      <c r="B126">
        <v>249</v>
      </c>
      <c r="C126" t="s">
        <v>14</v>
      </c>
      <c r="D126" t="s">
        <v>18</v>
      </c>
      <c r="E126">
        <v>76</v>
      </c>
      <c r="F126" t="s">
        <v>16</v>
      </c>
      <c r="G126">
        <v>6172</v>
      </c>
      <c r="H126">
        <v>20739</v>
      </c>
      <c r="I126">
        <v>18</v>
      </c>
      <c r="J126">
        <v>12</v>
      </c>
      <c r="K126">
        <v>7</v>
      </c>
      <c r="L126">
        <v>7</v>
      </c>
      <c r="M126">
        <v>7</v>
      </c>
      <c r="N126">
        <v>7</v>
      </c>
      <c r="P126">
        <f>G126*I126/100</f>
        <v>1110.96</v>
      </c>
      <c r="Q126">
        <f t="shared" si="1"/>
        <v>74064</v>
      </c>
      <c r="R126">
        <f>K126/J126</f>
        <v>0.58333333333333337</v>
      </c>
      <c r="S126">
        <v>2020</v>
      </c>
    </row>
    <row r="127" spans="1:19" x14ac:dyDescent="0.3">
      <c r="A127">
        <v>26</v>
      </c>
      <c r="B127">
        <v>841</v>
      </c>
      <c r="C127" t="s">
        <v>17</v>
      </c>
      <c r="D127" t="s">
        <v>15</v>
      </c>
      <c r="E127">
        <v>46</v>
      </c>
      <c r="F127" t="s">
        <v>19</v>
      </c>
      <c r="G127">
        <v>2368</v>
      </c>
      <c r="H127">
        <v>23300</v>
      </c>
      <c r="I127">
        <v>19</v>
      </c>
      <c r="J127">
        <v>5</v>
      </c>
      <c r="K127">
        <v>5</v>
      </c>
      <c r="L127">
        <v>4</v>
      </c>
      <c r="M127">
        <v>4</v>
      </c>
      <c r="N127">
        <v>3</v>
      </c>
      <c r="P127">
        <f>G127*I127/100</f>
        <v>449.92</v>
      </c>
      <c r="Q127">
        <f t="shared" si="1"/>
        <v>28416</v>
      </c>
      <c r="R127">
        <f>K127/J127</f>
        <v>1</v>
      </c>
      <c r="S127">
        <v>2020</v>
      </c>
    </row>
    <row r="128" spans="1:19" x14ac:dyDescent="0.3">
      <c r="A128">
        <v>58</v>
      </c>
      <c r="B128">
        <v>147</v>
      </c>
      <c r="C128" t="s">
        <v>17</v>
      </c>
      <c r="D128" t="s">
        <v>15</v>
      </c>
      <c r="E128">
        <v>94</v>
      </c>
      <c r="F128" t="s">
        <v>22</v>
      </c>
      <c r="G128">
        <v>10312</v>
      </c>
      <c r="H128">
        <v>3465</v>
      </c>
      <c r="I128">
        <v>12</v>
      </c>
      <c r="J128">
        <v>40</v>
      </c>
      <c r="K128">
        <v>40</v>
      </c>
      <c r="L128">
        <v>10</v>
      </c>
      <c r="M128">
        <v>15</v>
      </c>
      <c r="N128">
        <v>6</v>
      </c>
      <c r="P128">
        <f>G128*I128/100</f>
        <v>1237.44</v>
      </c>
      <c r="Q128">
        <f t="shared" si="1"/>
        <v>123744</v>
      </c>
      <c r="R128">
        <f>K128/J128</f>
        <v>1</v>
      </c>
      <c r="S128">
        <v>2020</v>
      </c>
    </row>
    <row r="129" spans="1:19" x14ac:dyDescent="0.3">
      <c r="A129">
        <v>19</v>
      </c>
      <c r="B129">
        <v>528</v>
      </c>
      <c r="C129" t="s">
        <v>14</v>
      </c>
      <c r="D129" t="s">
        <v>18</v>
      </c>
      <c r="E129">
        <v>50</v>
      </c>
      <c r="F129" t="s">
        <v>24</v>
      </c>
      <c r="G129">
        <v>1675</v>
      </c>
      <c r="H129">
        <v>26820</v>
      </c>
      <c r="I129">
        <v>19</v>
      </c>
      <c r="J129">
        <v>0</v>
      </c>
      <c r="K129">
        <v>0</v>
      </c>
      <c r="L129">
        <v>0</v>
      </c>
      <c r="M129">
        <v>0</v>
      </c>
      <c r="N129">
        <v>0</v>
      </c>
      <c r="P129">
        <f>G129*I129/100</f>
        <v>318.25</v>
      </c>
      <c r="Q129">
        <f t="shared" si="1"/>
        <v>20100</v>
      </c>
      <c r="R129" t="e">
        <f>K129/J129</f>
        <v>#DIV/0!</v>
      </c>
      <c r="S129">
        <v>2020</v>
      </c>
    </row>
    <row r="130" spans="1:19" x14ac:dyDescent="0.3">
      <c r="A130">
        <v>22</v>
      </c>
      <c r="B130">
        <v>594</v>
      </c>
      <c r="C130" t="s">
        <v>17</v>
      </c>
      <c r="D130" t="s">
        <v>18</v>
      </c>
      <c r="E130">
        <v>100</v>
      </c>
      <c r="F130" t="s">
        <v>20</v>
      </c>
      <c r="G130">
        <v>2523</v>
      </c>
      <c r="H130">
        <v>19299</v>
      </c>
      <c r="I130">
        <v>14</v>
      </c>
      <c r="J130">
        <v>3</v>
      </c>
      <c r="K130">
        <v>2</v>
      </c>
      <c r="L130">
        <v>1</v>
      </c>
      <c r="M130">
        <v>2</v>
      </c>
      <c r="N130">
        <v>1</v>
      </c>
      <c r="P130">
        <f>G130*I130/100</f>
        <v>353.22</v>
      </c>
      <c r="Q130">
        <f t="shared" si="1"/>
        <v>30276</v>
      </c>
      <c r="R130">
        <f>K130/J130</f>
        <v>0.66666666666666663</v>
      </c>
      <c r="S130">
        <v>2020</v>
      </c>
    </row>
    <row r="131" spans="1:19" x14ac:dyDescent="0.3">
      <c r="A131">
        <v>49</v>
      </c>
      <c r="B131">
        <v>470</v>
      </c>
      <c r="C131" t="s">
        <v>17</v>
      </c>
      <c r="D131" t="s">
        <v>15</v>
      </c>
      <c r="E131">
        <v>96</v>
      </c>
      <c r="F131" t="s">
        <v>21</v>
      </c>
      <c r="G131">
        <v>6567</v>
      </c>
      <c r="H131">
        <v>5549</v>
      </c>
      <c r="I131">
        <v>14</v>
      </c>
      <c r="J131">
        <v>16</v>
      </c>
      <c r="K131">
        <v>15</v>
      </c>
      <c r="L131">
        <v>11</v>
      </c>
      <c r="M131">
        <v>5</v>
      </c>
      <c r="N131">
        <v>11</v>
      </c>
      <c r="P131">
        <f>G131*I131/100</f>
        <v>919.38</v>
      </c>
      <c r="Q131">
        <f t="shared" ref="Q131:Q194" si="2">G131*12</f>
        <v>78804</v>
      </c>
      <c r="R131">
        <f>K131/J131</f>
        <v>0.9375</v>
      </c>
      <c r="S131">
        <v>2020</v>
      </c>
    </row>
    <row r="132" spans="1:19" x14ac:dyDescent="0.3">
      <c r="A132">
        <v>43</v>
      </c>
      <c r="B132">
        <v>957</v>
      </c>
      <c r="C132" t="s">
        <v>17</v>
      </c>
      <c r="D132" t="s">
        <v>15</v>
      </c>
      <c r="E132">
        <v>72</v>
      </c>
      <c r="F132" t="s">
        <v>19</v>
      </c>
      <c r="G132">
        <v>4739</v>
      </c>
      <c r="H132">
        <v>16090</v>
      </c>
      <c r="I132">
        <v>12</v>
      </c>
      <c r="J132">
        <v>18</v>
      </c>
      <c r="K132">
        <v>3</v>
      </c>
      <c r="L132">
        <v>2</v>
      </c>
      <c r="M132">
        <v>1</v>
      </c>
      <c r="N132">
        <v>2</v>
      </c>
      <c r="P132">
        <f>G132*I132/100</f>
        <v>568.67999999999995</v>
      </c>
      <c r="Q132">
        <f t="shared" si="2"/>
        <v>56868</v>
      </c>
      <c r="R132">
        <f>K132/J132</f>
        <v>0.16666666666666666</v>
      </c>
      <c r="S132">
        <v>2020</v>
      </c>
    </row>
    <row r="133" spans="1:19" x14ac:dyDescent="0.3">
      <c r="A133">
        <v>50</v>
      </c>
      <c r="B133">
        <v>809</v>
      </c>
      <c r="C133" t="s">
        <v>14</v>
      </c>
      <c r="D133" t="s">
        <v>15</v>
      </c>
      <c r="E133">
        <v>77</v>
      </c>
      <c r="F133" t="s">
        <v>16</v>
      </c>
      <c r="G133">
        <v>9208</v>
      </c>
      <c r="H133">
        <v>6645</v>
      </c>
      <c r="I133">
        <v>11</v>
      </c>
      <c r="J133">
        <v>16</v>
      </c>
      <c r="K133">
        <v>2</v>
      </c>
      <c r="L133">
        <v>2</v>
      </c>
      <c r="M133">
        <v>2</v>
      </c>
      <c r="N133">
        <v>1</v>
      </c>
      <c r="P133">
        <f>G133*I133/100</f>
        <v>1012.88</v>
      </c>
      <c r="Q133">
        <f t="shared" si="2"/>
        <v>110496</v>
      </c>
      <c r="R133">
        <f>K133/J133</f>
        <v>0.125</v>
      </c>
      <c r="S133">
        <v>2020</v>
      </c>
    </row>
    <row r="134" spans="1:19" x14ac:dyDescent="0.3">
      <c r="A134">
        <v>31</v>
      </c>
      <c r="B134">
        <v>542</v>
      </c>
      <c r="C134" t="s">
        <v>14</v>
      </c>
      <c r="D134" t="s">
        <v>15</v>
      </c>
      <c r="E134">
        <v>71</v>
      </c>
      <c r="F134" t="s">
        <v>16</v>
      </c>
      <c r="G134">
        <v>4559</v>
      </c>
      <c r="H134">
        <v>24788</v>
      </c>
      <c r="I134">
        <v>11</v>
      </c>
      <c r="J134">
        <v>4</v>
      </c>
      <c r="K134">
        <v>2</v>
      </c>
      <c r="L134">
        <v>2</v>
      </c>
      <c r="M134">
        <v>2</v>
      </c>
      <c r="N134">
        <v>2</v>
      </c>
      <c r="P134">
        <f>G134*I134/100</f>
        <v>501.49</v>
      </c>
      <c r="Q134">
        <f t="shared" si="2"/>
        <v>54708</v>
      </c>
      <c r="R134">
        <f>K134/J134</f>
        <v>0.5</v>
      </c>
      <c r="S134">
        <v>2020</v>
      </c>
    </row>
    <row r="135" spans="1:19" x14ac:dyDescent="0.3">
      <c r="A135">
        <v>41</v>
      </c>
      <c r="B135">
        <v>802</v>
      </c>
      <c r="C135" t="s">
        <v>14</v>
      </c>
      <c r="D135" t="s">
        <v>18</v>
      </c>
      <c r="E135">
        <v>96</v>
      </c>
      <c r="F135" t="s">
        <v>16</v>
      </c>
      <c r="G135">
        <v>8189</v>
      </c>
      <c r="H135">
        <v>21196</v>
      </c>
      <c r="I135">
        <v>13</v>
      </c>
      <c r="J135">
        <v>12</v>
      </c>
      <c r="K135">
        <v>9</v>
      </c>
      <c r="L135">
        <v>7</v>
      </c>
      <c r="M135">
        <v>0</v>
      </c>
      <c r="N135">
        <v>7</v>
      </c>
      <c r="P135">
        <f>G135*I135/100</f>
        <v>1064.57</v>
      </c>
      <c r="Q135">
        <f t="shared" si="2"/>
        <v>98268</v>
      </c>
      <c r="R135">
        <f>K135/J135</f>
        <v>0.75</v>
      </c>
      <c r="S135">
        <v>2020</v>
      </c>
    </row>
    <row r="136" spans="1:19" x14ac:dyDescent="0.3">
      <c r="A136">
        <v>26</v>
      </c>
      <c r="B136">
        <v>1355</v>
      </c>
      <c r="C136" t="s">
        <v>26</v>
      </c>
      <c r="D136" t="s">
        <v>15</v>
      </c>
      <c r="E136">
        <v>61</v>
      </c>
      <c r="F136" t="s">
        <v>26</v>
      </c>
      <c r="G136">
        <v>2942</v>
      </c>
      <c r="H136">
        <v>8916</v>
      </c>
      <c r="I136">
        <v>23</v>
      </c>
      <c r="J136">
        <v>8</v>
      </c>
      <c r="K136">
        <v>8</v>
      </c>
      <c r="L136">
        <v>7</v>
      </c>
      <c r="M136">
        <v>5</v>
      </c>
      <c r="N136">
        <v>7</v>
      </c>
      <c r="P136">
        <f>G136*I136/100</f>
        <v>676.66</v>
      </c>
      <c r="Q136">
        <f t="shared" si="2"/>
        <v>35304</v>
      </c>
      <c r="R136">
        <f>K136/J136</f>
        <v>1</v>
      </c>
      <c r="S136">
        <v>2020</v>
      </c>
    </row>
    <row r="137" spans="1:19" x14ac:dyDescent="0.3">
      <c r="A137">
        <v>36</v>
      </c>
      <c r="B137">
        <v>216</v>
      </c>
      <c r="C137" t="s">
        <v>17</v>
      </c>
      <c r="D137" t="s">
        <v>18</v>
      </c>
      <c r="E137">
        <v>84</v>
      </c>
      <c r="F137" t="s">
        <v>21</v>
      </c>
      <c r="G137">
        <v>4941</v>
      </c>
      <c r="H137">
        <v>2819</v>
      </c>
      <c r="I137">
        <v>20</v>
      </c>
      <c r="J137">
        <v>7</v>
      </c>
      <c r="K137">
        <v>3</v>
      </c>
      <c r="L137">
        <v>2</v>
      </c>
      <c r="M137">
        <v>0</v>
      </c>
      <c r="N137">
        <v>1</v>
      </c>
      <c r="P137">
        <f>G137*I137/100</f>
        <v>988.2</v>
      </c>
      <c r="Q137">
        <f t="shared" si="2"/>
        <v>59292</v>
      </c>
      <c r="R137">
        <f>K137/J137</f>
        <v>0.42857142857142855</v>
      </c>
      <c r="S137">
        <v>2020</v>
      </c>
    </row>
    <row r="138" spans="1:19" x14ac:dyDescent="0.3">
      <c r="A138">
        <v>51</v>
      </c>
      <c r="B138">
        <v>1150</v>
      </c>
      <c r="C138" t="s">
        <v>17</v>
      </c>
      <c r="D138" t="s">
        <v>18</v>
      </c>
      <c r="E138">
        <v>53</v>
      </c>
      <c r="F138" t="s">
        <v>21</v>
      </c>
      <c r="G138">
        <v>10650</v>
      </c>
      <c r="H138">
        <v>25150</v>
      </c>
      <c r="I138">
        <v>15</v>
      </c>
      <c r="J138">
        <v>18</v>
      </c>
      <c r="K138">
        <v>4</v>
      </c>
      <c r="L138">
        <v>2</v>
      </c>
      <c r="M138">
        <v>0</v>
      </c>
      <c r="N138">
        <v>3</v>
      </c>
      <c r="P138">
        <f>G138*I138/100</f>
        <v>1597.5</v>
      </c>
      <c r="Q138">
        <f t="shared" si="2"/>
        <v>127800</v>
      </c>
      <c r="R138">
        <f>K138/J138</f>
        <v>0.22222222222222221</v>
      </c>
      <c r="S138">
        <v>2020</v>
      </c>
    </row>
    <row r="139" spans="1:19" x14ac:dyDescent="0.3">
      <c r="A139">
        <v>39</v>
      </c>
      <c r="B139">
        <v>1329</v>
      </c>
      <c r="C139" t="s">
        <v>14</v>
      </c>
      <c r="D139" t="s">
        <v>15</v>
      </c>
      <c r="E139">
        <v>47</v>
      </c>
      <c r="F139" t="s">
        <v>16</v>
      </c>
      <c r="G139">
        <v>5902</v>
      </c>
      <c r="H139">
        <v>14590</v>
      </c>
      <c r="I139">
        <v>14</v>
      </c>
      <c r="J139">
        <v>17</v>
      </c>
      <c r="K139">
        <v>15</v>
      </c>
      <c r="L139">
        <v>11</v>
      </c>
      <c r="M139">
        <v>5</v>
      </c>
      <c r="N139">
        <v>9</v>
      </c>
      <c r="P139">
        <f>G139*I139/100</f>
        <v>826.28</v>
      </c>
      <c r="Q139">
        <f t="shared" si="2"/>
        <v>70824</v>
      </c>
      <c r="R139">
        <f>K139/J139</f>
        <v>0.88235294117647056</v>
      </c>
      <c r="S139">
        <v>2020</v>
      </c>
    </row>
    <row r="140" spans="1:19" x14ac:dyDescent="0.3">
      <c r="A140">
        <v>25</v>
      </c>
      <c r="B140">
        <v>959</v>
      </c>
      <c r="C140" t="s">
        <v>14</v>
      </c>
      <c r="D140" t="s">
        <v>18</v>
      </c>
      <c r="E140">
        <v>41</v>
      </c>
      <c r="F140" t="s">
        <v>16</v>
      </c>
      <c r="G140">
        <v>8639</v>
      </c>
      <c r="H140">
        <v>24835</v>
      </c>
      <c r="I140">
        <v>18</v>
      </c>
      <c r="J140">
        <v>6</v>
      </c>
      <c r="K140">
        <v>2</v>
      </c>
      <c r="L140">
        <v>2</v>
      </c>
      <c r="M140">
        <v>2</v>
      </c>
      <c r="N140">
        <v>2</v>
      </c>
      <c r="P140">
        <f>G140*I140/100</f>
        <v>1555.02</v>
      </c>
      <c r="Q140">
        <f t="shared" si="2"/>
        <v>103668</v>
      </c>
      <c r="R140">
        <f>K140/J140</f>
        <v>0.33333333333333331</v>
      </c>
      <c r="S140">
        <v>2020</v>
      </c>
    </row>
    <row r="141" spans="1:19" x14ac:dyDescent="0.3">
      <c r="A141">
        <v>30</v>
      </c>
      <c r="B141">
        <v>1240</v>
      </c>
      <c r="C141" t="s">
        <v>26</v>
      </c>
      <c r="D141" t="s">
        <v>18</v>
      </c>
      <c r="E141">
        <v>48</v>
      </c>
      <c r="F141" t="s">
        <v>26</v>
      </c>
      <c r="G141">
        <v>6347</v>
      </c>
      <c r="H141">
        <v>13982</v>
      </c>
      <c r="I141">
        <v>19</v>
      </c>
      <c r="J141">
        <v>12</v>
      </c>
      <c r="K141">
        <v>11</v>
      </c>
      <c r="L141">
        <v>9</v>
      </c>
      <c r="M141">
        <v>4</v>
      </c>
      <c r="N141">
        <v>7</v>
      </c>
      <c r="P141">
        <f>G141*I141/100</f>
        <v>1205.93</v>
      </c>
      <c r="Q141">
        <f t="shared" si="2"/>
        <v>76164</v>
      </c>
      <c r="R141">
        <f>K141/J141</f>
        <v>0.91666666666666663</v>
      </c>
      <c r="S141">
        <v>2020</v>
      </c>
    </row>
    <row r="142" spans="1:19" x14ac:dyDescent="0.3">
      <c r="A142">
        <v>32</v>
      </c>
      <c r="B142">
        <v>1033</v>
      </c>
      <c r="C142" t="s">
        <v>17</v>
      </c>
      <c r="D142" t="s">
        <v>15</v>
      </c>
      <c r="E142">
        <v>41</v>
      </c>
      <c r="F142" t="s">
        <v>20</v>
      </c>
      <c r="G142">
        <v>4200</v>
      </c>
      <c r="H142">
        <v>10224</v>
      </c>
      <c r="I142">
        <v>22</v>
      </c>
      <c r="J142">
        <v>10</v>
      </c>
      <c r="K142">
        <v>5</v>
      </c>
      <c r="L142">
        <v>4</v>
      </c>
      <c r="M142">
        <v>0</v>
      </c>
      <c r="N142">
        <v>4</v>
      </c>
      <c r="P142">
        <f>G142*I142/100</f>
        <v>924</v>
      </c>
      <c r="Q142">
        <f t="shared" si="2"/>
        <v>50400</v>
      </c>
      <c r="R142">
        <f>K142/J142</f>
        <v>0.5</v>
      </c>
      <c r="S142">
        <v>2020</v>
      </c>
    </row>
    <row r="143" spans="1:19" x14ac:dyDescent="0.3">
      <c r="A143">
        <v>45</v>
      </c>
      <c r="B143">
        <v>1316</v>
      </c>
      <c r="C143" t="s">
        <v>17</v>
      </c>
      <c r="D143" t="s">
        <v>18</v>
      </c>
      <c r="E143">
        <v>83</v>
      </c>
      <c r="F143" t="s">
        <v>19</v>
      </c>
      <c r="G143">
        <v>3452</v>
      </c>
      <c r="H143">
        <v>9752</v>
      </c>
      <c r="I143">
        <v>13</v>
      </c>
      <c r="J143">
        <v>9</v>
      </c>
      <c r="K143">
        <v>6</v>
      </c>
      <c r="L143">
        <v>5</v>
      </c>
      <c r="M143">
        <v>0</v>
      </c>
      <c r="N143">
        <v>3</v>
      </c>
      <c r="P143">
        <f>G143*I143/100</f>
        <v>448.76</v>
      </c>
      <c r="Q143">
        <f t="shared" si="2"/>
        <v>41424</v>
      </c>
      <c r="R143">
        <f>K143/J143</f>
        <v>0.66666666666666663</v>
      </c>
      <c r="S143">
        <v>2020</v>
      </c>
    </row>
    <row r="144" spans="1:19" x14ac:dyDescent="0.3">
      <c r="A144">
        <v>38</v>
      </c>
      <c r="B144">
        <v>364</v>
      </c>
      <c r="C144" t="s">
        <v>17</v>
      </c>
      <c r="D144" t="s">
        <v>15</v>
      </c>
      <c r="E144">
        <v>32</v>
      </c>
      <c r="F144" t="s">
        <v>19</v>
      </c>
      <c r="G144">
        <v>4317</v>
      </c>
      <c r="H144">
        <v>2302</v>
      </c>
      <c r="I144">
        <v>20</v>
      </c>
      <c r="J144">
        <v>19</v>
      </c>
      <c r="K144">
        <v>3</v>
      </c>
      <c r="L144">
        <v>2</v>
      </c>
      <c r="M144">
        <v>2</v>
      </c>
      <c r="N144">
        <v>2</v>
      </c>
      <c r="P144">
        <f>G144*I144/100</f>
        <v>863.4</v>
      </c>
      <c r="Q144">
        <f t="shared" si="2"/>
        <v>51804</v>
      </c>
      <c r="R144">
        <f>K144/J144</f>
        <v>0.15789473684210525</v>
      </c>
      <c r="S144">
        <v>2020</v>
      </c>
    </row>
    <row r="145" spans="1:19" x14ac:dyDescent="0.3">
      <c r="A145">
        <v>30</v>
      </c>
      <c r="B145">
        <v>438</v>
      </c>
      <c r="C145" t="s">
        <v>17</v>
      </c>
      <c r="D145" t="s">
        <v>15</v>
      </c>
      <c r="E145">
        <v>75</v>
      </c>
      <c r="F145" t="s">
        <v>19</v>
      </c>
      <c r="G145">
        <v>2632</v>
      </c>
      <c r="H145">
        <v>23910</v>
      </c>
      <c r="I145">
        <v>14</v>
      </c>
      <c r="J145">
        <v>5</v>
      </c>
      <c r="K145">
        <v>5</v>
      </c>
      <c r="L145">
        <v>4</v>
      </c>
      <c r="M145">
        <v>0</v>
      </c>
      <c r="N145">
        <v>4</v>
      </c>
      <c r="P145">
        <f>G145*I145/100</f>
        <v>368.48</v>
      </c>
      <c r="Q145">
        <f t="shared" si="2"/>
        <v>31584</v>
      </c>
      <c r="R145">
        <f>K145/J145</f>
        <v>1</v>
      </c>
      <c r="S145">
        <v>2020</v>
      </c>
    </row>
    <row r="146" spans="1:19" x14ac:dyDescent="0.3">
      <c r="A146">
        <v>32</v>
      </c>
      <c r="B146">
        <v>689</v>
      </c>
      <c r="C146" t="s">
        <v>14</v>
      </c>
      <c r="D146" t="s">
        <v>18</v>
      </c>
      <c r="E146">
        <v>35</v>
      </c>
      <c r="F146" t="s">
        <v>16</v>
      </c>
      <c r="G146">
        <v>4668</v>
      </c>
      <c r="H146">
        <v>22812</v>
      </c>
      <c r="I146">
        <v>17</v>
      </c>
      <c r="J146">
        <v>9</v>
      </c>
      <c r="K146">
        <v>8</v>
      </c>
      <c r="L146">
        <v>7</v>
      </c>
      <c r="M146">
        <v>0</v>
      </c>
      <c r="N146">
        <v>7</v>
      </c>
      <c r="P146">
        <f>G146*I146/100</f>
        <v>793.56</v>
      </c>
      <c r="Q146">
        <f t="shared" si="2"/>
        <v>56016</v>
      </c>
      <c r="R146">
        <f>K146/J146</f>
        <v>0.88888888888888884</v>
      </c>
      <c r="S146">
        <v>2020</v>
      </c>
    </row>
    <row r="147" spans="1:19" x14ac:dyDescent="0.3">
      <c r="A147">
        <v>30</v>
      </c>
      <c r="B147">
        <v>201</v>
      </c>
      <c r="C147" t="s">
        <v>17</v>
      </c>
      <c r="D147" t="s">
        <v>15</v>
      </c>
      <c r="E147">
        <v>84</v>
      </c>
      <c r="F147" t="s">
        <v>19</v>
      </c>
      <c r="G147">
        <v>3204</v>
      </c>
      <c r="H147">
        <v>10415</v>
      </c>
      <c r="I147">
        <v>14</v>
      </c>
      <c r="J147">
        <v>8</v>
      </c>
      <c r="K147">
        <v>3</v>
      </c>
      <c r="L147">
        <v>2</v>
      </c>
      <c r="M147">
        <v>2</v>
      </c>
      <c r="N147">
        <v>2</v>
      </c>
      <c r="P147">
        <f>G147*I147/100</f>
        <v>448.56</v>
      </c>
      <c r="Q147">
        <f t="shared" si="2"/>
        <v>38448</v>
      </c>
      <c r="R147">
        <f>K147/J147</f>
        <v>0.375</v>
      </c>
      <c r="S147">
        <v>2020</v>
      </c>
    </row>
    <row r="148" spans="1:19" x14ac:dyDescent="0.3">
      <c r="A148">
        <v>30</v>
      </c>
      <c r="B148">
        <v>1427</v>
      </c>
      <c r="C148" t="s">
        <v>17</v>
      </c>
      <c r="D148" t="s">
        <v>18</v>
      </c>
      <c r="E148">
        <v>35</v>
      </c>
      <c r="F148" t="s">
        <v>20</v>
      </c>
      <c r="G148">
        <v>2720</v>
      </c>
      <c r="H148">
        <v>11162</v>
      </c>
      <c r="I148">
        <v>13</v>
      </c>
      <c r="J148">
        <v>6</v>
      </c>
      <c r="K148">
        <v>5</v>
      </c>
      <c r="L148">
        <v>3</v>
      </c>
      <c r="M148">
        <v>1</v>
      </c>
      <c r="N148">
        <v>2</v>
      </c>
      <c r="P148">
        <f>G148*I148/100</f>
        <v>353.6</v>
      </c>
      <c r="Q148">
        <f t="shared" si="2"/>
        <v>32640</v>
      </c>
      <c r="R148">
        <f>K148/J148</f>
        <v>0.83333333333333337</v>
      </c>
      <c r="S148">
        <v>2020</v>
      </c>
    </row>
    <row r="149" spans="1:19" x14ac:dyDescent="0.3">
      <c r="A149">
        <v>41</v>
      </c>
      <c r="B149">
        <v>857</v>
      </c>
      <c r="C149" t="s">
        <v>17</v>
      </c>
      <c r="D149" t="s">
        <v>18</v>
      </c>
      <c r="E149">
        <v>91</v>
      </c>
      <c r="F149" t="s">
        <v>23</v>
      </c>
      <c r="G149">
        <v>17181</v>
      </c>
      <c r="H149">
        <v>12888</v>
      </c>
      <c r="I149">
        <v>13</v>
      </c>
      <c r="J149">
        <v>21</v>
      </c>
      <c r="K149">
        <v>7</v>
      </c>
      <c r="L149">
        <v>6</v>
      </c>
      <c r="M149">
        <v>7</v>
      </c>
      <c r="N149">
        <v>7</v>
      </c>
      <c r="P149">
        <f>G149*I149/100</f>
        <v>2233.5300000000002</v>
      </c>
      <c r="Q149">
        <f t="shared" si="2"/>
        <v>206172</v>
      </c>
      <c r="R149">
        <f>K149/J149</f>
        <v>0.33333333333333331</v>
      </c>
      <c r="S149">
        <v>2020</v>
      </c>
    </row>
    <row r="150" spans="1:19" x14ac:dyDescent="0.3">
      <c r="A150">
        <v>41</v>
      </c>
      <c r="B150">
        <v>933</v>
      </c>
      <c r="C150" t="s">
        <v>17</v>
      </c>
      <c r="D150" t="s">
        <v>18</v>
      </c>
      <c r="E150">
        <v>94</v>
      </c>
      <c r="F150" t="s">
        <v>20</v>
      </c>
      <c r="G150">
        <v>2238</v>
      </c>
      <c r="H150">
        <v>6961</v>
      </c>
      <c r="I150">
        <v>21</v>
      </c>
      <c r="J150">
        <v>7</v>
      </c>
      <c r="K150">
        <v>5</v>
      </c>
      <c r="L150">
        <v>0</v>
      </c>
      <c r="M150">
        <v>1</v>
      </c>
      <c r="N150">
        <v>4</v>
      </c>
      <c r="P150">
        <f>G150*I150/100</f>
        <v>469.98</v>
      </c>
      <c r="Q150">
        <f t="shared" si="2"/>
        <v>26856</v>
      </c>
      <c r="R150">
        <f>K150/J150</f>
        <v>0.7142857142857143</v>
      </c>
      <c r="S150">
        <v>2020</v>
      </c>
    </row>
    <row r="151" spans="1:19" x14ac:dyDescent="0.3">
      <c r="A151">
        <v>19</v>
      </c>
      <c r="B151">
        <v>1181</v>
      </c>
      <c r="C151" t="s">
        <v>17</v>
      </c>
      <c r="D151" t="s">
        <v>15</v>
      </c>
      <c r="E151">
        <v>79</v>
      </c>
      <c r="F151" t="s">
        <v>20</v>
      </c>
      <c r="G151">
        <v>1483</v>
      </c>
      <c r="H151">
        <v>16102</v>
      </c>
      <c r="I151">
        <v>14</v>
      </c>
      <c r="J151">
        <v>1</v>
      </c>
      <c r="K151">
        <v>1</v>
      </c>
      <c r="L151">
        <v>0</v>
      </c>
      <c r="M151">
        <v>0</v>
      </c>
      <c r="N151">
        <v>0</v>
      </c>
      <c r="P151">
        <f>G151*I151/100</f>
        <v>207.62</v>
      </c>
      <c r="Q151">
        <f t="shared" si="2"/>
        <v>17796</v>
      </c>
      <c r="R151">
        <f>K151/J151</f>
        <v>1</v>
      </c>
      <c r="S151">
        <v>2020</v>
      </c>
    </row>
    <row r="152" spans="1:19" x14ac:dyDescent="0.3">
      <c r="A152">
        <v>40</v>
      </c>
      <c r="B152">
        <v>1395</v>
      </c>
      <c r="C152" t="s">
        <v>17</v>
      </c>
      <c r="D152" t="s">
        <v>15</v>
      </c>
      <c r="E152">
        <v>54</v>
      </c>
      <c r="F152" t="s">
        <v>19</v>
      </c>
      <c r="G152">
        <v>5605</v>
      </c>
      <c r="H152">
        <v>8504</v>
      </c>
      <c r="I152">
        <v>11</v>
      </c>
      <c r="J152">
        <v>20</v>
      </c>
      <c r="K152">
        <v>20</v>
      </c>
      <c r="L152">
        <v>7</v>
      </c>
      <c r="M152">
        <v>2</v>
      </c>
      <c r="N152">
        <v>13</v>
      </c>
      <c r="P152">
        <f>G152*I152/100</f>
        <v>616.54999999999995</v>
      </c>
      <c r="Q152">
        <f t="shared" si="2"/>
        <v>67260</v>
      </c>
      <c r="R152">
        <f>K152/J152</f>
        <v>1</v>
      </c>
      <c r="S152">
        <v>2020</v>
      </c>
    </row>
    <row r="153" spans="1:19" x14ac:dyDescent="0.3">
      <c r="A153">
        <v>35</v>
      </c>
      <c r="B153">
        <v>662</v>
      </c>
      <c r="C153" t="s">
        <v>14</v>
      </c>
      <c r="D153" t="s">
        <v>18</v>
      </c>
      <c r="E153">
        <v>94</v>
      </c>
      <c r="F153" t="s">
        <v>16</v>
      </c>
      <c r="G153">
        <v>7295</v>
      </c>
      <c r="H153">
        <v>11439</v>
      </c>
      <c r="I153">
        <v>13</v>
      </c>
      <c r="J153">
        <v>10</v>
      </c>
      <c r="K153">
        <v>10</v>
      </c>
      <c r="L153">
        <v>8</v>
      </c>
      <c r="M153">
        <v>0</v>
      </c>
      <c r="N153">
        <v>6</v>
      </c>
      <c r="P153">
        <f>G153*I153/100</f>
        <v>948.35</v>
      </c>
      <c r="Q153">
        <f t="shared" si="2"/>
        <v>87540</v>
      </c>
      <c r="R153">
        <f>K153/J153</f>
        <v>1</v>
      </c>
      <c r="S153">
        <v>2020</v>
      </c>
    </row>
    <row r="154" spans="1:19" x14ac:dyDescent="0.3">
      <c r="A154">
        <v>53</v>
      </c>
      <c r="B154">
        <v>1436</v>
      </c>
      <c r="C154" t="s">
        <v>14</v>
      </c>
      <c r="D154" t="s">
        <v>18</v>
      </c>
      <c r="E154">
        <v>34</v>
      </c>
      <c r="F154" t="s">
        <v>24</v>
      </c>
      <c r="G154">
        <v>2306</v>
      </c>
      <c r="H154">
        <v>16047</v>
      </c>
      <c r="I154">
        <v>20</v>
      </c>
      <c r="J154">
        <v>13</v>
      </c>
      <c r="K154">
        <v>7</v>
      </c>
      <c r="L154">
        <v>7</v>
      </c>
      <c r="M154">
        <v>4</v>
      </c>
      <c r="N154">
        <v>5</v>
      </c>
      <c r="P154">
        <f>G154*I154/100</f>
        <v>461.2</v>
      </c>
      <c r="Q154">
        <f t="shared" si="2"/>
        <v>27672</v>
      </c>
      <c r="R154">
        <f>K154/J154</f>
        <v>0.53846153846153844</v>
      </c>
      <c r="S154">
        <v>2020</v>
      </c>
    </row>
    <row r="155" spans="1:19" x14ac:dyDescent="0.3">
      <c r="A155">
        <v>45</v>
      </c>
      <c r="B155">
        <v>194</v>
      </c>
      <c r="C155" t="s">
        <v>17</v>
      </c>
      <c r="D155" t="s">
        <v>18</v>
      </c>
      <c r="E155">
        <v>60</v>
      </c>
      <c r="F155" t="s">
        <v>20</v>
      </c>
      <c r="G155">
        <v>2348</v>
      </c>
      <c r="H155">
        <v>10901</v>
      </c>
      <c r="I155">
        <v>18</v>
      </c>
      <c r="J155">
        <v>20</v>
      </c>
      <c r="K155">
        <v>17</v>
      </c>
      <c r="L155">
        <v>9</v>
      </c>
      <c r="M155">
        <v>0</v>
      </c>
      <c r="N155">
        <v>15</v>
      </c>
      <c r="P155">
        <f>G155*I155/100</f>
        <v>422.64</v>
      </c>
      <c r="Q155">
        <f t="shared" si="2"/>
        <v>28176</v>
      </c>
      <c r="R155">
        <f>K155/J155</f>
        <v>0.85</v>
      </c>
      <c r="S155">
        <v>2020</v>
      </c>
    </row>
    <row r="156" spans="1:19" x14ac:dyDescent="0.3">
      <c r="A156">
        <v>32</v>
      </c>
      <c r="B156">
        <v>967</v>
      </c>
      <c r="C156" t="s">
        <v>14</v>
      </c>
      <c r="D156" t="s">
        <v>15</v>
      </c>
      <c r="E156">
        <v>43</v>
      </c>
      <c r="F156" t="s">
        <v>16</v>
      </c>
      <c r="G156">
        <v>8998</v>
      </c>
      <c r="H156">
        <v>15589</v>
      </c>
      <c r="I156">
        <v>14</v>
      </c>
      <c r="J156">
        <v>9</v>
      </c>
      <c r="K156">
        <v>9</v>
      </c>
      <c r="L156">
        <v>8</v>
      </c>
      <c r="M156">
        <v>3</v>
      </c>
      <c r="N156">
        <v>7</v>
      </c>
      <c r="P156">
        <f>G156*I156/100</f>
        <v>1259.72</v>
      </c>
      <c r="Q156">
        <f t="shared" si="2"/>
        <v>107976</v>
      </c>
      <c r="R156">
        <f>K156/J156</f>
        <v>1</v>
      </c>
      <c r="S156">
        <v>2020</v>
      </c>
    </row>
    <row r="157" spans="1:19" x14ac:dyDescent="0.3">
      <c r="A157">
        <v>29</v>
      </c>
      <c r="B157">
        <v>1496</v>
      </c>
      <c r="C157" t="s">
        <v>17</v>
      </c>
      <c r="D157" t="s">
        <v>18</v>
      </c>
      <c r="E157">
        <v>41</v>
      </c>
      <c r="F157" t="s">
        <v>21</v>
      </c>
      <c r="G157">
        <v>4319</v>
      </c>
      <c r="H157">
        <v>26283</v>
      </c>
      <c r="I157">
        <v>13</v>
      </c>
      <c r="J157">
        <v>10</v>
      </c>
      <c r="K157">
        <v>10</v>
      </c>
      <c r="L157">
        <v>7</v>
      </c>
      <c r="M157">
        <v>0</v>
      </c>
      <c r="N157">
        <v>9</v>
      </c>
      <c r="P157">
        <f>G157*I157/100</f>
        <v>561.47</v>
      </c>
      <c r="Q157">
        <f t="shared" si="2"/>
        <v>51828</v>
      </c>
      <c r="R157">
        <f>K157/J157</f>
        <v>1</v>
      </c>
      <c r="S157">
        <v>2020</v>
      </c>
    </row>
    <row r="158" spans="1:19" x14ac:dyDescent="0.3">
      <c r="A158">
        <v>51</v>
      </c>
      <c r="B158">
        <v>1169</v>
      </c>
      <c r="C158" t="s">
        <v>17</v>
      </c>
      <c r="D158" t="s">
        <v>18</v>
      </c>
      <c r="E158">
        <v>34</v>
      </c>
      <c r="F158" t="s">
        <v>21</v>
      </c>
      <c r="G158">
        <v>6132</v>
      </c>
      <c r="H158">
        <v>13983</v>
      </c>
      <c r="I158">
        <v>17</v>
      </c>
      <c r="J158">
        <v>10</v>
      </c>
      <c r="K158">
        <v>1</v>
      </c>
      <c r="L158">
        <v>0</v>
      </c>
      <c r="M158">
        <v>0</v>
      </c>
      <c r="N158">
        <v>0</v>
      </c>
      <c r="P158">
        <f>G158*I158/100</f>
        <v>1042.44</v>
      </c>
      <c r="Q158">
        <f t="shared" si="2"/>
        <v>73584</v>
      </c>
      <c r="R158">
        <f>K158/J158</f>
        <v>0.1</v>
      </c>
      <c r="S158">
        <v>2020</v>
      </c>
    </row>
    <row r="159" spans="1:19" x14ac:dyDescent="0.3">
      <c r="A159">
        <v>58</v>
      </c>
      <c r="B159">
        <v>1145</v>
      </c>
      <c r="C159" t="s">
        <v>17</v>
      </c>
      <c r="D159" t="s">
        <v>15</v>
      </c>
      <c r="E159">
        <v>75</v>
      </c>
      <c r="F159" t="s">
        <v>19</v>
      </c>
      <c r="G159">
        <v>3346</v>
      </c>
      <c r="H159">
        <v>11873</v>
      </c>
      <c r="I159">
        <v>20</v>
      </c>
      <c r="J159">
        <v>9</v>
      </c>
      <c r="K159">
        <v>1</v>
      </c>
      <c r="L159">
        <v>0</v>
      </c>
      <c r="M159">
        <v>0</v>
      </c>
      <c r="N159">
        <v>0</v>
      </c>
      <c r="P159">
        <f>G159*I159/100</f>
        <v>669.2</v>
      </c>
      <c r="Q159">
        <f t="shared" si="2"/>
        <v>40152</v>
      </c>
      <c r="R159">
        <f>K159/J159</f>
        <v>0.1111111111111111</v>
      </c>
      <c r="S159">
        <v>2020</v>
      </c>
    </row>
    <row r="160" spans="1:19" x14ac:dyDescent="0.3">
      <c r="A160">
        <v>40</v>
      </c>
      <c r="B160">
        <v>630</v>
      </c>
      <c r="C160" t="s">
        <v>14</v>
      </c>
      <c r="D160" t="s">
        <v>18</v>
      </c>
      <c r="E160">
        <v>67</v>
      </c>
      <c r="F160" t="s">
        <v>16</v>
      </c>
      <c r="G160">
        <v>10855</v>
      </c>
      <c r="H160">
        <v>8552</v>
      </c>
      <c r="I160">
        <v>11</v>
      </c>
      <c r="J160">
        <v>15</v>
      </c>
      <c r="K160">
        <v>12</v>
      </c>
      <c r="L160">
        <v>11</v>
      </c>
      <c r="M160">
        <v>2</v>
      </c>
      <c r="N160">
        <v>11</v>
      </c>
      <c r="P160">
        <f>G160*I160/100</f>
        <v>1194.05</v>
      </c>
      <c r="Q160">
        <f t="shared" si="2"/>
        <v>130260</v>
      </c>
      <c r="R160">
        <f>K160/J160</f>
        <v>0.8</v>
      </c>
      <c r="S160">
        <v>2020</v>
      </c>
    </row>
    <row r="161" spans="1:19" x14ac:dyDescent="0.3">
      <c r="A161">
        <v>34</v>
      </c>
      <c r="B161">
        <v>303</v>
      </c>
      <c r="C161" t="s">
        <v>14</v>
      </c>
      <c r="D161" t="s">
        <v>15</v>
      </c>
      <c r="E161">
        <v>75</v>
      </c>
      <c r="F161" t="s">
        <v>24</v>
      </c>
      <c r="G161">
        <v>2231</v>
      </c>
      <c r="H161">
        <v>11314</v>
      </c>
      <c r="I161">
        <v>18</v>
      </c>
      <c r="J161">
        <v>6</v>
      </c>
      <c r="K161">
        <v>4</v>
      </c>
      <c r="L161">
        <v>3</v>
      </c>
      <c r="M161">
        <v>1</v>
      </c>
      <c r="N161">
        <v>2</v>
      </c>
      <c r="P161">
        <f>G161*I161/100</f>
        <v>401.58</v>
      </c>
      <c r="Q161">
        <f t="shared" si="2"/>
        <v>26772</v>
      </c>
      <c r="R161">
        <f>K161/J161</f>
        <v>0.66666666666666663</v>
      </c>
      <c r="S161">
        <v>2020</v>
      </c>
    </row>
    <row r="162" spans="1:19" x14ac:dyDescent="0.3">
      <c r="A162">
        <v>22</v>
      </c>
      <c r="B162">
        <v>1256</v>
      </c>
      <c r="C162" t="s">
        <v>17</v>
      </c>
      <c r="D162" t="s">
        <v>18</v>
      </c>
      <c r="E162">
        <v>80</v>
      </c>
      <c r="F162" t="s">
        <v>19</v>
      </c>
      <c r="G162">
        <v>2323</v>
      </c>
      <c r="H162">
        <v>11992</v>
      </c>
      <c r="I162">
        <v>24</v>
      </c>
      <c r="J162">
        <v>2</v>
      </c>
      <c r="K162">
        <v>2</v>
      </c>
      <c r="L162">
        <v>2</v>
      </c>
      <c r="M162">
        <v>2</v>
      </c>
      <c r="N162">
        <v>2</v>
      </c>
      <c r="P162">
        <f>G162*I162/100</f>
        <v>557.52</v>
      </c>
      <c r="Q162">
        <f t="shared" si="2"/>
        <v>27876</v>
      </c>
      <c r="R162">
        <f>K162/J162</f>
        <v>1</v>
      </c>
      <c r="S162">
        <v>2020</v>
      </c>
    </row>
    <row r="163" spans="1:19" x14ac:dyDescent="0.3">
      <c r="A163">
        <v>27</v>
      </c>
      <c r="B163">
        <v>691</v>
      </c>
      <c r="C163" t="s">
        <v>17</v>
      </c>
      <c r="D163" t="s">
        <v>18</v>
      </c>
      <c r="E163">
        <v>57</v>
      </c>
      <c r="F163" t="s">
        <v>19</v>
      </c>
      <c r="G163">
        <v>2024</v>
      </c>
      <c r="H163">
        <v>5970</v>
      </c>
      <c r="I163">
        <v>18</v>
      </c>
      <c r="J163">
        <v>6</v>
      </c>
      <c r="K163">
        <v>2</v>
      </c>
      <c r="L163">
        <v>2</v>
      </c>
      <c r="M163">
        <v>2</v>
      </c>
      <c r="N163">
        <v>2</v>
      </c>
      <c r="P163">
        <f>G163*I163/100</f>
        <v>364.32</v>
      </c>
      <c r="Q163">
        <f t="shared" si="2"/>
        <v>24288</v>
      </c>
      <c r="R163">
        <f>K163/J163</f>
        <v>0.33333333333333331</v>
      </c>
      <c r="S163">
        <v>2020</v>
      </c>
    </row>
    <row r="164" spans="1:19" x14ac:dyDescent="0.3">
      <c r="A164">
        <v>28</v>
      </c>
      <c r="B164">
        <v>440</v>
      </c>
      <c r="C164" t="s">
        <v>17</v>
      </c>
      <c r="D164" t="s">
        <v>18</v>
      </c>
      <c r="E164">
        <v>42</v>
      </c>
      <c r="F164" t="s">
        <v>19</v>
      </c>
      <c r="G164">
        <v>2713</v>
      </c>
      <c r="H164">
        <v>6672</v>
      </c>
      <c r="I164">
        <v>11</v>
      </c>
      <c r="J164">
        <v>5</v>
      </c>
      <c r="K164">
        <v>5</v>
      </c>
      <c r="L164">
        <v>2</v>
      </c>
      <c r="M164">
        <v>0</v>
      </c>
      <c r="N164">
        <v>2</v>
      </c>
      <c r="P164">
        <f>G164*I164/100</f>
        <v>298.43</v>
      </c>
      <c r="Q164">
        <f t="shared" si="2"/>
        <v>32556</v>
      </c>
      <c r="R164">
        <f>K164/J164</f>
        <v>1</v>
      </c>
      <c r="S164">
        <v>2020</v>
      </c>
    </row>
    <row r="165" spans="1:19" x14ac:dyDescent="0.3">
      <c r="A165">
        <v>57</v>
      </c>
      <c r="B165">
        <v>334</v>
      </c>
      <c r="C165" t="s">
        <v>17</v>
      </c>
      <c r="D165" t="s">
        <v>18</v>
      </c>
      <c r="E165">
        <v>83</v>
      </c>
      <c r="F165" t="s">
        <v>22</v>
      </c>
      <c r="G165">
        <v>9439</v>
      </c>
      <c r="H165">
        <v>23402</v>
      </c>
      <c r="I165">
        <v>16</v>
      </c>
      <c r="J165">
        <v>12</v>
      </c>
      <c r="K165">
        <v>5</v>
      </c>
      <c r="L165">
        <v>3</v>
      </c>
      <c r="M165">
        <v>1</v>
      </c>
      <c r="N165">
        <v>4</v>
      </c>
      <c r="P165">
        <f>G165*I165/100</f>
        <v>1510.24</v>
      </c>
      <c r="Q165">
        <f t="shared" si="2"/>
        <v>113268</v>
      </c>
      <c r="R165">
        <f>K165/J165</f>
        <v>0.41666666666666669</v>
      </c>
      <c r="S165">
        <v>2020</v>
      </c>
    </row>
    <row r="166" spans="1:19" x14ac:dyDescent="0.3">
      <c r="A166">
        <v>27</v>
      </c>
      <c r="B166">
        <v>1450</v>
      </c>
      <c r="C166" t="s">
        <v>17</v>
      </c>
      <c r="D166" t="s">
        <v>18</v>
      </c>
      <c r="E166">
        <v>79</v>
      </c>
      <c r="F166" t="s">
        <v>19</v>
      </c>
      <c r="G166">
        <v>2566</v>
      </c>
      <c r="H166">
        <v>25326</v>
      </c>
      <c r="I166">
        <v>15</v>
      </c>
      <c r="J166">
        <v>1</v>
      </c>
      <c r="K166">
        <v>1</v>
      </c>
      <c r="L166">
        <v>1</v>
      </c>
      <c r="M166">
        <v>0</v>
      </c>
      <c r="N166">
        <v>1</v>
      </c>
      <c r="P166">
        <f>G166*I166/100</f>
        <v>384.9</v>
      </c>
      <c r="Q166">
        <f t="shared" si="2"/>
        <v>30792</v>
      </c>
      <c r="R166">
        <f>K166/J166</f>
        <v>1</v>
      </c>
      <c r="S166">
        <v>2020</v>
      </c>
    </row>
    <row r="167" spans="1:19" x14ac:dyDescent="0.3">
      <c r="A167">
        <v>50</v>
      </c>
      <c r="B167">
        <v>1452</v>
      </c>
      <c r="C167" t="s">
        <v>17</v>
      </c>
      <c r="D167" t="s">
        <v>15</v>
      </c>
      <c r="E167">
        <v>53</v>
      </c>
      <c r="F167" t="s">
        <v>23</v>
      </c>
      <c r="G167">
        <v>19926</v>
      </c>
      <c r="H167">
        <v>17053</v>
      </c>
      <c r="I167">
        <v>15</v>
      </c>
      <c r="J167">
        <v>21</v>
      </c>
      <c r="K167">
        <v>5</v>
      </c>
      <c r="L167">
        <v>4</v>
      </c>
      <c r="M167">
        <v>4</v>
      </c>
      <c r="N167">
        <v>4</v>
      </c>
      <c r="P167">
        <f>G167*I167/100</f>
        <v>2988.9</v>
      </c>
      <c r="Q167">
        <f t="shared" si="2"/>
        <v>239112</v>
      </c>
      <c r="R167">
        <f>K167/J167</f>
        <v>0.23809523809523808</v>
      </c>
      <c r="S167">
        <v>2020</v>
      </c>
    </row>
    <row r="168" spans="1:19" x14ac:dyDescent="0.3">
      <c r="A168">
        <v>41</v>
      </c>
      <c r="B168">
        <v>465</v>
      </c>
      <c r="C168" t="s">
        <v>17</v>
      </c>
      <c r="D168" t="s">
        <v>18</v>
      </c>
      <c r="E168">
        <v>56</v>
      </c>
      <c r="F168" t="s">
        <v>19</v>
      </c>
      <c r="G168">
        <v>2451</v>
      </c>
      <c r="H168">
        <v>4609</v>
      </c>
      <c r="I168">
        <v>12</v>
      </c>
      <c r="J168">
        <v>13</v>
      </c>
      <c r="K168">
        <v>9</v>
      </c>
      <c r="L168">
        <v>8</v>
      </c>
      <c r="M168">
        <v>1</v>
      </c>
      <c r="N168">
        <v>8</v>
      </c>
      <c r="P168">
        <f>G168*I168/100</f>
        <v>294.12</v>
      </c>
      <c r="Q168">
        <f t="shared" si="2"/>
        <v>29412</v>
      </c>
      <c r="R168">
        <f>K168/J168</f>
        <v>0.69230769230769229</v>
      </c>
      <c r="S168">
        <v>2020</v>
      </c>
    </row>
    <row r="169" spans="1:19" x14ac:dyDescent="0.3">
      <c r="A169">
        <v>30</v>
      </c>
      <c r="B169">
        <v>1339</v>
      </c>
      <c r="C169" t="s">
        <v>14</v>
      </c>
      <c r="D169" t="s">
        <v>15</v>
      </c>
      <c r="E169">
        <v>41</v>
      </c>
      <c r="F169" t="s">
        <v>16</v>
      </c>
      <c r="G169">
        <v>9419</v>
      </c>
      <c r="H169">
        <v>8053</v>
      </c>
      <c r="I169">
        <v>12</v>
      </c>
      <c r="J169">
        <v>12</v>
      </c>
      <c r="K169">
        <v>10</v>
      </c>
      <c r="L169">
        <v>9</v>
      </c>
      <c r="M169">
        <v>7</v>
      </c>
      <c r="N169">
        <v>4</v>
      </c>
      <c r="P169">
        <f>G169*I169/100</f>
        <v>1130.28</v>
      </c>
      <c r="Q169">
        <f t="shared" si="2"/>
        <v>113028</v>
      </c>
      <c r="R169">
        <f>K169/J169</f>
        <v>0.83333333333333337</v>
      </c>
      <c r="S169">
        <v>2020</v>
      </c>
    </row>
    <row r="170" spans="1:19" x14ac:dyDescent="0.3">
      <c r="A170">
        <v>38</v>
      </c>
      <c r="B170">
        <v>702</v>
      </c>
      <c r="C170" t="s">
        <v>14</v>
      </c>
      <c r="D170" t="s">
        <v>15</v>
      </c>
      <c r="E170">
        <v>59</v>
      </c>
      <c r="F170" t="s">
        <v>16</v>
      </c>
      <c r="G170">
        <v>8686</v>
      </c>
      <c r="H170">
        <v>12930</v>
      </c>
      <c r="I170">
        <v>22</v>
      </c>
      <c r="J170">
        <v>12</v>
      </c>
      <c r="K170">
        <v>8</v>
      </c>
      <c r="L170">
        <v>3</v>
      </c>
      <c r="M170">
        <v>0</v>
      </c>
      <c r="N170">
        <v>7</v>
      </c>
      <c r="P170">
        <f>G170*I170/100</f>
        <v>1910.92</v>
      </c>
      <c r="Q170">
        <f t="shared" si="2"/>
        <v>104232</v>
      </c>
      <c r="R170">
        <f>K170/J170</f>
        <v>0.66666666666666663</v>
      </c>
      <c r="S170">
        <v>2020</v>
      </c>
    </row>
    <row r="171" spans="1:19" x14ac:dyDescent="0.3">
      <c r="A171">
        <v>32</v>
      </c>
      <c r="B171">
        <v>120</v>
      </c>
      <c r="C171" t="s">
        <v>17</v>
      </c>
      <c r="D171" t="s">
        <v>18</v>
      </c>
      <c r="E171">
        <v>43</v>
      </c>
      <c r="F171" t="s">
        <v>19</v>
      </c>
      <c r="G171">
        <v>3038</v>
      </c>
      <c r="H171">
        <v>12430</v>
      </c>
      <c r="I171">
        <v>20</v>
      </c>
      <c r="J171">
        <v>8</v>
      </c>
      <c r="K171">
        <v>5</v>
      </c>
      <c r="L171">
        <v>4</v>
      </c>
      <c r="M171">
        <v>1</v>
      </c>
      <c r="N171">
        <v>4</v>
      </c>
      <c r="P171">
        <f>G171*I171/100</f>
        <v>607.6</v>
      </c>
      <c r="Q171">
        <f t="shared" si="2"/>
        <v>36456</v>
      </c>
      <c r="R171">
        <f>K171/J171</f>
        <v>0.625</v>
      </c>
      <c r="S171">
        <v>2020</v>
      </c>
    </row>
    <row r="172" spans="1:19" x14ac:dyDescent="0.3">
      <c r="A172">
        <v>27</v>
      </c>
      <c r="B172">
        <v>1157</v>
      </c>
      <c r="C172" t="s">
        <v>17</v>
      </c>
      <c r="D172" t="s">
        <v>18</v>
      </c>
      <c r="E172">
        <v>51</v>
      </c>
      <c r="F172" t="s">
        <v>19</v>
      </c>
      <c r="G172">
        <v>3058</v>
      </c>
      <c r="H172">
        <v>13364</v>
      </c>
      <c r="I172">
        <v>16</v>
      </c>
      <c r="J172">
        <v>6</v>
      </c>
      <c r="K172">
        <v>5</v>
      </c>
      <c r="L172">
        <v>2</v>
      </c>
      <c r="M172">
        <v>1</v>
      </c>
      <c r="N172">
        <v>1</v>
      </c>
      <c r="P172">
        <f>G172*I172/100</f>
        <v>489.28</v>
      </c>
      <c r="Q172">
        <f t="shared" si="2"/>
        <v>36696</v>
      </c>
      <c r="R172">
        <f>K172/J172</f>
        <v>0.83333333333333337</v>
      </c>
      <c r="S172">
        <v>2020</v>
      </c>
    </row>
    <row r="173" spans="1:19" x14ac:dyDescent="0.3">
      <c r="A173">
        <v>19</v>
      </c>
      <c r="B173">
        <v>602</v>
      </c>
      <c r="C173" t="s">
        <v>14</v>
      </c>
      <c r="D173" t="s">
        <v>15</v>
      </c>
      <c r="E173">
        <v>100</v>
      </c>
      <c r="F173" t="s">
        <v>24</v>
      </c>
      <c r="G173">
        <v>2325</v>
      </c>
      <c r="H173">
        <v>20989</v>
      </c>
      <c r="I173">
        <v>21</v>
      </c>
      <c r="J173">
        <v>1</v>
      </c>
      <c r="K173">
        <v>0</v>
      </c>
      <c r="L173">
        <v>0</v>
      </c>
      <c r="M173">
        <v>0</v>
      </c>
      <c r="N173">
        <v>0</v>
      </c>
      <c r="P173">
        <f>G173*I173/100</f>
        <v>488.25</v>
      </c>
      <c r="Q173">
        <f t="shared" si="2"/>
        <v>27900</v>
      </c>
      <c r="R173">
        <f>K173/J173</f>
        <v>0</v>
      </c>
      <c r="S173">
        <v>2020</v>
      </c>
    </row>
    <row r="174" spans="1:19" x14ac:dyDescent="0.3">
      <c r="A174">
        <v>36</v>
      </c>
      <c r="B174">
        <v>1480</v>
      </c>
      <c r="C174" t="s">
        <v>17</v>
      </c>
      <c r="D174" t="s">
        <v>18</v>
      </c>
      <c r="E174">
        <v>30</v>
      </c>
      <c r="F174" t="s">
        <v>20</v>
      </c>
      <c r="G174">
        <v>2088</v>
      </c>
      <c r="H174">
        <v>15062</v>
      </c>
      <c r="I174">
        <v>12</v>
      </c>
      <c r="J174">
        <v>13</v>
      </c>
      <c r="K174">
        <v>8</v>
      </c>
      <c r="L174">
        <v>7</v>
      </c>
      <c r="M174">
        <v>7</v>
      </c>
      <c r="N174">
        <v>2</v>
      </c>
      <c r="P174">
        <f>G174*I174/100</f>
        <v>250.56</v>
      </c>
      <c r="Q174">
        <f t="shared" si="2"/>
        <v>25056</v>
      </c>
      <c r="R174">
        <f>K174/J174</f>
        <v>0.61538461538461542</v>
      </c>
      <c r="S174">
        <v>2020</v>
      </c>
    </row>
    <row r="175" spans="1:19" x14ac:dyDescent="0.3">
      <c r="A175">
        <v>30</v>
      </c>
      <c r="B175">
        <v>111</v>
      </c>
      <c r="C175" t="s">
        <v>17</v>
      </c>
      <c r="D175" t="s">
        <v>18</v>
      </c>
      <c r="E175">
        <v>66</v>
      </c>
      <c r="F175" t="s">
        <v>20</v>
      </c>
      <c r="G175">
        <v>3072</v>
      </c>
      <c r="H175">
        <v>11012</v>
      </c>
      <c r="I175">
        <v>11</v>
      </c>
      <c r="J175">
        <v>12</v>
      </c>
      <c r="K175">
        <v>12</v>
      </c>
      <c r="L175">
        <v>9</v>
      </c>
      <c r="M175">
        <v>6</v>
      </c>
      <c r="N175">
        <v>10</v>
      </c>
      <c r="P175">
        <f>G175*I175/100</f>
        <v>337.92</v>
      </c>
      <c r="Q175">
        <f t="shared" si="2"/>
        <v>36864</v>
      </c>
      <c r="R175">
        <f>K175/J175</f>
        <v>1</v>
      </c>
      <c r="S175">
        <v>2020</v>
      </c>
    </row>
    <row r="176" spans="1:19" x14ac:dyDescent="0.3">
      <c r="A176">
        <v>45</v>
      </c>
      <c r="B176">
        <v>1268</v>
      </c>
      <c r="C176" t="s">
        <v>14</v>
      </c>
      <c r="D176" t="s">
        <v>15</v>
      </c>
      <c r="E176">
        <v>30</v>
      </c>
      <c r="F176" t="s">
        <v>16</v>
      </c>
      <c r="G176">
        <v>5006</v>
      </c>
      <c r="H176">
        <v>6319</v>
      </c>
      <c r="I176">
        <v>11</v>
      </c>
      <c r="J176">
        <v>9</v>
      </c>
      <c r="K176">
        <v>5</v>
      </c>
      <c r="L176">
        <v>4</v>
      </c>
      <c r="M176">
        <v>0</v>
      </c>
      <c r="N176">
        <v>3</v>
      </c>
      <c r="P176">
        <f>G176*I176/100</f>
        <v>550.66</v>
      </c>
      <c r="Q176">
        <f t="shared" si="2"/>
        <v>60072</v>
      </c>
      <c r="R176">
        <f>K176/J176</f>
        <v>0.55555555555555558</v>
      </c>
      <c r="S176">
        <v>2020</v>
      </c>
    </row>
    <row r="177" spans="1:19" x14ac:dyDescent="0.3">
      <c r="A177">
        <v>56</v>
      </c>
      <c r="B177">
        <v>713</v>
      </c>
      <c r="C177" t="s">
        <v>17</v>
      </c>
      <c r="D177" t="s">
        <v>15</v>
      </c>
      <c r="E177">
        <v>67</v>
      </c>
      <c r="F177" t="s">
        <v>19</v>
      </c>
      <c r="G177">
        <v>4257</v>
      </c>
      <c r="H177">
        <v>13939</v>
      </c>
      <c r="I177">
        <v>18</v>
      </c>
      <c r="J177">
        <v>19</v>
      </c>
      <c r="K177">
        <v>2</v>
      </c>
      <c r="L177">
        <v>2</v>
      </c>
      <c r="M177">
        <v>2</v>
      </c>
      <c r="N177">
        <v>2</v>
      </c>
      <c r="P177">
        <f>G177*I177/100</f>
        <v>766.26</v>
      </c>
      <c r="Q177">
        <f t="shared" si="2"/>
        <v>51084</v>
      </c>
      <c r="R177">
        <f>K177/J177</f>
        <v>0.10526315789473684</v>
      </c>
      <c r="S177">
        <v>2020</v>
      </c>
    </row>
    <row r="178" spans="1:19" x14ac:dyDescent="0.3">
      <c r="A178">
        <v>33</v>
      </c>
      <c r="B178">
        <v>134</v>
      </c>
      <c r="C178" t="s">
        <v>17</v>
      </c>
      <c r="D178" t="s">
        <v>18</v>
      </c>
      <c r="E178">
        <v>90</v>
      </c>
      <c r="F178" t="s">
        <v>19</v>
      </c>
      <c r="G178">
        <v>2500</v>
      </c>
      <c r="H178">
        <v>10515</v>
      </c>
      <c r="I178">
        <v>14</v>
      </c>
      <c r="J178">
        <v>4</v>
      </c>
      <c r="K178">
        <v>3</v>
      </c>
      <c r="L178">
        <v>1</v>
      </c>
      <c r="M178">
        <v>0</v>
      </c>
      <c r="N178">
        <v>2</v>
      </c>
      <c r="P178">
        <f>G178*I178/100</f>
        <v>350</v>
      </c>
      <c r="Q178">
        <f t="shared" si="2"/>
        <v>30000</v>
      </c>
      <c r="R178">
        <f>K178/J178</f>
        <v>0.75</v>
      </c>
      <c r="S178">
        <v>2020</v>
      </c>
    </row>
    <row r="179" spans="1:19" x14ac:dyDescent="0.3">
      <c r="A179">
        <v>19</v>
      </c>
      <c r="B179">
        <v>303</v>
      </c>
      <c r="C179" t="s">
        <v>17</v>
      </c>
      <c r="D179" t="s">
        <v>18</v>
      </c>
      <c r="E179">
        <v>47</v>
      </c>
      <c r="F179" t="s">
        <v>20</v>
      </c>
      <c r="G179">
        <v>1102</v>
      </c>
      <c r="H179">
        <v>9241</v>
      </c>
      <c r="I179">
        <v>22</v>
      </c>
      <c r="J179">
        <v>1</v>
      </c>
      <c r="K179">
        <v>1</v>
      </c>
      <c r="L179">
        <v>0</v>
      </c>
      <c r="M179">
        <v>1</v>
      </c>
      <c r="N179">
        <v>0</v>
      </c>
      <c r="P179">
        <f>G179*I179/100</f>
        <v>242.44</v>
      </c>
      <c r="Q179">
        <f t="shared" si="2"/>
        <v>13224</v>
      </c>
      <c r="R179">
        <f>K179/J179</f>
        <v>1</v>
      </c>
      <c r="S179">
        <v>2020</v>
      </c>
    </row>
    <row r="180" spans="1:19" x14ac:dyDescent="0.3">
      <c r="A180">
        <v>46</v>
      </c>
      <c r="B180">
        <v>526</v>
      </c>
      <c r="C180" t="s">
        <v>14</v>
      </c>
      <c r="D180" t="s">
        <v>15</v>
      </c>
      <c r="E180">
        <v>92</v>
      </c>
      <c r="F180" t="s">
        <v>16</v>
      </c>
      <c r="G180">
        <v>10453</v>
      </c>
      <c r="H180">
        <v>2137</v>
      </c>
      <c r="I180">
        <v>25</v>
      </c>
      <c r="J180">
        <v>24</v>
      </c>
      <c r="K180">
        <v>24</v>
      </c>
      <c r="L180">
        <v>13</v>
      </c>
      <c r="M180">
        <v>15</v>
      </c>
      <c r="N180">
        <v>7</v>
      </c>
      <c r="P180">
        <f>G180*I180/100</f>
        <v>2613.25</v>
      </c>
      <c r="Q180">
        <f t="shared" si="2"/>
        <v>125436</v>
      </c>
      <c r="R180">
        <f>K180/J180</f>
        <v>1</v>
      </c>
      <c r="S180">
        <v>2020</v>
      </c>
    </row>
    <row r="181" spans="1:19" x14ac:dyDescent="0.3">
      <c r="A181">
        <v>38</v>
      </c>
      <c r="B181">
        <v>1380</v>
      </c>
      <c r="C181" t="s">
        <v>17</v>
      </c>
      <c r="D181" t="s">
        <v>15</v>
      </c>
      <c r="E181">
        <v>75</v>
      </c>
      <c r="F181" t="s">
        <v>20</v>
      </c>
      <c r="G181">
        <v>2288</v>
      </c>
      <c r="H181">
        <v>6319</v>
      </c>
      <c r="I181">
        <v>12</v>
      </c>
      <c r="J181">
        <v>2</v>
      </c>
      <c r="K181">
        <v>2</v>
      </c>
      <c r="L181">
        <v>2</v>
      </c>
      <c r="M181">
        <v>2</v>
      </c>
      <c r="N181">
        <v>1</v>
      </c>
      <c r="P181">
        <f>G181*I181/100</f>
        <v>274.56</v>
      </c>
      <c r="Q181">
        <f t="shared" si="2"/>
        <v>27456</v>
      </c>
      <c r="R181">
        <f>K181/J181</f>
        <v>1</v>
      </c>
      <c r="S181">
        <v>2020</v>
      </c>
    </row>
    <row r="182" spans="1:19" x14ac:dyDescent="0.3">
      <c r="A182">
        <v>31</v>
      </c>
      <c r="B182">
        <v>140</v>
      </c>
      <c r="C182" t="s">
        <v>17</v>
      </c>
      <c r="D182" t="s">
        <v>15</v>
      </c>
      <c r="E182">
        <v>95</v>
      </c>
      <c r="F182" t="s">
        <v>19</v>
      </c>
      <c r="G182">
        <v>3929</v>
      </c>
      <c r="H182">
        <v>6984</v>
      </c>
      <c r="I182">
        <v>23</v>
      </c>
      <c r="J182">
        <v>7</v>
      </c>
      <c r="K182">
        <v>4</v>
      </c>
      <c r="L182">
        <v>2</v>
      </c>
      <c r="M182">
        <v>0</v>
      </c>
      <c r="N182">
        <v>2</v>
      </c>
      <c r="P182">
        <f>G182*I182/100</f>
        <v>903.67</v>
      </c>
      <c r="Q182">
        <f t="shared" si="2"/>
        <v>47148</v>
      </c>
      <c r="R182">
        <f>K182/J182</f>
        <v>0.5714285714285714</v>
      </c>
      <c r="S182">
        <v>2020</v>
      </c>
    </row>
    <row r="183" spans="1:19" x14ac:dyDescent="0.3">
      <c r="A183">
        <v>34</v>
      </c>
      <c r="B183">
        <v>629</v>
      </c>
      <c r="C183" t="s">
        <v>17</v>
      </c>
      <c r="D183" t="s">
        <v>15</v>
      </c>
      <c r="E183">
        <v>95</v>
      </c>
      <c r="F183" t="s">
        <v>19</v>
      </c>
      <c r="G183">
        <v>2311</v>
      </c>
      <c r="H183">
        <v>5711</v>
      </c>
      <c r="I183">
        <v>15</v>
      </c>
      <c r="J183">
        <v>9</v>
      </c>
      <c r="K183">
        <v>3</v>
      </c>
      <c r="L183">
        <v>2</v>
      </c>
      <c r="M183">
        <v>1</v>
      </c>
      <c r="N183">
        <v>2</v>
      </c>
      <c r="P183">
        <f>G183*I183/100</f>
        <v>346.65</v>
      </c>
      <c r="Q183">
        <f t="shared" si="2"/>
        <v>27732</v>
      </c>
      <c r="R183">
        <f>K183/J183</f>
        <v>0.33333333333333331</v>
      </c>
      <c r="S183">
        <v>2020</v>
      </c>
    </row>
    <row r="184" spans="1:19" x14ac:dyDescent="0.3">
      <c r="A184">
        <v>41</v>
      </c>
      <c r="B184">
        <v>1356</v>
      </c>
      <c r="C184" t="s">
        <v>14</v>
      </c>
      <c r="D184" t="s">
        <v>15</v>
      </c>
      <c r="E184">
        <v>70</v>
      </c>
      <c r="F184" t="s">
        <v>24</v>
      </c>
      <c r="G184">
        <v>3140</v>
      </c>
      <c r="H184">
        <v>21728</v>
      </c>
      <c r="I184">
        <v>22</v>
      </c>
      <c r="J184">
        <v>4</v>
      </c>
      <c r="K184">
        <v>4</v>
      </c>
      <c r="L184">
        <v>3</v>
      </c>
      <c r="M184">
        <v>0</v>
      </c>
      <c r="N184">
        <v>2</v>
      </c>
      <c r="P184">
        <f>G184*I184/100</f>
        <v>690.8</v>
      </c>
      <c r="Q184">
        <f t="shared" si="2"/>
        <v>37680</v>
      </c>
      <c r="R184">
        <f>K184/J184</f>
        <v>1</v>
      </c>
      <c r="S184">
        <v>2020</v>
      </c>
    </row>
    <row r="185" spans="1:19" x14ac:dyDescent="0.3">
      <c r="A185">
        <v>50</v>
      </c>
      <c r="B185">
        <v>328</v>
      </c>
      <c r="C185" t="s">
        <v>17</v>
      </c>
      <c r="D185" t="s">
        <v>18</v>
      </c>
      <c r="E185">
        <v>86</v>
      </c>
      <c r="F185" t="s">
        <v>20</v>
      </c>
      <c r="G185">
        <v>3690</v>
      </c>
      <c r="H185">
        <v>3425</v>
      </c>
      <c r="I185">
        <v>15</v>
      </c>
      <c r="J185">
        <v>5</v>
      </c>
      <c r="K185">
        <v>3</v>
      </c>
      <c r="L185">
        <v>2</v>
      </c>
      <c r="M185">
        <v>0</v>
      </c>
      <c r="N185">
        <v>2</v>
      </c>
      <c r="P185">
        <f>G185*I185/100</f>
        <v>553.5</v>
      </c>
      <c r="Q185">
        <f t="shared" si="2"/>
        <v>44280</v>
      </c>
      <c r="R185">
        <f>K185/J185</f>
        <v>0.6</v>
      </c>
      <c r="S185">
        <v>2020</v>
      </c>
    </row>
    <row r="186" spans="1:19" x14ac:dyDescent="0.3">
      <c r="A186">
        <v>53</v>
      </c>
      <c r="B186">
        <v>1084</v>
      </c>
      <c r="C186" t="s">
        <v>17</v>
      </c>
      <c r="D186" t="s">
        <v>15</v>
      </c>
      <c r="E186">
        <v>57</v>
      </c>
      <c r="F186" t="s">
        <v>21</v>
      </c>
      <c r="G186">
        <v>4450</v>
      </c>
      <c r="H186">
        <v>26250</v>
      </c>
      <c r="I186">
        <v>11</v>
      </c>
      <c r="J186">
        <v>5</v>
      </c>
      <c r="K186">
        <v>4</v>
      </c>
      <c r="L186">
        <v>2</v>
      </c>
      <c r="M186">
        <v>1</v>
      </c>
      <c r="N186">
        <v>3</v>
      </c>
      <c r="P186">
        <f>G186*I186/100</f>
        <v>489.5</v>
      </c>
      <c r="Q186">
        <f t="shared" si="2"/>
        <v>53400</v>
      </c>
      <c r="R186">
        <f>K186/J186</f>
        <v>0.8</v>
      </c>
      <c r="S186">
        <v>2020</v>
      </c>
    </row>
    <row r="187" spans="1:19" x14ac:dyDescent="0.3">
      <c r="A187">
        <v>33</v>
      </c>
      <c r="B187">
        <v>931</v>
      </c>
      <c r="C187" t="s">
        <v>17</v>
      </c>
      <c r="D187" t="s">
        <v>15</v>
      </c>
      <c r="E187">
        <v>72</v>
      </c>
      <c r="F187" t="s">
        <v>19</v>
      </c>
      <c r="G187">
        <v>2756</v>
      </c>
      <c r="H187">
        <v>4673</v>
      </c>
      <c r="I187">
        <v>13</v>
      </c>
      <c r="J187">
        <v>8</v>
      </c>
      <c r="K187">
        <v>8</v>
      </c>
      <c r="L187">
        <v>7</v>
      </c>
      <c r="M187">
        <v>1</v>
      </c>
      <c r="N187">
        <v>6</v>
      </c>
      <c r="P187">
        <f>G187*I187/100</f>
        <v>358.28</v>
      </c>
      <c r="Q187">
        <f t="shared" si="2"/>
        <v>33072</v>
      </c>
      <c r="R187">
        <f>K187/J187</f>
        <v>1</v>
      </c>
      <c r="S187">
        <v>2020</v>
      </c>
    </row>
    <row r="188" spans="1:19" x14ac:dyDescent="0.3">
      <c r="A188">
        <v>40</v>
      </c>
      <c r="B188">
        <v>989</v>
      </c>
      <c r="C188" t="s">
        <v>17</v>
      </c>
      <c r="D188" t="s">
        <v>15</v>
      </c>
      <c r="E188">
        <v>46</v>
      </c>
      <c r="F188" t="s">
        <v>23</v>
      </c>
      <c r="G188">
        <v>19033</v>
      </c>
      <c r="H188">
        <v>6499</v>
      </c>
      <c r="I188">
        <v>14</v>
      </c>
      <c r="J188">
        <v>21</v>
      </c>
      <c r="K188">
        <v>20</v>
      </c>
      <c r="L188">
        <v>8</v>
      </c>
      <c r="M188">
        <v>9</v>
      </c>
      <c r="N188">
        <v>9</v>
      </c>
      <c r="P188">
        <f>G188*I188/100</f>
        <v>2664.62</v>
      </c>
      <c r="Q188">
        <f t="shared" si="2"/>
        <v>228396</v>
      </c>
      <c r="R188">
        <f>K188/J188</f>
        <v>0.95238095238095233</v>
      </c>
      <c r="S188">
        <v>2020</v>
      </c>
    </row>
    <row r="189" spans="1:19" x14ac:dyDescent="0.3">
      <c r="A189">
        <v>55</v>
      </c>
      <c r="B189">
        <v>692</v>
      </c>
      <c r="C189" t="s">
        <v>17</v>
      </c>
      <c r="D189" t="s">
        <v>18</v>
      </c>
      <c r="E189">
        <v>61</v>
      </c>
      <c r="F189" t="s">
        <v>25</v>
      </c>
      <c r="G189">
        <v>18722</v>
      </c>
      <c r="H189">
        <v>13339</v>
      </c>
      <c r="I189">
        <v>11</v>
      </c>
      <c r="J189">
        <v>36</v>
      </c>
      <c r="K189">
        <v>24</v>
      </c>
      <c r="L189">
        <v>15</v>
      </c>
      <c r="M189">
        <v>2</v>
      </c>
      <c r="N189">
        <v>15</v>
      </c>
      <c r="P189">
        <f>G189*I189/100</f>
        <v>2059.42</v>
      </c>
      <c r="Q189">
        <f t="shared" si="2"/>
        <v>224664</v>
      </c>
      <c r="R189">
        <f>K189/J189</f>
        <v>0.66666666666666663</v>
      </c>
      <c r="S189">
        <v>2020</v>
      </c>
    </row>
    <row r="190" spans="1:19" x14ac:dyDescent="0.3">
      <c r="A190">
        <v>34</v>
      </c>
      <c r="B190">
        <v>1069</v>
      </c>
      <c r="C190" t="s">
        <v>17</v>
      </c>
      <c r="D190" t="s">
        <v>18</v>
      </c>
      <c r="E190">
        <v>45</v>
      </c>
      <c r="F190" t="s">
        <v>21</v>
      </c>
      <c r="G190">
        <v>9547</v>
      </c>
      <c r="H190">
        <v>14074</v>
      </c>
      <c r="I190">
        <v>17</v>
      </c>
      <c r="J190">
        <v>10</v>
      </c>
      <c r="K190">
        <v>10</v>
      </c>
      <c r="L190">
        <v>9</v>
      </c>
      <c r="M190">
        <v>1</v>
      </c>
      <c r="N190">
        <v>9</v>
      </c>
      <c r="P190">
        <f>G190*I190/100</f>
        <v>1622.99</v>
      </c>
      <c r="Q190">
        <f t="shared" si="2"/>
        <v>114564</v>
      </c>
      <c r="R190">
        <f>K190/J190</f>
        <v>1</v>
      </c>
      <c r="S190">
        <v>2020</v>
      </c>
    </row>
    <row r="191" spans="1:19" x14ac:dyDescent="0.3">
      <c r="A191">
        <v>51</v>
      </c>
      <c r="B191">
        <v>313</v>
      </c>
      <c r="C191" t="s">
        <v>17</v>
      </c>
      <c r="D191" t="s">
        <v>15</v>
      </c>
      <c r="E191">
        <v>98</v>
      </c>
      <c r="F191" t="s">
        <v>22</v>
      </c>
      <c r="G191">
        <v>13734</v>
      </c>
      <c r="H191">
        <v>7192</v>
      </c>
      <c r="I191">
        <v>18</v>
      </c>
      <c r="J191">
        <v>21</v>
      </c>
      <c r="K191">
        <v>7</v>
      </c>
      <c r="L191">
        <v>7</v>
      </c>
      <c r="M191">
        <v>1</v>
      </c>
      <c r="N191">
        <v>0</v>
      </c>
      <c r="P191">
        <f>G191*I191/100</f>
        <v>2472.12</v>
      </c>
      <c r="Q191">
        <f t="shared" si="2"/>
        <v>164808</v>
      </c>
      <c r="R191">
        <f>K191/J191</f>
        <v>0.33333333333333331</v>
      </c>
      <c r="S191">
        <v>2020</v>
      </c>
    </row>
    <row r="192" spans="1:19" x14ac:dyDescent="0.3">
      <c r="A192">
        <v>52</v>
      </c>
      <c r="B192">
        <v>699</v>
      </c>
      <c r="C192" t="s">
        <v>17</v>
      </c>
      <c r="D192" t="s">
        <v>18</v>
      </c>
      <c r="E192">
        <v>65</v>
      </c>
      <c r="F192" t="s">
        <v>23</v>
      </c>
      <c r="G192">
        <v>19999</v>
      </c>
      <c r="H192">
        <v>5678</v>
      </c>
      <c r="I192">
        <v>14</v>
      </c>
      <c r="J192">
        <v>34</v>
      </c>
      <c r="K192">
        <v>33</v>
      </c>
      <c r="L192">
        <v>18</v>
      </c>
      <c r="M192">
        <v>11</v>
      </c>
      <c r="N192">
        <v>9</v>
      </c>
      <c r="P192">
        <f>G192*I192/100</f>
        <v>2799.86</v>
      </c>
      <c r="Q192">
        <f t="shared" si="2"/>
        <v>239988</v>
      </c>
      <c r="R192">
        <f>K192/J192</f>
        <v>0.97058823529411764</v>
      </c>
      <c r="S192">
        <v>2020</v>
      </c>
    </row>
    <row r="193" spans="1:19" x14ac:dyDescent="0.3">
      <c r="A193">
        <v>27</v>
      </c>
      <c r="B193">
        <v>894</v>
      </c>
      <c r="C193" t="s">
        <v>17</v>
      </c>
      <c r="D193" t="s">
        <v>15</v>
      </c>
      <c r="E193">
        <v>99</v>
      </c>
      <c r="F193" t="s">
        <v>19</v>
      </c>
      <c r="G193">
        <v>2279</v>
      </c>
      <c r="H193">
        <v>11781</v>
      </c>
      <c r="I193">
        <v>16</v>
      </c>
      <c r="J193">
        <v>7</v>
      </c>
      <c r="K193">
        <v>7</v>
      </c>
      <c r="L193">
        <v>7</v>
      </c>
      <c r="M193">
        <v>0</v>
      </c>
      <c r="N193">
        <v>3</v>
      </c>
      <c r="P193">
        <f>G193*I193/100</f>
        <v>364.64</v>
      </c>
      <c r="Q193">
        <f t="shared" si="2"/>
        <v>27348</v>
      </c>
      <c r="R193">
        <f>K193/J193</f>
        <v>1</v>
      </c>
      <c r="S193">
        <v>2020</v>
      </c>
    </row>
    <row r="194" spans="1:19" x14ac:dyDescent="0.3">
      <c r="A194">
        <v>35</v>
      </c>
      <c r="B194">
        <v>556</v>
      </c>
      <c r="C194" t="s">
        <v>17</v>
      </c>
      <c r="D194" t="s">
        <v>18</v>
      </c>
      <c r="E194">
        <v>50</v>
      </c>
      <c r="F194" t="s">
        <v>21</v>
      </c>
      <c r="G194">
        <v>5916</v>
      </c>
      <c r="H194">
        <v>15497</v>
      </c>
      <c r="I194">
        <v>13</v>
      </c>
      <c r="J194">
        <v>8</v>
      </c>
      <c r="K194">
        <v>1</v>
      </c>
      <c r="L194">
        <v>0</v>
      </c>
      <c r="M194">
        <v>0</v>
      </c>
      <c r="N194">
        <v>1</v>
      </c>
      <c r="P194">
        <f>G194*I194/100</f>
        <v>769.08</v>
      </c>
      <c r="Q194">
        <f t="shared" si="2"/>
        <v>70992</v>
      </c>
      <c r="R194">
        <f>K194/J194</f>
        <v>0.125</v>
      </c>
      <c r="S194">
        <v>2020</v>
      </c>
    </row>
    <row r="195" spans="1:19" x14ac:dyDescent="0.3">
      <c r="A195">
        <v>43</v>
      </c>
      <c r="B195">
        <v>1344</v>
      </c>
      <c r="C195" t="s">
        <v>17</v>
      </c>
      <c r="D195" t="s">
        <v>18</v>
      </c>
      <c r="E195">
        <v>37</v>
      </c>
      <c r="F195" t="s">
        <v>19</v>
      </c>
      <c r="G195">
        <v>2089</v>
      </c>
      <c r="H195">
        <v>5228</v>
      </c>
      <c r="I195">
        <v>14</v>
      </c>
      <c r="J195">
        <v>7</v>
      </c>
      <c r="K195">
        <v>5</v>
      </c>
      <c r="L195">
        <v>4</v>
      </c>
      <c r="M195">
        <v>2</v>
      </c>
      <c r="N195">
        <v>2</v>
      </c>
      <c r="P195">
        <f>G195*I195/100</f>
        <v>292.45999999999998</v>
      </c>
      <c r="Q195">
        <f t="shared" ref="Q195:Q258" si="3">G195*12</f>
        <v>25068</v>
      </c>
      <c r="R195">
        <f>K195/J195</f>
        <v>0.7142857142857143</v>
      </c>
      <c r="S195">
        <v>2020</v>
      </c>
    </row>
    <row r="196" spans="1:19" x14ac:dyDescent="0.3">
      <c r="A196">
        <v>45</v>
      </c>
      <c r="B196">
        <v>1195</v>
      </c>
      <c r="C196" t="s">
        <v>17</v>
      </c>
      <c r="D196" t="s">
        <v>18</v>
      </c>
      <c r="E196">
        <v>65</v>
      </c>
      <c r="F196" t="s">
        <v>23</v>
      </c>
      <c r="G196">
        <v>16792</v>
      </c>
      <c r="H196">
        <v>20462</v>
      </c>
      <c r="I196">
        <v>23</v>
      </c>
      <c r="J196">
        <v>22</v>
      </c>
      <c r="K196">
        <v>20</v>
      </c>
      <c r="L196">
        <v>8</v>
      </c>
      <c r="M196">
        <v>11</v>
      </c>
      <c r="N196">
        <v>8</v>
      </c>
      <c r="P196">
        <f>G196*I196/100</f>
        <v>3862.16</v>
      </c>
      <c r="Q196">
        <f t="shared" si="3"/>
        <v>201504</v>
      </c>
      <c r="R196">
        <f>K196/J196</f>
        <v>0.90909090909090906</v>
      </c>
      <c r="S196">
        <v>2020</v>
      </c>
    </row>
    <row r="197" spans="1:19" x14ac:dyDescent="0.3">
      <c r="A197">
        <v>37</v>
      </c>
      <c r="B197">
        <v>290</v>
      </c>
      <c r="C197" t="s">
        <v>17</v>
      </c>
      <c r="D197" t="s">
        <v>18</v>
      </c>
      <c r="E197">
        <v>65</v>
      </c>
      <c r="F197" t="s">
        <v>19</v>
      </c>
      <c r="G197">
        <v>3564</v>
      </c>
      <c r="H197">
        <v>22977</v>
      </c>
      <c r="I197">
        <v>12</v>
      </c>
      <c r="J197">
        <v>8</v>
      </c>
      <c r="K197">
        <v>8</v>
      </c>
      <c r="L197">
        <v>7</v>
      </c>
      <c r="M197">
        <v>1</v>
      </c>
      <c r="N197">
        <v>7</v>
      </c>
      <c r="P197">
        <f>G197*I197/100</f>
        <v>427.68</v>
      </c>
      <c r="Q197">
        <f t="shared" si="3"/>
        <v>42768</v>
      </c>
      <c r="R197">
        <f>K197/J197</f>
        <v>1</v>
      </c>
      <c r="S197">
        <v>2020</v>
      </c>
    </row>
    <row r="198" spans="1:19" x14ac:dyDescent="0.3">
      <c r="A198">
        <v>35</v>
      </c>
      <c r="B198">
        <v>138</v>
      </c>
      <c r="C198" t="s">
        <v>17</v>
      </c>
      <c r="D198" t="s">
        <v>15</v>
      </c>
      <c r="E198">
        <v>37</v>
      </c>
      <c r="F198" t="s">
        <v>20</v>
      </c>
      <c r="G198">
        <v>4425</v>
      </c>
      <c r="H198">
        <v>15986</v>
      </c>
      <c r="I198">
        <v>11</v>
      </c>
      <c r="J198">
        <v>10</v>
      </c>
      <c r="K198">
        <v>6</v>
      </c>
      <c r="L198">
        <v>2</v>
      </c>
      <c r="M198">
        <v>1</v>
      </c>
      <c r="N198">
        <v>2</v>
      </c>
      <c r="P198">
        <f>G198*I198/100</f>
        <v>486.75</v>
      </c>
      <c r="Q198">
        <f t="shared" si="3"/>
        <v>53100</v>
      </c>
      <c r="R198">
        <f>K198/J198</f>
        <v>0.6</v>
      </c>
      <c r="S198">
        <v>2020</v>
      </c>
    </row>
    <row r="199" spans="1:19" x14ac:dyDescent="0.3">
      <c r="A199">
        <v>42</v>
      </c>
      <c r="B199">
        <v>926</v>
      </c>
      <c r="C199" t="s">
        <v>17</v>
      </c>
      <c r="D199" t="s">
        <v>15</v>
      </c>
      <c r="E199">
        <v>36</v>
      </c>
      <c r="F199" t="s">
        <v>21</v>
      </c>
      <c r="G199">
        <v>5265</v>
      </c>
      <c r="H199">
        <v>16439</v>
      </c>
      <c r="I199">
        <v>16</v>
      </c>
      <c r="J199">
        <v>11</v>
      </c>
      <c r="K199">
        <v>5</v>
      </c>
      <c r="L199">
        <v>3</v>
      </c>
      <c r="M199">
        <v>0</v>
      </c>
      <c r="N199">
        <v>2</v>
      </c>
      <c r="P199">
        <f>G199*I199/100</f>
        <v>842.4</v>
      </c>
      <c r="Q199">
        <f t="shared" si="3"/>
        <v>63180</v>
      </c>
      <c r="R199">
        <f>K199/J199</f>
        <v>0.45454545454545453</v>
      </c>
      <c r="S199">
        <v>2020</v>
      </c>
    </row>
    <row r="200" spans="1:19" x14ac:dyDescent="0.3">
      <c r="A200">
        <v>38</v>
      </c>
      <c r="B200">
        <v>1261</v>
      </c>
      <c r="C200" t="s">
        <v>17</v>
      </c>
      <c r="D200" t="s">
        <v>18</v>
      </c>
      <c r="E200">
        <v>88</v>
      </c>
      <c r="F200" t="s">
        <v>21</v>
      </c>
      <c r="G200">
        <v>6553</v>
      </c>
      <c r="H200">
        <v>7259</v>
      </c>
      <c r="I200">
        <v>14</v>
      </c>
      <c r="J200">
        <v>14</v>
      </c>
      <c r="K200">
        <v>1</v>
      </c>
      <c r="L200">
        <v>0</v>
      </c>
      <c r="M200">
        <v>0</v>
      </c>
      <c r="N200">
        <v>0</v>
      </c>
      <c r="P200">
        <f>G200*I200/100</f>
        <v>917.42</v>
      </c>
      <c r="Q200">
        <f t="shared" si="3"/>
        <v>78636</v>
      </c>
      <c r="R200">
        <f>K200/J200</f>
        <v>7.1428571428571425E-2</v>
      </c>
      <c r="S200">
        <v>2020</v>
      </c>
    </row>
    <row r="201" spans="1:19" x14ac:dyDescent="0.3">
      <c r="A201">
        <v>38</v>
      </c>
      <c r="B201">
        <v>1084</v>
      </c>
      <c r="C201" t="s">
        <v>17</v>
      </c>
      <c r="D201" t="s">
        <v>18</v>
      </c>
      <c r="E201">
        <v>54</v>
      </c>
      <c r="F201" t="s">
        <v>21</v>
      </c>
      <c r="G201">
        <v>6261</v>
      </c>
      <c r="H201">
        <v>4185</v>
      </c>
      <c r="I201">
        <v>18</v>
      </c>
      <c r="J201">
        <v>9</v>
      </c>
      <c r="K201">
        <v>7</v>
      </c>
      <c r="L201">
        <v>7</v>
      </c>
      <c r="M201">
        <v>1</v>
      </c>
      <c r="N201">
        <v>7</v>
      </c>
      <c r="P201">
        <f>G201*I201/100</f>
        <v>1126.98</v>
      </c>
      <c r="Q201">
        <f t="shared" si="3"/>
        <v>75132</v>
      </c>
      <c r="R201">
        <f>K201/J201</f>
        <v>0.77777777777777779</v>
      </c>
      <c r="S201">
        <v>2020</v>
      </c>
    </row>
    <row r="202" spans="1:19" x14ac:dyDescent="0.3">
      <c r="A202">
        <v>27</v>
      </c>
      <c r="B202">
        <v>472</v>
      </c>
      <c r="C202" t="s">
        <v>17</v>
      </c>
      <c r="D202" t="s">
        <v>18</v>
      </c>
      <c r="E202">
        <v>60</v>
      </c>
      <c r="F202" t="s">
        <v>21</v>
      </c>
      <c r="G202">
        <v>4298</v>
      </c>
      <c r="H202">
        <v>9679</v>
      </c>
      <c r="I202">
        <v>19</v>
      </c>
      <c r="J202">
        <v>6</v>
      </c>
      <c r="K202">
        <v>2</v>
      </c>
      <c r="L202">
        <v>2</v>
      </c>
      <c r="M202">
        <v>2</v>
      </c>
      <c r="N202">
        <v>0</v>
      </c>
      <c r="P202">
        <f>G202*I202/100</f>
        <v>816.62</v>
      </c>
      <c r="Q202">
        <f t="shared" si="3"/>
        <v>51576</v>
      </c>
      <c r="R202">
        <f>K202/J202</f>
        <v>0.33333333333333331</v>
      </c>
      <c r="S202">
        <v>2020</v>
      </c>
    </row>
    <row r="203" spans="1:19" x14ac:dyDescent="0.3">
      <c r="A203">
        <v>49</v>
      </c>
      <c r="B203">
        <v>1002</v>
      </c>
      <c r="C203" t="s">
        <v>17</v>
      </c>
      <c r="D203" t="s">
        <v>18</v>
      </c>
      <c r="E203">
        <v>92</v>
      </c>
      <c r="F203" t="s">
        <v>21</v>
      </c>
      <c r="G203">
        <v>6804</v>
      </c>
      <c r="H203">
        <v>23793</v>
      </c>
      <c r="I203">
        <v>15</v>
      </c>
      <c r="J203">
        <v>7</v>
      </c>
      <c r="K203">
        <v>7</v>
      </c>
      <c r="L203">
        <v>7</v>
      </c>
      <c r="M203">
        <v>1</v>
      </c>
      <c r="N203">
        <v>7</v>
      </c>
      <c r="P203">
        <f>G203*I203/100</f>
        <v>1020.6</v>
      </c>
      <c r="Q203">
        <f t="shared" si="3"/>
        <v>81648</v>
      </c>
      <c r="R203">
        <f>K203/J203</f>
        <v>1</v>
      </c>
      <c r="S203">
        <v>2020</v>
      </c>
    </row>
    <row r="204" spans="1:19" x14ac:dyDescent="0.3">
      <c r="A204">
        <v>34</v>
      </c>
      <c r="B204">
        <v>878</v>
      </c>
      <c r="C204" t="s">
        <v>17</v>
      </c>
      <c r="D204" t="s">
        <v>18</v>
      </c>
      <c r="E204">
        <v>43</v>
      </c>
      <c r="F204" t="s">
        <v>19</v>
      </c>
      <c r="G204">
        <v>3815</v>
      </c>
      <c r="H204">
        <v>5972</v>
      </c>
      <c r="I204">
        <v>17</v>
      </c>
      <c r="J204">
        <v>5</v>
      </c>
      <c r="K204">
        <v>5</v>
      </c>
      <c r="L204">
        <v>3</v>
      </c>
      <c r="M204">
        <v>2</v>
      </c>
      <c r="N204">
        <v>0</v>
      </c>
      <c r="P204">
        <f>G204*I204/100</f>
        <v>648.54999999999995</v>
      </c>
      <c r="Q204">
        <f t="shared" si="3"/>
        <v>45780</v>
      </c>
      <c r="R204">
        <f>K204/J204</f>
        <v>1</v>
      </c>
      <c r="S204">
        <v>2020</v>
      </c>
    </row>
    <row r="205" spans="1:19" x14ac:dyDescent="0.3">
      <c r="A205">
        <v>40</v>
      </c>
      <c r="B205">
        <v>905</v>
      </c>
      <c r="C205" t="s">
        <v>17</v>
      </c>
      <c r="D205" t="s">
        <v>18</v>
      </c>
      <c r="E205">
        <v>99</v>
      </c>
      <c r="F205" t="s">
        <v>20</v>
      </c>
      <c r="G205">
        <v>2741</v>
      </c>
      <c r="H205">
        <v>16523</v>
      </c>
      <c r="I205">
        <v>15</v>
      </c>
      <c r="J205">
        <v>15</v>
      </c>
      <c r="K205">
        <v>7</v>
      </c>
      <c r="L205">
        <v>2</v>
      </c>
      <c r="M205">
        <v>3</v>
      </c>
      <c r="N205">
        <v>7</v>
      </c>
      <c r="P205">
        <f>G205*I205/100</f>
        <v>411.15</v>
      </c>
      <c r="Q205">
        <f t="shared" si="3"/>
        <v>32892</v>
      </c>
      <c r="R205">
        <f>K205/J205</f>
        <v>0.46666666666666667</v>
      </c>
      <c r="S205">
        <v>2020</v>
      </c>
    </row>
    <row r="206" spans="1:19" x14ac:dyDescent="0.3">
      <c r="A206">
        <v>38</v>
      </c>
      <c r="B206">
        <v>1180</v>
      </c>
      <c r="C206" t="s">
        <v>17</v>
      </c>
      <c r="D206" t="s">
        <v>18</v>
      </c>
      <c r="E206">
        <v>70</v>
      </c>
      <c r="F206" t="s">
        <v>22</v>
      </c>
      <c r="G206">
        <v>6673</v>
      </c>
      <c r="H206">
        <v>11354</v>
      </c>
      <c r="I206">
        <v>19</v>
      </c>
      <c r="J206">
        <v>17</v>
      </c>
      <c r="K206">
        <v>1</v>
      </c>
      <c r="L206">
        <v>0</v>
      </c>
      <c r="M206">
        <v>0</v>
      </c>
      <c r="N206">
        <v>0</v>
      </c>
      <c r="P206">
        <f>G206*I206/100</f>
        <v>1267.8699999999999</v>
      </c>
      <c r="Q206">
        <f t="shared" si="3"/>
        <v>80076</v>
      </c>
      <c r="R206">
        <f>K206/J206</f>
        <v>5.8823529411764705E-2</v>
      </c>
      <c r="S206">
        <v>2020</v>
      </c>
    </row>
    <row r="207" spans="1:19" x14ac:dyDescent="0.3">
      <c r="A207">
        <v>29</v>
      </c>
      <c r="B207">
        <v>121</v>
      </c>
      <c r="C207" t="s">
        <v>14</v>
      </c>
      <c r="D207" t="s">
        <v>15</v>
      </c>
      <c r="E207">
        <v>35</v>
      </c>
      <c r="F207" t="s">
        <v>16</v>
      </c>
      <c r="G207">
        <v>7639</v>
      </c>
      <c r="H207">
        <v>24525</v>
      </c>
      <c r="I207">
        <v>22</v>
      </c>
      <c r="J207">
        <v>10</v>
      </c>
      <c r="K207">
        <v>10</v>
      </c>
      <c r="L207">
        <v>4</v>
      </c>
      <c r="M207">
        <v>1</v>
      </c>
      <c r="N207">
        <v>9</v>
      </c>
      <c r="P207">
        <f>G207*I207/100</f>
        <v>1680.58</v>
      </c>
      <c r="Q207">
        <f t="shared" si="3"/>
        <v>91668</v>
      </c>
      <c r="R207">
        <f>K207/J207</f>
        <v>1</v>
      </c>
      <c r="S207">
        <v>2020</v>
      </c>
    </row>
    <row r="208" spans="1:19" x14ac:dyDescent="0.3">
      <c r="A208">
        <v>22</v>
      </c>
      <c r="B208">
        <v>1136</v>
      </c>
      <c r="C208" t="s">
        <v>17</v>
      </c>
      <c r="D208" t="s">
        <v>18</v>
      </c>
      <c r="E208">
        <v>60</v>
      </c>
      <c r="F208" t="s">
        <v>19</v>
      </c>
      <c r="G208">
        <v>2328</v>
      </c>
      <c r="H208">
        <v>12392</v>
      </c>
      <c r="I208">
        <v>16</v>
      </c>
      <c r="J208">
        <v>4</v>
      </c>
      <c r="K208">
        <v>4</v>
      </c>
      <c r="L208">
        <v>2</v>
      </c>
      <c r="M208">
        <v>2</v>
      </c>
      <c r="N208">
        <v>2</v>
      </c>
      <c r="P208">
        <f>G208*I208/100</f>
        <v>372.48</v>
      </c>
      <c r="Q208">
        <f t="shared" si="3"/>
        <v>27936</v>
      </c>
      <c r="R208">
        <f>K208/J208</f>
        <v>1</v>
      </c>
      <c r="S208">
        <v>2020</v>
      </c>
    </row>
    <row r="209" spans="1:19" x14ac:dyDescent="0.3">
      <c r="A209">
        <v>36</v>
      </c>
      <c r="B209">
        <v>635</v>
      </c>
      <c r="C209" t="s">
        <v>17</v>
      </c>
      <c r="D209" t="s">
        <v>15</v>
      </c>
      <c r="E209">
        <v>73</v>
      </c>
      <c r="F209" t="s">
        <v>20</v>
      </c>
      <c r="G209">
        <v>2153</v>
      </c>
      <c r="H209">
        <v>7703</v>
      </c>
      <c r="I209">
        <v>13</v>
      </c>
      <c r="J209">
        <v>8</v>
      </c>
      <c r="K209">
        <v>8</v>
      </c>
      <c r="L209">
        <v>1</v>
      </c>
      <c r="M209">
        <v>1</v>
      </c>
      <c r="N209">
        <v>7</v>
      </c>
      <c r="P209">
        <f>G209*I209/100</f>
        <v>279.89</v>
      </c>
      <c r="Q209">
        <f t="shared" si="3"/>
        <v>25836</v>
      </c>
      <c r="R209">
        <f>K209/J209</f>
        <v>1</v>
      </c>
      <c r="S209">
        <v>2020</v>
      </c>
    </row>
    <row r="210" spans="1:19" x14ac:dyDescent="0.3">
      <c r="A210">
        <v>40</v>
      </c>
      <c r="B210">
        <v>1151</v>
      </c>
      <c r="C210" t="s">
        <v>17</v>
      </c>
      <c r="D210" t="s">
        <v>18</v>
      </c>
      <c r="E210">
        <v>63</v>
      </c>
      <c r="F210" t="s">
        <v>22</v>
      </c>
      <c r="G210">
        <v>4876</v>
      </c>
      <c r="H210">
        <v>14242</v>
      </c>
      <c r="I210">
        <v>14</v>
      </c>
      <c r="J210">
        <v>5</v>
      </c>
      <c r="K210">
        <v>3</v>
      </c>
      <c r="L210">
        <v>2</v>
      </c>
      <c r="M210">
        <v>0</v>
      </c>
      <c r="N210">
        <v>2</v>
      </c>
      <c r="P210">
        <f>G210*I210/100</f>
        <v>682.64</v>
      </c>
      <c r="Q210">
        <f t="shared" si="3"/>
        <v>58512</v>
      </c>
      <c r="R210">
        <f>K210/J210</f>
        <v>0.6</v>
      </c>
      <c r="S210">
        <v>2020</v>
      </c>
    </row>
    <row r="211" spans="1:19" x14ac:dyDescent="0.3">
      <c r="A211">
        <v>46</v>
      </c>
      <c r="B211">
        <v>644</v>
      </c>
      <c r="C211" t="s">
        <v>17</v>
      </c>
      <c r="D211" t="s">
        <v>18</v>
      </c>
      <c r="E211">
        <v>97</v>
      </c>
      <c r="F211" t="s">
        <v>22</v>
      </c>
      <c r="G211">
        <v>9396</v>
      </c>
      <c r="H211">
        <v>12368</v>
      </c>
      <c r="I211">
        <v>16</v>
      </c>
      <c r="J211">
        <v>17</v>
      </c>
      <c r="K211">
        <v>4</v>
      </c>
      <c r="L211">
        <v>2</v>
      </c>
      <c r="M211">
        <v>0</v>
      </c>
      <c r="N211">
        <v>3</v>
      </c>
      <c r="P211">
        <f>G211*I211/100</f>
        <v>1503.36</v>
      </c>
      <c r="Q211">
        <f t="shared" si="3"/>
        <v>112752</v>
      </c>
      <c r="R211">
        <f>K211/J211</f>
        <v>0.23529411764705882</v>
      </c>
      <c r="S211">
        <v>2020</v>
      </c>
    </row>
    <row r="212" spans="1:19" x14ac:dyDescent="0.3">
      <c r="A212">
        <v>32</v>
      </c>
      <c r="B212">
        <v>1045</v>
      </c>
      <c r="C212" t="s">
        <v>14</v>
      </c>
      <c r="D212" t="s">
        <v>18</v>
      </c>
      <c r="E212">
        <v>32</v>
      </c>
      <c r="F212" t="s">
        <v>16</v>
      </c>
      <c r="G212">
        <v>10400</v>
      </c>
      <c r="H212">
        <v>25812</v>
      </c>
      <c r="I212">
        <v>11</v>
      </c>
      <c r="J212">
        <v>14</v>
      </c>
      <c r="K212">
        <v>14</v>
      </c>
      <c r="L212">
        <v>8</v>
      </c>
      <c r="M212">
        <v>9</v>
      </c>
      <c r="N212">
        <v>8</v>
      </c>
      <c r="P212">
        <f>G212*I212/100</f>
        <v>1144</v>
      </c>
      <c r="Q212">
        <f t="shared" si="3"/>
        <v>124800</v>
      </c>
      <c r="R212">
        <f>K212/J212</f>
        <v>1</v>
      </c>
      <c r="S212">
        <v>2020</v>
      </c>
    </row>
    <row r="213" spans="1:19" x14ac:dyDescent="0.3">
      <c r="A213">
        <v>30</v>
      </c>
      <c r="B213">
        <v>829</v>
      </c>
      <c r="C213" t="s">
        <v>17</v>
      </c>
      <c r="D213" t="s">
        <v>18</v>
      </c>
      <c r="E213">
        <v>88</v>
      </c>
      <c r="F213" t="s">
        <v>21</v>
      </c>
      <c r="G213">
        <v>8474</v>
      </c>
      <c r="H213">
        <v>20925</v>
      </c>
      <c r="I213">
        <v>22</v>
      </c>
      <c r="J213">
        <v>12</v>
      </c>
      <c r="K213">
        <v>11</v>
      </c>
      <c r="L213">
        <v>8</v>
      </c>
      <c r="M213">
        <v>5</v>
      </c>
      <c r="N213">
        <v>8</v>
      </c>
      <c r="P213">
        <f>G213*I213/100</f>
        <v>1864.28</v>
      </c>
      <c r="Q213">
        <f t="shared" si="3"/>
        <v>101688</v>
      </c>
      <c r="R213">
        <f>K213/J213</f>
        <v>0.91666666666666663</v>
      </c>
      <c r="S213">
        <v>2020</v>
      </c>
    </row>
    <row r="214" spans="1:19" x14ac:dyDescent="0.3">
      <c r="A214">
        <v>27</v>
      </c>
      <c r="B214">
        <v>1242</v>
      </c>
      <c r="C214" t="s">
        <v>14</v>
      </c>
      <c r="D214" t="s">
        <v>15</v>
      </c>
      <c r="E214">
        <v>90</v>
      </c>
      <c r="F214" t="s">
        <v>16</v>
      </c>
      <c r="G214">
        <v>9981</v>
      </c>
      <c r="H214">
        <v>12916</v>
      </c>
      <c r="I214">
        <v>14</v>
      </c>
      <c r="J214">
        <v>7</v>
      </c>
      <c r="K214">
        <v>7</v>
      </c>
      <c r="L214">
        <v>7</v>
      </c>
      <c r="M214">
        <v>0</v>
      </c>
      <c r="N214">
        <v>7</v>
      </c>
      <c r="P214">
        <f>G214*I214/100</f>
        <v>1397.34</v>
      </c>
      <c r="Q214">
        <f t="shared" si="3"/>
        <v>119772</v>
      </c>
      <c r="R214">
        <f>K214/J214</f>
        <v>1</v>
      </c>
      <c r="S214">
        <v>2020</v>
      </c>
    </row>
    <row r="215" spans="1:19" x14ac:dyDescent="0.3">
      <c r="A215">
        <v>51</v>
      </c>
      <c r="B215">
        <v>1469</v>
      </c>
      <c r="C215" t="s">
        <v>17</v>
      </c>
      <c r="D215" t="s">
        <v>18</v>
      </c>
      <c r="E215">
        <v>81</v>
      </c>
      <c r="F215" t="s">
        <v>25</v>
      </c>
      <c r="G215">
        <v>12490</v>
      </c>
      <c r="H215">
        <v>15736</v>
      </c>
      <c r="I215">
        <v>16</v>
      </c>
      <c r="J215">
        <v>16</v>
      </c>
      <c r="K215">
        <v>10</v>
      </c>
      <c r="L215">
        <v>9</v>
      </c>
      <c r="M215">
        <v>4</v>
      </c>
      <c r="N215">
        <v>7</v>
      </c>
      <c r="P215">
        <f>G215*I215/100</f>
        <v>1998.4</v>
      </c>
      <c r="Q215">
        <f t="shared" si="3"/>
        <v>149880</v>
      </c>
      <c r="R215">
        <f>K215/J215</f>
        <v>0.625</v>
      </c>
      <c r="S215">
        <v>2020</v>
      </c>
    </row>
    <row r="216" spans="1:19" x14ac:dyDescent="0.3">
      <c r="A216">
        <v>30</v>
      </c>
      <c r="B216">
        <v>1005</v>
      </c>
      <c r="C216" t="s">
        <v>17</v>
      </c>
      <c r="D216" t="s">
        <v>15</v>
      </c>
      <c r="E216">
        <v>88</v>
      </c>
      <c r="F216" t="s">
        <v>19</v>
      </c>
      <c r="G216">
        <v>2657</v>
      </c>
      <c r="H216">
        <v>8556</v>
      </c>
      <c r="I216">
        <v>11</v>
      </c>
      <c r="J216">
        <v>8</v>
      </c>
      <c r="K216">
        <v>5</v>
      </c>
      <c r="L216">
        <v>2</v>
      </c>
      <c r="M216">
        <v>0</v>
      </c>
      <c r="N216">
        <v>4</v>
      </c>
      <c r="P216">
        <f>G216*I216/100</f>
        <v>292.27</v>
      </c>
      <c r="Q216">
        <f t="shared" si="3"/>
        <v>31884</v>
      </c>
      <c r="R216">
        <f>K216/J216</f>
        <v>0.625</v>
      </c>
      <c r="S216">
        <v>2020</v>
      </c>
    </row>
    <row r="217" spans="1:19" x14ac:dyDescent="0.3">
      <c r="A217">
        <v>41</v>
      </c>
      <c r="B217">
        <v>896</v>
      </c>
      <c r="C217" t="s">
        <v>14</v>
      </c>
      <c r="D217" t="s">
        <v>15</v>
      </c>
      <c r="E217">
        <v>75</v>
      </c>
      <c r="F217" t="s">
        <v>23</v>
      </c>
      <c r="G217">
        <v>13591</v>
      </c>
      <c r="H217">
        <v>14674</v>
      </c>
      <c r="I217">
        <v>18</v>
      </c>
      <c r="J217">
        <v>16</v>
      </c>
      <c r="K217">
        <v>1</v>
      </c>
      <c r="L217">
        <v>0</v>
      </c>
      <c r="M217">
        <v>0</v>
      </c>
      <c r="N217">
        <v>0</v>
      </c>
      <c r="P217">
        <f>G217*I217/100</f>
        <v>2446.38</v>
      </c>
      <c r="Q217">
        <f t="shared" si="3"/>
        <v>163092</v>
      </c>
      <c r="R217">
        <f>K217/J217</f>
        <v>6.25E-2</v>
      </c>
      <c r="S217">
        <v>2020</v>
      </c>
    </row>
    <row r="218" spans="1:19" x14ac:dyDescent="0.3">
      <c r="A218">
        <v>30</v>
      </c>
      <c r="B218">
        <v>334</v>
      </c>
      <c r="C218" t="s">
        <v>14</v>
      </c>
      <c r="D218" t="s">
        <v>15</v>
      </c>
      <c r="E218">
        <v>52</v>
      </c>
      <c r="F218" t="s">
        <v>16</v>
      </c>
      <c r="G218">
        <v>6696</v>
      </c>
      <c r="H218">
        <v>22967</v>
      </c>
      <c r="I218">
        <v>15</v>
      </c>
      <c r="J218">
        <v>9</v>
      </c>
      <c r="K218">
        <v>6</v>
      </c>
      <c r="L218">
        <v>3</v>
      </c>
      <c r="M218">
        <v>0</v>
      </c>
      <c r="N218">
        <v>1</v>
      </c>
      <c r="P218">
        <f>G218*I218/100</f>
        <v>1004.4</v>
      </c>
      <c r="Q218">
        <f t="shared" si="3"/>
        <v>80352</v>
      </c>
      <c r="R218">
        <f>K218/J218</f>
        <v>0.66666666666666663</v>
      </c>
      <c r="S218">
        <v>2020</v>
      </c>
    </row>
    <row r="219" spans="1:19" x14ac:dyDescent="0.3">
      <c r="A219">
        <v>29</v>
      </c>
      <c r="B219">
        <v>992</v>
      </c>
      <c r="C219" t="s">
        <v>17</v>
      </c>
      <c r="D219" t="s">
        <v>18</v>
      </c>
      <c r="E219">
        <v>85</v>
      </c>
      <c r="F219" t="s">
        <v>19</v>
      </c>
      <c r="G219">
        <v>2058</v>
      </c>
      <c r="H219">
        <v>19757</v>
      </c>
      <c r="I219">
        <v>14</v>
      </c>
      <c r="J219">
        <v>7</v>
      </c>
      <c r="K219">
        <v>6</v>
      </c>
      <c r="L219">
        <v>2</v>
      </c>
      <c r="M219">
        <v>1</v>
      </c>
      <c r="N219">
        <v>5</v>
      </c>
      <c r="P219">
        <f>G219*I219/100</f>
        <v>288.12</v>
      </c>
      <c r="Q219">
        <f t="shared" si="3"/>
        <v>24696</v>
      </c>
      <c r="R219">
        <f>K219/J219</f>
        <v>0.8571428571428571</v>
      </c>
      <c r="S219">
        <v>2020</v>
      </c>
    </row>
    <row r="220" spans="1:19" x14ac:dyDescent="0.3">
      <c r="A220">
        <v>45</v>
      </c>
      <c r="B220">
        <v>1052</v>
      </c>
      <c r="C220" t="s">
        <v>14</v>
      </c>
      <c r="D220" t="s">
        <v>15</v>
      </c>
      <c r="E220">
        <v>57</v>
      </c>
      <c r="F220" t="s">
        <v>16</v>
      </c>
      <c r="G220">
        <v>8865</v>
      </c>
      <c r="H220">
        <v>16840</v>
      </c>
      <c r="I220">
        <v>12</v>
      </c>
      <c r="J220">
        <v>23</v>
      </c>
      <c r="K220">
        <v>19</v>
      </c>
      <c r="L220">
        <v>7</v>
      </c>
      <c r="M220">
        <v>12</v>
      </c>
      <c r="N220">
        <v>8</v>
      </c>
      <c r="P220">
        <f>G220*I220/100</f>
        <v>1063.8</v>
      </c>
      <c r="Q220">
        <f t="shared" si="3"/>
        <v>106380</v>
      </c>
      <c r="R220">
        <f>K220/J220</f>
        <v>0.82608695652173914</v>
      </c>
      <c r="S220">
        <v>2020</v>
      </c>
    </row>
    <row r="221" spans="1:19" x14ac:dyDescent="0.3">
      <c r="A221">
        <v>54</v>
      </c>
      <c r="B221">
        <v>1147</v>
      </c>
      <c r="C221" t="s">
        <v>14</v>
      </c>
      <c r="D221" t="s">
        <v>15</v>
      </c>
      <c r="E221">
        <v>52</v>
      </c>
      <c r="F221" t="s">
        <v>16</v>
      </c>
      <c r="G221">
        <v>5940</v>
      </c>
      <c r="H221">
        <v>17011</v>
      </c>
      <c r="I221">
        <v>14</v>
      </c>
      <c r="J221">
        <v>16</v>
      </c>
      <c r="K221">
        <v>6</v>
      </c>
      <c r="L221">
        <v>2</v>
      </c>
      <c r="M221">
        <v>0</v>
      </c>
      <c r="N221">
        <v>5</v>
      </c>
      <c r="P221">
        <f>G221*I221/100</f>
        <v>831.6</v>
      </c>
      <c r="Q221">
        <f t="shared" si="3"/>
        <v>71280</v>
      </c>
      <c r="R221">
        <f>K221/J221</f>
        <v>0.375</v>
      </c>
      <c r="S221">
        <v>2020</v>
      </c>
    </row>
    <row r="222" spans="1:19" x14ac:dyDescent="0.3">
      <c r="A222">
        <v>36</v>
      </c>
      <c r="B222">
        <v>1396</v>
      </c>
      <c r="C222" t="s">
        <v>17</v>
      </c>
      <c r="D222" t="s">
        <v>18</v>
      </c>
      <c r="E222">
        <v>62</v>
      </c>
      <c r="F222" t="s">
        <v>20</v>
      </c>
      <c r="G222">
        <v>5914</v>
      </c>
      <c r="H222">
        <v>9945</v>
      </c>
      <c r="I222">
        <v>16</v>
      </c>
      <c r="J222">
        <v>16</v>
      </c>
      <c r="K222">
        <v>13</v>
      </c>
      <c r="L222">
        <v>11</v>
      </c>
      <c r="M222">
        <v>3</v>
      </c>
      <c r="N222">
        <v>7</v>
      </c>
      <c r="P222">
        <f>G222*I222/100</f>
        <v>946.24</v>
      </c>
      <c r="Q222">
        <f t="shared" si="3"/>
        <v>70968</v>
      </c>
      <c r="R222">
        <f>K222/J222</f>
        <v>0.8125</v>
      </c>
      <c r="S222">
        <v>2020</v>
      </c>
    </row>
    <row r="223" spans="1:19" x14ac:dyDescent="0.3">
      <c r="A223">
        <v>33</v>
      </c>
      <c r="B223">
        <v>147</v>
      </c>
      <c r="C223" t="s">
        <v>17</v>
      </c>
      <c r="D223" t="s">
        <v>15</v>
      </c>
      <c r="E223">
        <v>47</v>
      </c>
      <c r="F223" t="s">
        <v>19</v>
      </c>
      <c r="G223">
        <v>2622</v>
      </c>
      <c r="H223">
        <v>13248</v>
      </c>
      <c r="I223">
        <v>21</v>
      </c>
      <c r="J223">
        <v>7</v>
      </c>
      <c r="K223">
        <v>3</v>
      </c>
      <c r="L223">
        <v>2</v>
      </c>
      <c r="M223">
        <v>1</v>
      </c>
      <c r="N223">
        <v>1</v>
      </c>
      <c r="P223">
        <f>G223*I223/100</f>
        <v>550.62</v>
      </c>
      <c r="Q223">
        <f t="shared" si="3"/>
        <v>31464</v>
      </c>
      <c r="R223">
        <f>K223/J223</f>
        <v>0.42857142857142855</v>
      </c>
      <c r="S223">
        <v>2020</v>
      </c>
    </row>
    <row r="224" spans="1:19" x14ac:dyDescent="0.3">
      <c r="A224">
        <v>37</v>
      </c>
      <c r="B224">
        <v>663</v>
      </c>
      <c r="C224" t="s">
        <v>17</v>
      </c>
      <c r="D224" t="s">
        <v>18</v>
      </c>
      <c r="E224">
        <v>47</v>
      </c>
      <c r="F224" t="s">
        <v>25</v>
      </c>
      <c r="G224">
        <v>12185</v>
      </c>
      <c r="H224">
        <v>10056</v>
      </c>
      <c r="I224">
        <v>14</v>
      </c>
      <c r="J224">
        <v>10</v>
      </c>
      <c r="K224">
        <v>10</v>
      </c>
      <c r="L224">
        <v>8</v>
      </c>
      <c r="M224">
        <v>0</v>
      </c>
      <c r="N224">
        <v>7</v>
      </c>
      <c r="P224">
        <f>G224*I224/100</f>
        <v>1705.9</v>
      </c>
      <c r="Q224">
        <f t="shared" si="3"/>
        <v>146220</v>
      </c>
      <c r="R224">
        <f>K224/J224</f>
        <v>1</v>
      </c>
      <c r="S224">
        <v>2020</v>
      </c>
    </row>
    <row r="225" spans="1:19" x14ac:dyDescent="0.3">
      <c r="A225">
        <v>38</v>
      </c>
      <c r="B225">
        <v>119</v>
      </c>
      <c r="C225" t="s">
        <v>14</v>
      </c>
      <c r="D225" t="s">
        <v>18</v>
      </c>
      <c r="E225">
        <v>76</v>
      </c>
      <c r="F225" t="s">
        <v>16</v>
      </c>
      <c r="G225">
        <v>10609</v>
      </c>
      <c r="H225">
        <v>9647</v>
      </c>
      <c r="I225">
        <v>12</v>
      </c>
      <c r="J225">
        <v>17</v>
      </c>
      <c r="K225">
        <v>16</v>
      </c>
      <c r="L225">
        <v>10</v>
      </c>
      <c r="M225">
        <v>5</v>
      </c>
      <c r="N225">
        <v>13</v>
      </c>
      <c r="P225">
        <f>G225*I225/100</f>
        <v>1273.08</v>
      </c>
      <c r="Q225">
        <f t="shared" si="3"/>
        <v>127308</v>
      </c>
      <c r="R225">
        <f>K225/J225</f>
        <v>0.94117647058823528</v>
      </c>
      <c r="S225">
        <v>2020</v>
      </c>
    </row>
    <row r="226" spans="1:19" x14ac:dyDescent="0.3">
      <c r="A226">
        <v>31</v>
      </c>
      <c r="B226">
        <v>979</v>
      </c>
      <c r="C226" t="s">
        <v>17</v>
      </c>
      <c r="D226" t="s">
        <v>18</v>
      </c>
      <c r="E226">
        <v>90</v>
      </c>
      <c r="F226" t="s">
        <v>21</v>
      </c>
      <c r="G226">
        <v>4345</v>
      </c>
      <c r="H226">
        <v>4381</v>
      </c>
      <c r="I226">
        <v>12</v>
      </c>
      <c r="J226">
        <v>6</v>
      </c>
      <c r="K226">
        <v>5</v>
      </c>
      <c r="L226">
        <v>4</v>
      </c>
      <c r="M226">
        <v>1</v>
      </c>
      <c r="N226">
        <v>4</v>
      </c>
      <c r="P226">
        <f>G226*I226/100</f>
        <v>521.4</v>
      </c>
      <c r="Q226">
        <f t="shared" si="3"/>
        <v>52140</v>
      </c>
      <c r="R226">
        <f>K226/J226</f>
        <v>0.83333333333333337</v>
      </c>
      <c r="S226">
        <v>2020</v>
      </c>
    </row>
    <row r="227" spans="1:19" x14ac:dyDescent="0.3">
      <c r="A227">
        <v>59</v>
      </c>
      <c r="B227">
        <v>142</v>
      </c>
      <c r="C227" t="s">
        <v>17</v>
      </c>
      <c r="D227" t="s">
        <v>18</v>
      </c>
      <c r="E227">
        <v>70</v>
      </c>
      <c r="F227" t="s">
        <v>19</v>
      </c>
      <c r="G227">
        <v>2177</v>
      </c>
      <c r="H227">
        <v>8456</v>
      </c>
      <c r="I227">
        <v>17</v>
      </c>
      <c r="J227">
        <v>7</v>
      </c>
      <c r="K227">
        <v>1</v>
      </c>
      <c r="L227">
        <v>0</v>
      </c>
      <c r="M227">
        <v>0</v>
      </c>
      <c r="N227">
        <v>0</v>
      </c>
      <c r="P227">
        <f>G227*I227/100</f>
        <v>370.09</v>
      </c>
      <c r="Q227">
        <f t="shared" si="3"/>
        <v>26124</v>
      </c>
      <c r="R227">
        <f>K227/J227</f>
        <v>0.14285714285714285</v>
      </c>
      <c r="S227">
        <v>2020</v>
      </c>
    </row>
    <row r="228" spans="1:19" x14ac:dyDescent="0.3">
      <c r="A228">
        <v>37</v>
      </c>
      <c r="B228">
        <v>319</v>
      </c>
      <c r="C228" t="s">
        <v>14</v>
      </c>
      <c r="D228" t="s">
        <v>18</v>
      </c>
      <c r="E228">
        <v>41</v>
      </c>
      <c r="F228" t="s">
        <v>24</v>
      </c>
      <c r="G228">
        <v>2793</v>
      </c>
      <c r="H228">
        <v>2539</v>
      </c>
      <c r="I228">
        <v>17</v>
      </c>
      <c r="J228">
        <v>13</v>
      </c>
      <c r="K228">
        <v>9</v>
      </c>
      <c r="L228">
        <v>8</v>
      </c>
      <c r="M228">
        <v>5</v>
      </c>
      <c r="N228">
        <v>8</v>
      </c>
      <c r="P228">
        <f>G228*I228/100</f>
        <v>474.81</v>
      </c>
      <c r="Q228">
        <f t="shared" si="3"/>
        <v>33516</v>
      </c>
      <c r="R228">
        <f>K228/J228</f>
        <v>0.69230769230769229</v>
      </c>
      <c r="S228">
        <v>2020</v>
      </c>
    </row>
    <row r="229" spans="1:19" x14ac:dyDescent="0.3">
      <c r="A229">
        <v>29</v>
      </c>
      <c r="B229">
        <v>1413</v>
      </c>
      <c r="C229" t="s">
        <v>14</v>
      </c>
      <c r="D229" t="s">
        <v>15</v>
      </c>
      <c r="E229">
        <v>42</v>
      </c>
      <c r="F229" t="s">
        <v>16</v>
      </c>
      <c r="G229">
        <v>7918</v>
      </c>
      <c r="H229">
        <v>6599</v>
      </c>
      <c r="I229">
        <v>14</v>
      </c>
      <c r="J229">
        <v>11</v>
      </c>
      <c r="K229">
        <v>11</v>
      </c>
      <c r="L229">
        <v>10</v>
      </c>
      <c r="M229">
        <v>4</v>
      </c>
      <c r="N229">
        <v>1</v>
      </c>
      <c r="P229">
        <f>G229*I229/100</f>
        <v>1108.52</v>
      </c>
      <c r="Q229">
        <f t="shared" si="3"/>
        <v>95016</v>
      </c>
      <c r="R229">
        <f>K229/J229</f>
        <v>1</v>
      </c>
      <c r="S229">
        <v>2020</v>
      </c>
    </row>
    <row r="230" spans="1:19" x14ac:dyDescent="0.3">
      <c r="A230">
        <v>35</v>
      </c>
      <c r="B230">
        <v>944</v>
      </c>
      <c r="C230" t="s">
        <v>14</v>
      </c>
      <c r="D230" t="s">
        <v>15</v>
      </c>
      <c r="E230">
        <v>92</v>
      </c>
      <c r="F230" t="s">
        <v>16</v>
      </c>
      <c r="G230">
        <v>8789</v>
      </c>
      <c r="H230">
        <v>9096</v>
      </c>
      <c r="I230">
        <v>14</v>
      </c>
      <c r="J230">
        <v>10</v>
      </c>
      <c r="K230">
        <v>10</v>
      </c>
      <c r="L230">
        <v>7</v>
      </c>
      <c r="M230">
        <v>0</v>
      </c>
      <c r="N230">
        <v>8</v>
      </c>
      <c r="P230">
        <f>G230*I230/100</f>
        <v>1230.46</v>
      </c>
      <c r="Q230">
        <f t="shared" si="3"/>
        <v>105468</v>
      </c>
      <c r="R230">
        <f>K230/J230</f>
        <v>1</v>
      </c>
      <c r="S230">
        <v>2020</v>
      </c>
    </row>
    <row r="231" spans="1:19" x14ac:dyDescent="0.3">
      <c r="A231">
        <v>29</v>
      </c>
      <c r="B231">
        <v>896</v>
      </c>
      <c r="C231" t="s">
        <v>17</v>
      </c>
      <c r="D231" t="s">
        <v>18</v>
      </c>
      <c r="E231">
        <v>86</v>
      </c>
      <c r="F231" t="s">
        <v>19</v>
      </c>
      <c r="G231">
        <v>2389</v>
      </c>
      <c r="H231">
        <v>14961</v>
      </c>
      <c r="I231">
        <v>13</v>
      </c>
      <c r="J231">
        <v>4</v>
      </c>
      <c r="K231">
        <v>4</v>
      </c>
      <c r="L231">
        <v>3</v>
      </c>
      <c r="M231">
        <v>0</v>
      </c>
      <c r="N231">
        <v>1</v>
      </c>
      <c r="P231">
        <f>G231*I231/100</f>
        <v>310.57</v>
      </c>
      <c r="Q231">
        <f t="shared" si="3"/>
        <v>28668</v>
      </c>
      <c r="R231">
        <f>K231/J231</f>
        <v>1</v>
      </c>
      <c r="S231">
        <v>2020</v>
      </c>
    </row>
    <row r="232" spans="1:19" x14ac:dyDescent="0.3">
      <c r="A232">
        <v>52</v>
      </c>
      <c r="B232">
        <v>1323</v>
      </c>
      <c r="C232" t="s">
        <v>17</v>
      </c>
      <c r="D232" t="s">
        <v>15</v>
      </c>
      <c r="E232">
        <v>89</v>
      </c>
      <c r="F232" t="s">
        <v>20</v>
      </c>
      <c r="G232">
        <v>3212</v>
      </c>
      <c r="H232">
        <v>3300</v>
      </c>
      <c r="I232">
        <v>15</v>
      </c>
      <c r="J232">
        <v>6</v>
      </c>
      <c r="K232">
        <v>2</v>
      </c>
      <c r="L232">
        <v>2</v>
      </c>
      <c r="M232">
        <v>2</v>
      </c>
      <c r="N232">
        <v>2</v>
      </c>
      <c r="P232">
        <f>G232*I232/100</f>
        <v>481.8</v>
      </c>
      <c r="Q232">
        <f t="shared" si="3"/>
        <v>38544</v>
      </c>
      <c r="R232">
        <f>K232/J232</f>
        <v>0.33333333333333331</v>
      </c>
      <c r="S232">
        <v>2020</v>
      </c>
    </row>
    <row r="233" spans="1:19" x14ac:dyDescent="0.3">
      <c r="A233">
        <v>42</v>
      </c>
      <c r="B233">
        <v>532</v>
      </c>
      <c r="C233" t="s">
        <v>17</v>
      </c>
      <c r="D233" t="s">
        <v>18</v>
      </c>
      <c r="E233">
        <v>58</v>
      </c>
      <c r="F233" t="s">
        <v>23</v>
      </c>
      <c r="G233">
        <v>19232</v>
      </c>
      <c r="H233">
        <v>4933</v>
      </c>
      <c r="I233">
        <v>11</v>
      </c>
      <c r="J233">
        <v>22</v>
      </c>
      <c r="K233">
        <v>22</v>
      </c>
      <c r="L233">
        <v>17</v>
      </c>
      <c r="M233">
        <v>11</v>
      </c>
      <c r="N233">
        <v>15</v>
      </c>
      <c r="P233">
        <f>G233*I233/100</f>
        <v>2115.52</v>
      </c>
      <c r="Q233">
        <f t="shared" si="3"/>
        <v>230784</v>
      </c>
      <c r="R233">
        <f>K233/J233</f>
        <v>1</v>
      </c>
      <c r="S233">
        <v>2020</v>
      </c>
    </row>
    <row r="234" spans="1:19" x14ac:dyDescent="0.3">
      <c r="A234">
        <v>59</v>
      </c>
      <c r="B234">
        <v>818</v>
      </c>
      <c r="C234" t="s">
        <v>26</v>
      </c>
      <c r="D234" t="s">
        <v>18</v>
      </c>
      <c r="E234">
        <v>52</v>
      </c>
      <c r="F234" t="s">
        <v>26</v>
      </c>
      <c r="G234">
        <v>2267</v>
      </c>
      <c r="H234">
        <v>25657</v>
      </c>
      <c r="I234">
        <v>17</v>
      </c>
      <c r="J234">
        <v>7</v>
      </c>
      <c r="K234">
        <v>2</v>
      </c>
      <c r="L234">
        <v>2</v>
      </c>
      <c r="M234">
        <v>2</v>
      </c>
      <c r="N234">
        <v>2</v>
      </c>
      <c r="P234">
        <f>G234*I234/100</f>
        <v>385.39</v>
      </c>
      <c r="Q234">
        <f t="shared" si="3"/>
        <v>27204</v>
      </c>
      <c r="R234">
        <f>K234/J234</f>
        <v>0.2857142857142857</v>
      </c>
      <c r="S234">
        <v>2020</v>
      </c>
    </row>
    <row r="235" spans="1:19" x14ac:dyDescent="0.3">
      <c r="A235">
        <v>50</v>
      </c>
      <c r="B235">
        <v>854</v>
      </c>
      <c r="C235" t="s">
        <v>14</v>
      </c>
      <c r="D235" t="s">
        <v>15</v>
      </c>
      <c r="E235">
        <v>68</v>
      </c>
      <c r="F235" t="s">
        <v>23</v>
      </c>
      <c r="G235">
        <v>19517</v>
      </c>
      <c r="H235">
        <v>24118</v>
      </c>
      <c r="I235">
        <v>11</v>
      </c>
      <c r="J235">
        <v>32</v>
      </c>
      <c r="K235">
        <v>7</v>
      </c>
      <c r="L235">
        <v>0</v>
      </c>
      <c r="M235">
        <v>0</v>
      </c>
      <c r="N235">
        <v>6</v>
      </c>
      <c r="P235">
        <f>G235*I235/100</f>
        <v>2146.87</v>
      </c>
      <c r="Q235">
        <f t="shared" si="3"/>
        <v>234204</v>
      </c>
      <c r="R235">
        <f>K235/J235</f>
        <v>0.21875</v>
      </c>
      <c r="S235">
        <v>2020</v>
      </c>
    </row>
    <row r="236" spans="1:19" x14ac:dyDescent="0.3">
      <c r="A236">
        <v>33</v>
      </c>
      <c r="B236">
        <v>813</v>
      </c>
      <c r="C236" t="s">
        <v>17</v>
      </c>
      <c r="D236" t="s">
        <v>18</v>
      </c>
      <c r="E236">
        <v>58</v>
      </c>
      <c r="F236" t="s">
        <v>20</v>
      </c>
      <c r="G236">
        <v>2436</v>
      </c>
      <c r="H236">
        <v>22149</v>
      </c>
      <c r="I236">
        <v>13</v>
      </c>
      <c r="J236">
        <v>8</v>
      </c>
      <c r="K236">
        <v>5</v>
      </c>
      <c r="L236">
        <v>4</v>
      </c>
      <c r="M236">
        <v>0</v>
      </c>
      <c r="N236">
        <v>4</v>
      </c>
      <c r="P236">
        <f>G236*I236/100</f>
        <v>316.68</v>
      </c>
      <c r="Q236">
        <f t="shared" si="3"/>
        <v>29232</v>
      </c>
      <c r="R236">
        <f>K236/J236</f>
        <v>0.625</v>
      </c>
      <c r="S236">
        <v>2020</v>
      </c>
    </row>
    <row r="237" spans="1:19" x14ac:dyDescent="0.3">
      <c r="A237">
        <v>43</v>
      </c>
      <c r="B237">
        <v>1034</v>
      </c>
      <c r="C237" t="s">
        <v>14</v>
      </c>
      <c r="D237" t="s">
        <v>15</v>
      </c>
      <c r="E237">
        <v>80</v>
      </c>
      <c r="F237" t="s">
        <v>23</v>
      </c>
      <c r="G237">
        <v>16064</v>
      </c>
      <c r="H237">
        <v>7744</v>
      </c>
      <c r="I237">
        <v>22</v>
      </c>
      <c r="J237">
        <v>22</v>
      </c>
      <c r="K237">
        <v>17</v>
      </c>
      <c r="L237">
        <v>13</v>
      </c>
      <c r="M237">
        <v>1</v>
      </c>
      <c r="N237">
        <v>9</v>
      </c>
      <c r="P237">
        <f>G237*I237/100</f>
        <v>3534.08</v>
      </c>
      <c r="Q237">
        <f t="shared" si="3"/>
        <v>192768</v>
      </c>
      <c r="R237">
        <f>K237/J237</f>
        <v>0.77272727272727271</v>
      </c>
      <c r="S237">
        <v>2020</v>
      </c>
    </row>
    <row r="238" spans="1:19" x14ac:dyDescent="0.3">
      <c r="A238">
        <v>33</v>
      </c>
      <c r="B238">
        <v>465</v>
      </c>
      <c r="C238" t="s">
        <v>17</v>
      </c>
      <c r="D238" t="s">
        <v>15</v>
      </c>
      <c r="E238">
        <v>39</v>
      </c>
      <c r="F238" t="s">
        <v>20</v>
      </c>
      <c r="G238">
        <v>2707</v>
      </c>
      <c r="H238">
        <v>21509</v>
      </c>
      <c r="I238">
        <v>20</v>
      </c>
      <c r="J238">
        <v>13</v>
      </c>
      <c r="K238">
        <v>9</v>
      </c>
      <c r="L238">
        <v>7</v>
      </c>
      <c r="M238">
        <v>1</v>
      </c>
      <c r="N238">
        <v>7</v>
      </c>
      <c r="P238">
        <f>G238*I238/100</f>
        <v>541.4</v>
      </c>
      <c r="Q238">
        <f t="shared" si="3"/>
        <v>32484</v>
      </c>
      <c r="R238">
        <f>K238/J238</f>
        <v>0.69230769230769229</v>
      </c>
      <c r="S238">
        <v>2020</v>
      </c>
    </row>
    <row r="239" spans="1:19" x14ac:dyDescent="0.3">
      <c r="A239">
        <v>52</v>
      </c>
      <c r="B239">
        <v>771</v>
      </c>
      <c r="C239" t="s">
        <v>14</v>
      </c>
      <c r="D239" t="s">
        <v>18</v>
      </c>
      <c r="E239">
        <v>79</v>
      </c>
      <c r="F239" t="s">
        <v>23</v>
      </c>
      <c r="G239">
        <v>19068</v>
      </c>
      <c r="H239">
        <v>21030</v>
      </c>
      <c r="I239">
        <v>18</v>
      </c>
      <c r="J239">
        <v>33</v>
      </c>
      <c r="K239">
        <v>33</v>
      </c>
      <c r="L239">
        <v>7</v>
      </c>
      <c r="M239">
        <v>15</v>
      </c>
      <c r="N239">
        <v>12</v>
      </c>
      <c r="P239">
        <f>G239*I239/100</f>
        <v>3432.24</v>
      </c>
      <c r="Q239">
        <f t="shared" si="3"/>
        <v>228816</v>
      </c>
      <c r="R239">
        <f>K239/J239</f>
        <v>1</v>
      </c>
      <c r="S239">
        <v>2020</v>
      </c>
    </row>
    <row r="240" spans="1:19" x14ac:dyDescent="0.3">
      <c r="A240">
        <v>32</v>
      </c>
      <c r="B240">
        <v>1401</v>
      </c>
      <c r="C240" t="s">
        <v>14</v>
      </c>
      <c r="D240" t="s">
        <v>15</v>
      </c>
      <c r="E240">
        <v>56</v>
      </c>
      <c r="F240" t="s">
        <v>24</v>
      </c>
      <c r="G240">
        <v>3931</v>
      </c>
      <c r="H240">
        <v>20990</v>
      </c>
      <c r="I240">
        <v>11</v>
      </c>
      <c r="J240">
        <v>6</v>
      </c>
      <c r="K240">
        <v>4</v>
      </c>
      <c r="L240">
        <v>3</v>
      </c>
      <c r="M240">
        <v>1</v>
      </c>
      <c r="N240">
        <v>2</v>
      </c>
      <c r="P240">
        <f>G240*I240/100</f>
        <v>432.41</v>
      </c>
      <c r="Q240">
        <f t="shared" si="3"/>
        <v>47172</v>
      </c>
      <c r="R240">
        <f>K240/J240</f>
        <v>0.66666666666666663</v>
      </c>
      <c r="S240">
        <v>2020</v>
      </c>
    </row>
    <row r="241" spans="1:19" x14ac:dyDescent="0.3">
      <c r="A241">
        <v>32</v>
      </c>
      <c r="B241">
        <v>515</v>
      </c>
      <c r="C241" t="s">
        <v>17</v>
      </c>
      <c r="D241" t="s">
        <v>18</v>
      </c>
      <c r="E241">
        <v>62</v>
      </c>
      <c r="F241" t="s">
        <v>20</v>
      </c>
      <c r="G241">
        <v>3730</v>
      </c>
      <c r="H241">
        <v>9571</v>
      </c>
      <c r="I241">
        <v>14</v>
      </c>
      <c r="J241">
        <v>4</v>
      </c>
      <c r="K241">
        <v>3</v>
      </c>
      <c r="L241">
        <v>2</v>
      </c>
      <c r="M241">
        <v>1</v>
      </c>
      <c r="N241">
        <v>2</v>
      </c>
      <c r="P241">
        <f>G241*I241/100</f>
        <v>522.20000000000005</v>
      </c>
      <c r="Q241">
        <f t="shared" si="3"/>
        <v>44760</v>
      </c>
      <c r="R241">
        <f>K241/J241</f>
        <v>0.75</v>
      </c>
      <c r="S241">
        <v>2020</v>
      </c>
    </row>
    <row r="242" spans="1:19" x14ac:dyDescent="0.3">
      <c r="A242">
        <v>39</v>
      </c>
      <c r="B242">
        <v>1431</v>
      </c>
      <c r="C242" t="s">
        <v>17</v>
      </c>
      <c r="D242" t="s">
        <v>15</v>
      </c>
      <c r="E242">
        <v>96</v>
      </c>
      <c r="F242" t="s">
        <v>20</v>
      </c>
      <c r="G242">
        <v>2232</v>
      </c>
      <c r="H242">
        <v>15417</v>
      </c>
      <c r="I242">
        <v>14</v>
      </c>
      <c r="J242">
        <v>7</v>
      </c>
      <c r="K242">
        <v>3</v>
      </c>
      <c r="L242">
        <v>2</v>
      </c>
      <c r="M242">
        <v>1</v>
      </c>
      <c r="N242">
        <v>2</v>
      </c>
      <c r="P242">
        <f>G242*I242/100</f>
        <v>312.48</v>
      </c>
      <c r="Q242">
        <f t="shared" si="3"/>
        <v>26784</v>
      </c>
      <c r="R242">
        <f>K242/J242</f>
        <v>0.42857142857142855</v>
      </c>
      <c r="S242">
        <v>2020</v>
      </c>
    </row>
    <row r="243" spans="1:19" x14ac:dyDescent="0.3">
      <c r="A243">
        <v>32</v>
      </c>
      <c r="B243">
        <v>976</v>
      </c>
      <c r="C243" t="s">
        <v>14</v>
      </c>
      <c r="D243" t="s">
        <v>18</v>
      </c>
      <c r="E243">
        <v>100</v>
      </c>
      <c r="F243" t="s">
        <v>16</v>
      </c>
      <c r="G243">
        <v>4465</v>
      </c>
      <c r="H243">
        <v>12069</v>
      </c>
      <c r="I243">
        <v>18</v>
      </c>
      <c r="J243">
        <v>4</v>
      </c>
      <c r="K243">
        <v>3</v>
      </c>
      <c r="L243">
        <v>2</v>
      </c>
      <c r="M243">
        <v>2</v>
      </c>
      <c r="N243">
        <v>2</v>
      </c>
      <c r="P243">
        <f>G243*I243/100</f>
        <v>803.7</v>
      </c>
      <c r="Q243">
        <f t="shared" si="3"/>
        <v>53580</v>
      </c>
      <c r="R243">
        <f>K243/J243</f>
        <v>0.75</v>
      </c>
      <c r="S243">
        <v>2020</v>
      </c>
    </row>
    <row r="244" spans="1:19" x14ac:dyDescent="0.3">
      <c r="A244">
        <v>41</v>
      </c>
      <c r="B244">
        <v>1411</v>
      </c>
      <c r="C244" t="s">
        <v>17</v>
      </c>
      <c r="D244" t="s">
        <v>18</v>
      </c>
      <c r="E244">
        <v>36</v>
      </c>
      <c r="F244" t="s">
        <v>19</v>
      </c>
      <c r="G244">
        <v>3072</v>
      </c>
      <c r="H244">
        <v>19877</v>
      </c>
      <c r="I244">
        <v>16</v>
      </c>
      <c r="J244">
        <v>17</v>
      </c>
      <c r="K244">
        <v>1</v>
      </c>
      <c r="L244">
        <v>0</v>
      </c>
      <c r="M244">
        <v>0</v>
      </c>
      <c r="N244">
        <v>0</v>
      </c>
      <c r="P244">
        <f>G244*I244/100</f>
        <v>491.52</v>
      </c>
      <c r="Q244">
        <f t="shared" si="3"/>
        <v>36864</v>
      </c>
      <c r="R244">
        <f>K244/J244</f>
        <v>5.8823529411764705E-2</v>
      </c>
      <c r="S244">
        <v>2020</v>
      </c>
    </row>
    <row r="245" spans="1:19" x14ac:dyDescent="0.3">
      <c r="A245">
        <v>40</v>
      </c>
      <c r="B245">
        <v>1300</v>
      </c>
      <c r="C245" t="s">
        <v>17</v>
      </c>
      <c r="D245" t="s">
        <v>18</v>
      </c>
      <c r="E245">
        <v>62</v>
      </c>
      <c r="F245" t="s">
        <v>19</v>
      </c>
      <c r="G245">
        <v>3319</v>
      </c>
      <c r="H245">
        <v>24447</v>
      </c>
      <c r="I245">
        <v>17</v>
      </c>
      <c r="J245">
        <v>9</v>
      </c>
      <c r="K245">
        <v>9</v>
      </c>
      <c r="L245">
        <v>8</v>
      </c>
      <c r="M245">
        <v>4</v>
      </c>
      <c r="N245">
        <v>7</v>
      </c>
      <c r="P245">
        <f>G245*I245/100</f>
        <v>564.23</v>
      </c>
      <c r="Q245">
        <f t="shared" si="3"/>
        <v>39828</v>
      </c>
      <c r="R245">
        <f>K245/J245</f>
        <v>1</v>
      </c>
      <c r="S245">
        <v>2020</v>
      </c>
    </row>
    <row r="246" spans="1:19" x14ac:dyDescent="0.3">
      <c r="A246">
        <v>45</v>
      </c>
      <c r="B246">
        <v>252</v>
      </c>
      <c r="C246" t="s">
        <v>17</v>
      </c>
      <c r="D246" t="s">
        <v>18</v>
      </c>
      <c r="E246">
        <v>70</v>
      </c>
      <c r="F246" t="s">
        <v>23</v>
      </c>
      <c r="G246">
        <v>19202</v>
      </c>
      <c r="H246">
        <v>15970</v>
      </c>
      <c r="I246">
        <v>11</v>
      </c>
      <c r="J246">
        <v>25</v>
      </c>
      <c r="K246">
        <v>24</v>
      </c>
      <c r="L246">
        <v>0</v>
      </c>
      <c r="M246">
        <v>1</v>
      </c>
      <c r="N246">
        <v>7</v>
      </c>
      <c r="P246">
        <f>G246*I246/100</f>
        <v>2112.2199999999998</v>
      </c>
      <c r="Q246">
        <f t="shared" si="3"/>
        <v>230424</v>
      </c>
      <c r="R246">
        <f>K246/J246</f>
        <v>0.96</v>
      </c>
      <c r="S246">
        <v>2020</v>
      </c>
    </row>
    <row r="247" spans="1:19" x14ac:dyDescent="0.3">
      <c r="A247">
        <v>31</v>
      </c>
      <c r="B247">
        <v>1327</v>
      </c>
      <c r="C247" t="s">
        <v>17</v>
      </c>
      <c r="D247" t="s">
        <v>18</v>
      </c>
      <c r="E247">
        <v>73</v>
      </c>
      <c r="F247" t="s">
        <v>25</v>
      </c>
      <c r="G247">
        <v>13675</v>
      </c>
      <c r="H247">
        <v>13523</v>
      </c>
      <c r="I247">
        <v>12</v>
      </c>
      <c r="J247">
        <v>9</v>
      </c>
      <c r="K247">
        <v>2</v>
      </c>
      <c r="L247">
        <v>2</v>
      </c>
      <c r="M247">
        <v>2</v>
      </c>
      <c r="N247">
        <v>2</v>
      </c>
      <c r="P247">
        <f>G247*I247/100</f>
        <v>1641</v>
      </c>
      <c r="Q247">
        <f t="shared" si="3"/>
        <v>164100</v>
      </c>
      <c r="R247">
        <f>K247/J247</f>
        <v>0.22222222222222221</v>
      </c>
      <c r="S247">
        <v>2020</v>
      </c>
    </row>
    <row r="248" spans="1:19" x14ac:dyDescent="0.3">
      <c r="A248">
        <v>33</v>
      </c>
      <c r="B248">
        <v>832</v>
      </c>
      <c r="C248" t="s">
        <v>17</v>
      </c>
      <c r="D248" t="s">
        <v>15</v>
      </c>
      <c r="E248">
        <v>63</v>
      </c>
      <c r="F248" t="s">
        <v>19</v>
      </c>
      <c r="G248">
        <v>2911</v>
      </c>
      <c r="H248">
        <v>14776</v>
      </c>
      <c r="I248">
        <v>13</v>
      </c>
      <c r="J248">
        <v>2</v>
      </c>
      <c r="K248">
        <v>2</v>
      </c>
      <c r="L248">
        <v>2</v>
      </c>
      <c r="M248">
        <v>0</v>
      </c>
      <c r="N248">
        <v>2</v>
      </c>
      <c r="P248">
        <f>G248*I248/100</f>
        <v>378.43</v>
      </c>
      <c r="Q248">
        <f t="shared" si="3"/>
        <v>34932</v>
      </c>
      <c r="R248">
        <f>K248/J248</f>
        <v>1</v>
      </c>
      <c r="S248">
        <v>2020</v>
      </c>
    </row>
    <row r="249" spans="1:19" x14ac:dyDescent="0.3">
      <c r="A249">
        <v>34</v>
      </c>
      <c r="B249">
        <v>470</v>
      </c>
      <c r="C249" t="s">
        <v>17</v>
      </c>
      <c r="D249" t="s">
        <v>18</v>
      </c>
      <c r="E249">
        <v>84</v>
      </c>
      <c r="F249" t="s">
        <v>21</v>
      </c>
      <c r="G249">
        <v>5957</v>
      </c>
      <c r="H249">
        <v>23687</v>
      </c>
      <c r="I249">
        <v>13</v>
      </c>
      <c r="J249">
        <v>13</v>
      </c>
      <c r="K249">
        <v>11</v>
      </c>
      <c r="L249">
        <v>9</v>
      </c>
      <c r="M249">
        <v>5</v>
      </c>
      <c r="N249">
        <v>9</v>
      </c>
      <c r="P249">
        <f>G249*I249/100</f>
        <v>774.41</v>
      </c>
      <c r="Q249">
        <f t="shared" si="3"/>
        <v>71484</v>
      </c>
      <c r="R249">
        <f>K249/J249</f>
        <v>0.84615384615384615</v>
      </c>
      <c r="S249">
        <v>2020</v>
      </c>
    </row>
    <row r="250" spans="1:19" x14ac:dyDescent="0.3">
      <c r="A250">
        <v>37</v>
      </c>
      <c r="B250">
        <v>1017</v>
      </c>
      <c r="C250" t="s">
        <v>17</v>
      </c>
      <c r="D250" t="s">
        <v>15</v>
      </c>
      <c r="E250">
        <v>83</v>
      </c>
      <c r="F250" t="s">
        <v>19</v>
      </c>
      <c r="G250">
        <v>3920</v>
      </c>
      <c r="H250">
        <v>18697</v>
      </c>
      <c r="I250">
        <v>14</v>
      </c>
      <c r="J250">
        <v>17</v>
      </c>
      <c r="K250">
        <v>3</v>
      </c>
      <c r="L250">
        <v>1</v>
      </c>
      <c r="M250">
        <v>0</v>
      </c>
      <c r="N250">
        <v>2</v>
      </c>
      <c r="P250">
        <f>G250*I250/100</f>
        <v>548.79999999999995</v>
      </c>
      <c r="Q250">
        <f t="shared" si="3"/>
        <v>47040</v>
      </c>
      <c r="R250">
        <f>K250/J250</f>
        <v>0.17647058823529413</v>
      </c>
      <c r="S250">
        <v>2020</v>
      </c>
    </row>
    <row r="251" spans="1:19" x14ac:dyDescent="0.3">
      <c r="A251">
        <v>45</v>
      </c>
      <c r="B251">
        <v>1199</v>
      </c>
      <c r="C251" t="s">
        <v>17</v>
      </c>
      <c r="D251" t="s">
        <v>18</v>
      </c>
      <c r="E251">
        <v>77</v>
      </c>
      <c r="F251" t="s">
        <v>21</v>
      </c>
      <c r="G251">
        <v>6434</v>
      </c>
      <c r="H251">
        <v>5118</v>
      </c>
      <c r="I251">
        <v>17</v>
      </c>
      <c r="J251">
        <v>9</v>
      </c>
      <c r="K251">
        <v>3</v>
      </c>
      <c r="L251">
        <v>2</v>
      </c>
      <c r="M251">
        <v>0</v>
      </c>
      <c r="N251">
        <v>2</v>
      </c>
      <c r="P251">
        <f>G251*I251/100</f>
        <v>1093.78</v>
      </c>
      <c r="Q251">
        <f t="shared" si="3"/>
        <v>77208</v>
      </c>
      <c r="R251">
        <f>K251/J251</f>
        <v>0.33333333333333331</v>
      </c>
      <c r="S251">
        <v>2020</v>
      </c>
    </row>
    <row r="252" spans="1:19" x14ac:dyDescent="0.3">
      <c r="A252">
        <v>37</v>
      </c>
      <c r="B252">
        <v>504</v>
      </c>
      <c r="C252" t="s">
        <v>17</v>
      </c>
      <c r="D252" t="s">
        <v>18</v>
      </c>
      <c r="E252">
        <v>61</v>
      </c>
      <c r="F252" t="s">
        <v>21</v>
      </c>
      <c r="G252">
        <v>10048</v>
      </c>
      <c r="H252">
        <v>22573</v>
      </c>
      <c r="I252">
        <v>11</v>
      </c>
      <c r="J252">
        <v>17</v>
      </c>
      <c r="K252">
        <v>1</v>
      </c>
      <c r="L252">
        <v>0</v>
      </c>
      <c r="M252">
        <v>0</v>
      </c>
      <c r="N252">
        <v>0</v>
      </c>
      <c r="P252">
        <f>G252*I252/100</f>
        <v>1105.28</v>
      </c>
      <c r="Q252">
        <f t="shared" si="3"/>
        <v>120576</v>
      </c>
      <c r="R252">
        <f>K252/J252</f>
        <v>5.8823529411764705E-2</v>
      </c>
      <c r="S252">
        <v>2020</v>
      </c>
    </row>
    <row r="253" spans="1:19" x14ac:dyDescent="0.3">
      <c r="A253">
        <v>39</v>
      </c>
      <c r="B253">
        <v>505</v>
      </c>
      <c r="C253" t="s">
        <v>17</v>
      </c>
      <c r="D253" t="s">
        <v>15</v>
      </c>
      <c r="E253">
        <v>64</v>
      </c>
      <c r="F253" t="s">
        <v>22</v>
      </c>
      <c r="G253">
        <v>10938</v>
      </c>
      <c r="H253">
        <v>6420</v>
      </c>
      <c r="I253">
        <v>25</v>
      </c>
      <c r="J253">
        <v>20</v>
      </c>
      <c r="K253">
        <v>19</v>
      </c>
      <c r="L253">
        <v>6</v>
      </c>
      <c r="M253">
        <v>11</v>
      </c>
      <c r="N253">
        <v>8</v>
      </c>
      <c r="P253">
        <f>G253*I253/100</f>
        <v>2734.5</v>
      </c>
      <c r="Q253">
        <f t="shared" si="3"/>
        <v>131256</v>
      </c>
      <c r="R253">
        <f>K253/J253</f>
        <v>0.95</v>
      </c>
      <c r="S253">
        <v>2020</v>
      </c>
    </row>
    <row r="254" spans="1:19" x14ac:dyDescent="0.3">
      <c r="A254">
        <v>29</v>
      </c>
      <c r="B254">
        <v>665</v>
      </c>
      <c r="C254" t="s">
        <v>17</v>
      </c>
      <c r="D254" t="s">
        <v>18</v>
      </c>
      <c r="E254">
        <v>60</v>
      </c>
      <c r="F254" t="s">
        <v>19</v>
      </c>
      <c r="G254">
        <v>2340</v>
      </c>
      <c r="H254">
        <v>22673</v>
      </c>
      <c r="I254">
        <v>19</v>
      </c>
      <c r="J254">
        <v>6</v>
      </c>
      <c r="K254">
        <v>6</v>
      </c>
      <c r="L254">
        <v>5</v>
      </c>
      <c r="M254">
        <v>1</v>
      </c>
      <c r="N254">
        <v>5</v>
      </c>
      <c r="P254">
        <f>G254*I254/100</f>
        <v>444.6</v>
      </c>
      <c r="Q254">
        <f t="shared" si="3"/>
        <v>28080</v>
      </c>
      <c r="R254">
        <f>K254/J254</f>
        <v>1</v>
      </c>
      <c r="S254">
        <v>2020</v>
      </c>
    </row>
    <row r="255" spans="1:19" x14ac:dyDescent="0.3">
      <c r="A255">
        <v>42</v>
      </c>
      <c r="B255">
        <v>916</v>
      </c>
      <c r="C255" t="s">
        <v>17</v>
      </c>
      <c r="D255" t="s">
        <v>15</v>
      </c>
      <c r="E255">
        <v>82</v>
      </c>
      <c r="F255" t="s">
        <v>19</v>
      </c>
      <c r="G255">
        <v>6545</v>
      </c>
      <c r="H255">
        <v>23016</v>
      </c>
      <c r="I255">
        <v>13</v>
      </c>
      <c r="J255">
        <v>10</v>
      </c>
      <c r="K255">
        <v>3</v>
      </c>
      <c r="L255">
        <v>2</v>
      </c>
      <c r="M255">
        <v>0</v>
      </c>
      <c r="N255">
        <v>2</v>
      </c>
      <c r="P255">
        <f>G255*I255/100</f>
        <v>850.85</v>
      </c>
      <c r="Q255">
        <f t="shared" si="3"/>
        <v>78540</v>
      </c>
      <c r="R255">
        <f>K255/J255</f>
        <v>0.3</v>
      </c>
      <c r="S255">
        <v>2020</v>
      </c>
    </row>
    <row r="256" spans="1:19" x14ac:dyDescent="0.3">
      <c r="A256">
        <v>29</v>
      </c>
      <c r="B256">
        <v>1247</v>
      </c>
      <c r="C256" t="s">
        <v>14</v>
      </c>
      <c r="D256" t="s">
        <v>18</v>
      </c>
      <c r="E256">
        <v>45</v>
      </c>
      <c r="F256" t="s">
        <v>16</v>
      </c>
      <c r="G256">
        <v>6931</v>
      </c>
      <c r="H256">
        <v>10732</v>
      </c>
      <c r="I256">
        <v>14</v>
      </c>
      <c r="J256">
        <v>10</v>
      </c>
      <c r="K256">
        <v>3</v>
      </c>
      <c r="L256">
        <v>2</v>
      </c>
      <c r="M256">
        <v>0</v>
      </c>
      <c r="N256">
        <v>2</v>
      </c>
      <c r="P256">
        <f>G256*I256/100</f>
        <v>970.34</v>
      </c>
      <c r="Q256">
        <f t="shared" si="3"/>
        <v>83172</v>
      </c>
      <c r="R256">
        <f>K256/J256</f>
        <v>0.3</v>
      </c>
      <c r="S256">
        <v>2020</v>
      </c>
    </row>
    <row r="257" spans="1:19" x14ac:dyDescent="0.3">
      <c r="A257">
        <v>25</v>
      </c>
      <c r="B257">
        <v>685</v>
      </c>
      <c r="C257" t="s">
        <v>17</v>
      </c>
      <c r="D257" t="s">
        <v>15</v>
      </c>
      <c r="E257">
        <v>62</v>
      </c>
      <c r="F257" t="s">
        <v>21</v>
      </c>
      <c r="G257">
        <v>4898</v>
      </c>
      <c r="H257">
        <v>7505</v>
      </c>
      <c r="I257">
        <v>12</v>
      </c>
      <c r="J257">
        <v>5</v>
      </c>
      <c r="K257">
        <v>4</v>
      </c>
      <c r="L257">
        <v>2</v>
      </c>
      <c r="M257">
        <v>1</v>
      </c>
      <c r="N257">
        <v>2</v>
      </c>
      <c r="P257">
        <f>G257*I257/100</f>
        <v>587.76</v>
      </c>
      <c r="Q257">
        <f t="shared" si="3"/>
        <v>58776</v>
      </c>
      <c r="R257">
        <f>K257/J257</f>
        <v>0.8</v>
      </c>
      <c r="S257">
        <v>2020</v>
      </c>
    </row>
    <row r="258" spans="1:19" x14ac:dyDescent="0.3">
      <c r="A258">
        <v>42</v>
      </c>
      <c r="B258">
        <v>269</v>
      </c>
      <c r="C258" t="s">
        <v>17</v>
      </c>
      <c r="D258" t="s">
        <v>15</v>
      </c>
      <c r="E258">
        <v>56</v>
      </c>
      <c r="F258" t="s">
        <v>20</v>
      </c>
      <c r="G258">
        <v>2593</v>
      </c>
      <c r="H258">
        <v>8007</v>
      </c>
      <c r="I258">
        <v>11</v>
      </c>
      <c r="J258">
        <v>10</v>
      </c>
      <c r="K258">
        <v>9</v>
      </c>
      <c r="L258">
        <v>6</v>
      </c>
      <c r="M258">
        <v>7</v>
      </c>
      <c r="N258">
        <v>8</v>
      </c>
      <c r="P258">
        <f>G258*I258/100</f>
        <v>285.23</v>
      </c>
      <c r="Q258">
        <f t="shared" si="3"/>
        <v>31116</v>
      </c>
      <c r="R258">
        <f>K258/J258</f>
        <v>0.9</v>
      </c>
      <c r="S258">
        <v>2020</v>
      </c>
    </row>
    <row r="259" spans="1:19" x14ac:dyDescent="0.3">
      <c r="A259">
        <v>40</v>
      </c>
      <c r="B259">
        <v>1416</v>
      </c>
      <c r="C259" t="s">
        <v>17</v>
      </c>
      <c r="D259" t="s">
        <v>18</v>
      </c>
      <c r="E259">
        <v>49</v>
      </c>
      <c r="F259" t="s">
        <v>25</v>
      </c>
      <c r="G259">
        <v>19436</v>
      </c>
      <c r="H259">
        <v>5949</v>
      </c>
      <c r="I259">
        <v>19</v>
      </c>
      <c r="J259">
        <v>22</v>
      </c>
      <c r="K259">
        <v>21</v>
      </c>
      <c r="L259">
        <v>7</v>
      </c>
      <c r="M259">
        <v>3</v>
      </c>
      <c r="N259">
        <v>9</v>
      </c>
      <c r="P259">
        <f>G259*I259/100</f>
        <v>3692.84</v>
      </c>
      <c r="Q259">
        <f t="shared" ref="Q259:Q322" si="4">G259*12</f>
        <v>233232</v>
      </c>
      <c r="R259">
        <f>K259/J259</f>
        <v>0.95454545454545459</v>
      </c>
      <c r="S259">
        <v>2020</v>
      </c>
    </row>
    <row r="260" spans="1:19" x14ac:dyDescent="0.3">
      <c r="A260">
        <v>51</v>
      </c>
      <c r="B260">
        <v>833</v>
      </c>
      <c r="C260" t="s">
        <v>17</v>
      </c>
      <c r="D260" t="s">
        <v>18</v>
      </c>
      <c r="E260">
        <v>96</v>
      </c>
      <c r="F260" t="s">
        <v>19</v>
      </c>
      <c r="G260">
        <v>2723</v>
      </c>
      <c r="H260">
        <v>23231</v>
      </c>
      <c r="I260">
        <v>11</v>
      </c>
      <c r="J260">
        <v>1</v>
      </c>
      <c r="K260">
        <v>1</v>
      </c>
      <c r="L260">
        <v>0</v>
      </c>
      <c r="M260">
        <v>0</v>
      </c>
      <c r="N260">
        <v>0</v>
      </c>
      <c r="P260">
        <f>G260*I260/100</f>
        <v>299.52999999999997</v>
      </c>
      <c r="Q260">
        <f t="shared" si="4"/>
        <v>32676</v>
      </c>
      <c r="R260">
        <f>K260/J260</f>
        <v>1</v>
      </c>
      <c r="S260">
        <v>2020</v>
      </c>
    </row>
    <row r="261" spans="1:19" x14ac:dyDescent="0.3">
      <c r="A261">
        <v>31</v>
      </c>
      <c r="B261">
        <v>307</v>
      </c>
      <c r="C261" t="s">
        <v>17</v>
      </c>
      <c r="D261" t="s">
        <v>18</v>
      </c>
      <c r="E261">
        <v>71</v>
      </c>
      <c r="F261" t="s">
        <v>20</v>
      </c>
      <c r="G261">
        <v>3479</v>
      </c>
      <c r="H261">
        <v>11652</v>
      </c>
      <c r="I261">
        <v>11</v>
      </c>
      <c r="J261">
        <v>6</v>
      </c>
      <c r="K261">
        <v>5</v>
      </c>
      <c r="L261">
        <v>4</v>
      </c>
      <c r="M261">
        <v>1</v>
      </c>
      <c r="N261">
        <v>4</v>
      </c>
      <c r="P261">
        <f>G261*I261/100</f>
        <v>382.69</v>
      </c>
      <c r="Q261">
        <f t="shared" si="4"/>
        <v>41748</v>
      </c>
      <c r="R261">
        <f>K261/J261</f>
        <v>0.83333333333333337</v>
      </c>
      <c r="S261">
        <v>2020</v>
      </c>
    </row>
    <row r="262" spans="1:19" x14ac:dyDescent="0.3">
      <c r="A262">
        <v>32</v>
      </c>
      <c r="B262">
        <v>1311</v>
      </c>
      <c r="C262" t="s">
        <v>17</v>
      </c>
      <c r="D262" t="s">
        <v>18</v>
      </c>
      <c r="E262">
        <v>100</v>
      </c>
      <c r="F262" t="s">
        <v>20</v>
      </c>
      <c r="G262">
        <v>2794</v>
      </c>
      <c r="H262">
        <v>26062</v>
      </c>
      <c r="I262">
        <v>20</v>
      </c>
      <c r="J262">
        <v>5</v>
      </c>
      <c r="K262">
        <v>5</v>
      </c>
      <c r="L262">
        <v>1</v>
      </c>
      <c r="M262">
        <v>0</v>
      </c>
      <c r="N262">
        <v>3</v>
      </c>
      <c r="P262">
        <f>G262*I262/100</f>
        <v>558.79999999999995</v>
      </c>
      <c r="Q262">
        <f t="shared" si="4"/>
        <v>33528</v>
      </c>
      <c r="R262">
        <f>K262/J262</f>
        <v>1</v>
      </c>
      <c r="S262">
        <v>2020</v>
      </c>
    </row>
    <row r="263" spans="1:19" x14ac:dyDescent="0.3">
      <c r="A263">
        <v>38</v>
      </c>
      <c r="B263">
        <v>1327</v>
      </c>
      <c r="C263" t="s">
        <v>14</v>
      </c>
      <c r="D263" t="s">
        <v>18</v>
      </c>
      <c r="E263">
        <v>39</v>
      </c>
      <c r="F263" t="s">
        <v>16</v>
      </c>
      <c r="G263">
        <v>5249</v>
      </c>
      <c r="H263">
        <v>19682</v>
      </c>
      <c r="I263">
        <v>18</v>
      </c>
      <c r="J263">
        <v>13</v>
      </c>
      <c r="K263">
        <v>8</v>
      </c>
      <c r="L263">
        <v>7</v>
      </c>
      <c r="M263">
        <v>7</v>
      </c>
      <c r="N263">
        <v>5</v>
      </c>
      <c r="P263">
        <f>G263*I263/100</f>
        <v>944.82</v>
      </c>
      <c r="Q263">
        <f t="shared" si="4"/>
        <v>62988</v>
      </c>
      <c r="R263">
        <f>K263/J263</f>
        <v>0.61538461538461542</v>
      </c>
      <c r="S263">
        <v>2020</v>
      </c>
    </row>
    <row r="264" spans="1:19" x14ac:dyDescent="0.3">
      <c r="A264">
        <v>32</v>
      </c>
      <c r="B264">
        <v>128</v>
      </c>
      <c r="C264" t="s">
        <v>17</v>
      </c>
      <c r="D264" t="s">
        <v>18</v>
      </c>
      <c r="E264">
        <v>84</v>
      </c>
      <c r="F264" t="s">
        <v>20</v>
      </c>
      <c r="G264">
        <v>2176</v>
      </c>
      <c r="H264">
        <v>19737</v>
      </c>
      <c r="I264">
        <v>13</v>
      </c>
      <c r="J264">
        <v>9</v>
      </c>
      <c r="K264">
        <v>6</v>
      </c>
      <c r="L264">
        <v>2</v>
      </c>
      <c r="M264">
        <v>0</v>
      </c>
      <c r="N264">
        <v>4</v>
      </c>
      <c r="P264">
        <f>G264*I264/100</f>
        <v>282.88</v>
      </c>
      <c r="Q264">
        <f t="shared" si="4"/>
        <v>26112</v>
      </c>
      <c r="R264">
        <f>K264/J264</f>
        <v>0.66666666666666663</v>
      </c>
      <c r="S264">
        <v>2020</v>
      </c>
    </row>
    <row r="265" spans="1:19" x14ac:dyDescent="0.3">
      <c r="A265">
        <v>46</v>
      </c>
      <c r="B265">
        <v>488</v>
      </c>
      <c r="C265" t="s">
        <v>14</v>
      </c>
      <c r="D265" t="s">
        <v>15</v>
      </c>
      <c r="E265">
        <v>75</v>
      </c>
      <c r="F265" t="s">
        <v>23</v>
      </c>
      <c r="G265">
        <v>16872</v>
      </c>
      <c r="H265">
        <v>14977</v>
      </c>
      <c r="I265">
        <v>12</v>
      </c>
      <c r="J265">
        <v>28</v>
      </c>
      <c r="K265">
        <v>7</v>
      </c>
      <c r="L265">
        <v>7</v>
      </c>
      <c r="M265">
        <v>7</v>
      </c>
      <c r="N265">
        <v>7</v>
      </c>
      <c r="P265">
        <f>G265*I265/100</f>
        <v>2024.64</v>
      </c>
      <c r="Q265">
        <f t="shared" si="4"/>
        <v>202464</v>
      </c>
      <c r="R265">
        <f>K265/J265</f>
        <v>0.25</v>
      </c>
      <c r="S265">
        <v>2020</v>
      </c>
    </row>
    <row r="266" spans="1:19" x14ac:dyDescent="0.3">
      <c r="A266">
        <v>28</v>
      </c>
      <c r="B266">
        <v>529</v>
      </c>
      <c r="C266" t="s">
        <v>17</v>
      </c>
      <c r="D266" t="s">
        <v>18</v>
      </c>
      <c r="E266">
        <v>79</v>
      </c>
      <c r="F266" t="s">
        <v>20</v>
      </c>
      <c r="G266">
        <v>3485</v>
      </c>
      <c r="H266">
        <v>14935</v>
      </c>
      <c r="I266">
        <v>11</v>
      </c>
      <c r="J266">
        <v>5</v>
      </c>
      <c r="K266">
        <v>0</v>
      </c>
      <c r="L266">
        <v>0</v>
      </c>
      <c r="M266">
        <v>0</v>
      </c>
      <c r="N266">
        <v>0</v>
      </c>
      <c r="P266">
        <f>G266*I266/100</f>
        <v>383.35</v>
      </c>
      <c r="Q266">
        <f t="shared" si="4"/>
        <v>41820</v>
      </c>
      <c r="R266">
        <f>K266/J266</f>
        <v>0</v>
      </c>
      <c r="S266">
        <v>2020</v>
      </c>
    </row>
    <row r="267" spans="1:19" x14ac:dyDescent="0.3">
      <c r="A267">
        <v>29</v>
      </c>
      <c r="B267">
        <v>1210</v>
      </c>
      <c r="C267" t="s">
        <v>14</v>
      </c>
      <c r="D267" t="s">
        <v>18</v>
      </c>
      <c r="E267">
        <v>78</v>
      </c>
      <c r="F267" t="s">
        <v>16</v>
      </c>
      <c r="G267">
        <v>6644</v>
      </c>
      <c r="H267">
        <v>3687</v>
      </c>
      <c r="I267">
        <v>19</v>
      </c>
      <c r="J267">
        <v>10</v>
      </c>
      <c r="K267">
        <v>0</v>
      </c>
      <c r="L267">
        <v>0</v>
      </c>
      <c r="M267">
        <v>0</v>
      </c>
      <c r="N267">
        <v>0</v>
      </c>
      <c r="P267">
        <f>G267*I267/100</f>
        <v>1262.3599999999999</v>
      </c>
      <c r="Q267">
        <f t="shared" si="4"/>
        <v>79728</v>
      </c>
      <c r="R267">
        <f>K267/J267</f>
        <v>0</v>
      </c>
      <c r="S267">
        <v>2020</v>
      </c>
    </row>
    <row r="268" spans="1:19" x14ac:dyDescent="0.3">
      <c r="A268">
        <v>31</v>
      </c>
      <c r="B268">
        <v>1463</v>
      </c>
      <c r="C268" t="s">
        <v>17</v>
      </c>
      <c r="D268" t="s">
        <v>18</v>
      </c>
      <c r="E268">
        <v>64</v>
      </c>
      <c r="F268" t="s">
        <v>22</v>
      </c>
      <c r="G268">
        <v>5582</v>
      </c>
      <c r="H268">
        <v>14408</v>
      </c>
      <c r="I268">
        <v>21</v>
      </c>
      <c r="J268">
        <v>10</v>
      </c>
      <c r="K268">
        <v>9</v>
      </c>
      <c r="L268">
        <v>0</v>
      </c>
      <c r="M268">
        <v>7</v>
      </c>
      <c r="N268">
        <v>8</v>
      </c>
      <c r="P268">
        <f>G268*I268/100</f>
        <v>1172.22</v>
      </c>
      <c r="Q268">
        <f t="shared" si="4"/>
        <v>66984</v>
      </c>
      <c r="R268">
        <f>K268/J268</f>
        <v>0.9</v>
      </c>
      <c r="S268">
        <v>2020</v>
      </c>
    </row>
    <row r="269" spans="1:19" x14ac:dyDescent="0.3">
      <c r="A269">
        <v>25</v>
      </c>
      <c r="B269">
        <v>675</v>
      </c>
      <c r="C269" t="s">
        <v>17</v>
      </c>
      <c r="D269" t="s">
        <v>18</v>
      </c>
      <c r="E269">
        <v>85</v>
      </c>
      <c r="F269" t="s">
        <v>22</v>
      </c>
      <c r="G269">
        <v>4000</v>
      </c>
      <c r="H269">
        <v>18384</v>
      </c>
      <c r="I269">
        <v>12</v>
      </c>
      <c r="J269">
        <v>6</v>
      </c>
      <c r="K269">
        <v>6</v>
      </c>
      <c r="L269">
        <v>3</v>
      </c>
      <c r="M269">
        <v>1</v>
      </c>
      <c r="N269">
        <v>5</v>
      </c>
      <c r="P269">
        <f>G269*I269/100</f>
        <v>480</v>
      </c>
      <c r="Q269">
        <f t="shared" si="4"/>
        <v>48000</v>
      </c>
      <c r="R269">
        <f>K269/J269</f>
        <v>1</v>
      </c>
      <c r="S269">
        <v>2020</v>
      </c>
    </row>
    <row r="270" spans="1:19" x14ac:dyDescent="0.3">
      <c r="A270">
        <v>45</v>
      </c>
      <c r="B270">
        <v>1385</v>
      </c>
      <c r="C270" t="s">
        <v>17</v>
      </c>
      <c r="D270" t="s">
        <v>18</v>
      </c>
      <c r="E270">
        <v>79</v>
      </c>
      <c r="F270" t="s">
        <v>22</v>
      </c>
      <c r="G270">
        <v>13496</v>
      </c>
      <c r="H270">
        <v>7501</v>
      </c>
      <c r="I270">
        <v>14</v>
      </c>
      <c r="J270">
        <v>21</v>
      </c>
      <c r="K270">
        <v>20</v>
      </c>
      <c r="L270">
        <v>7</v>
      </c>
      <c r="M270">
        <v>4</v>
      </c>
      <c r="N270">
        <v>10</v>
      </c>
      <c r="P270">
        <f>G270*I270/100</f>
        <v>1889.44</v>
      </c>
      <c r="Q270">
        <f t="shared" si="4"/>
        <v>161952</v>
      </c>
      <c r="R270">
        <f>K270/J270</f>
        <v>0.95238095238095233</v>
      </c>
      <c r="S270">
        <v>2020</v>
      </c>
    </row>
    <row r="271" spans="1:19" x14ac:dyDescent="0.3">
      <c r="A271">
        <v>36</v>
      </c>
      <c r="B271">
        <v>1403</v>
      </c>
      <c r="C271" t="s">
        <v>17</v>
      </c>
      <c r="D271" t="s">
        <v>18</v>
      </c>
      <c r="E271">
        <v>47</v>
      </c>
      <c r="F271" t="s">
        <v>20</v>
      </c>
      <c r="G271">
        <v>3210</v>
      </c>
      <c r="H271">
        <v>20251</v>
      </c>
      <c r="I271">
        <v>11</v>
      </c>
      <c r="J271">
        <v>16</v>
      </c>
      <c r="K271">
        <v>15</v>
      </c>
      <c r="L271">
        <v>13</v>
      </c>
      <c r="M271">
        <v>10</v>
      </c>
      <c r="N271">
        <v>11</v>
      </c>
      <c r="P271">
        <f>G271*I271/100</f>
        <v>353.1</v>
      </c>
      <c r="Q271">
        <f t="shared" si="4"/>
        <v>38520</v>
      </c>
      <c r="R271">
        <f>K271/J271</f>
        <v>0.9375</v>
      </c>
      <c r="S271">
        <v>2020</v>
      </c>
    </row>
    <row r="272" spans="1:19" x14ac:dyDescent="0.3">
      <c r="A272">
        <v>55</v>
      </c>
      <c r="B272">
        <v>452</v>
      </c>
      <c r="C272" t="s">
        <v>17</v>
      </c>
      <c r="D272" t="s">
        <v>18</v>
      </c>
      <c r="E272">
        <v>81</v>
      </c>
      <c r="F272" t="s">
        <v>23</v>
      </c>
      <c r="G272">
        <v>19045</v>
      </c>
      <c r="H272">
        <v>18938</v>
      </c>
      <c r="I272">
        <v>14</v>
      </c>
      <c r="J272">
        <v>37</v>
      </c>
      <c r="K272">
        <v>36</v>
      </c>
      <c r="L272">
        <v>10</v>
      </c>
      <c r="M272">
        <v>4</v>
      </c>
      <c r="N272">
        <v>13</v>
      </c>
      <c r="P272">
        <f>G272*I272/100</f>
        <v>2666.3</v>
      </c>
      <c r="Q272">
        <f t="shared" si="4"/>
        <v>228540</v>
      </c>
      <c r="R272">
        <f>K272/J272</f>
        <v>0.97297297297297303</v>
      </c>
      <c r="S272">
        <v>2020</v>
      </c>
    </row>
    <row r="273" spans="1:19" x14ac:dyDescent="0.3">
      <c r="A273">
        <v>47</v>
      </c>
      <c r="B273">
        <v>666</v>
      </c>
      <c r="C273" t="s">
        <v>17</v>
      </c>
      <c r="D273" t="s">
        <v>18</v>
      </c>
      <c r="E273">
        <v>88</v>
      </c>
      <c r="F273" t="s">
        <v>23</v>
      </c>
      <c r="G273">
        <v>11849</v>
      </c>
      <c r="H273">
        <v>10268</v>
      </c>
      <c r="I273">
        <v>12</v>
      </c>
      <c r="J273">
        <v>10</v>
      </c>
      <c r="K273">
        <v>10</v>
      </c>
      <c r="L273">
        <v>7</v>
      </c>
      <c r="M273">
        <v>9</v>
      </c>
      <c r="N273">
        <v>9</v>
      </c>
      <c r="P273">
        <f>G273*I273/100</f>
        <v>1421.88</v>
      </c>
      <c r="Q273">
        <f t="shared" si="4"/>
        <v>142188</v>
      </c>
      <c r="R273">
        <f>K273/J273</f>
        <v>1</v>
      </c>
      <c r="S273">
        <v>2020</v>
      </c>
    </row>
    <row r="274" spans="1:19" x14ac:dyDescent="0.3">
      <c r="A274">
        <v>28</v>
      </c>
      <c r="B274">
        <v>1158</v>
      </c>
      <c r="C274" t="s">
        <v>17</v>
      </c>
      <c r="D274" t="s">
        <v>18</v>
      </c>
      <c r="E274">
        <v>94</v>
      </c>
      <c r="F274" t="s">
        <v>19</v>
      </c>
      <c r="G274">
        <v>2070</v>
      </c>
      <c r="H274">
        <v>2613</v>
      </c>
      <c r="I274">
        <v>23</v>
      </c>
      <c r="J274">
        <v>5</v>
      </c>
      <c r="K274">
        <v>5</v>
      </c>
      <c r="L274">
        <v>2</v>
      </c>
      <c r="M274">
        <v>0</v>
      </c>
      <c r="N274">
        <v>4</v>
      </c>
      <c r="P274">
        <f>G274*I274/100</f>
        <v>476.1</v>
      </c>
      <c r="Q274">
        <f t="shared" si="4"/>
        <v>24840</v>
      </c>
      <c r="R274">
        <f>K274/J274</f>
        <v>1</v>
      </c>
      <c r="S274">
        <v>2020</v>
      </c>
    </row>
    <row r="275" spans="1:19" x14ac:dyDescent="0.3">
      <c r="A275">
        <v>37</v>
      </c>
      <c r="B275">
        <v>228</v>
      </c>
      <c r="C275" t="s">
        <v>14</v>
      </c>
      <c r="D275" t="s">
        <v>18</v>
      </c>
      <c r="E275">
        <v>98</v>
      </c>
      <c r="F275" t="s">
        <v>16</v>
      </c>
      <c r="G275">
        <v>6502</v>
      </c>
      <c r="H275">
        <v>22825</v>
      </c>
      <c r="I275">
        <v>14</v>
      </c>
      <c r="J275">
        <v>7</v>
      </c>
      <c r="K275">
        <v>5</v>
      </c>
      <c r="L275">
        <v>4</v>
      </c>
      <c r="M275">
        <v>0</v>
      </c>
      <c r="N275">
        <v>1</v>
      </c>
      <c r="P275">
        <f>G275*I275/100</f>
        <v>910.28</v>
      </c>
      <c r="Q275">
        <f t="shared" si="4"/>
        <v>78024</v>
      </c>
      <c r="R275">
        <f>K275/J275</f>
        <v>0.7142857142857143</v>
      </c>
      <c r="S275">
        <v>2020</v>
      </c>
    </row>
    <row r="276" spans="1:19" x14ac:dyDescent="0.3">
      <c r="A276">
        <v>21</v>
      </c>
      <c r="B276">
        <v>996</v>
      </c>
      <c r="C276" t="s">
        <v>17</v>
      </c>
      <c r="D276" t="s">
        <v>18</v>
      </c>
      <c r="E276">
        <v>100</v>
      </c>
      <c r="F276" t="s">
        <v>19</v>
      </c>
      <c r="G276">
        <v>3230</v>
      </c>
      <c r="H276">
        <v>10531</v>
      </c>
      <c r="I276">
        <v>17</v>
      </c>
      <c r="J276">
        <v>3</v>
      </c>
      <c r="K276">
        <v>3</v>
      </c>
      <c r="L276">
        <v>2</v>
      </c>
      <c r="M276">
        <v>1</v>
      </c>
      <c r="N276">
        <v>0</v>
      </c>
      <c r="P276">
        <f>G276*I276/100</f>
        <v>549.1</v>
      </c>
      <c r="Q276">
        <f t="shared" si="4"/>
        <v>38760</v>
      </c>
      <c r="R276">
        <f>K276/J276</f>
        <v>1</v>
      </c>
      <c r="S276">
        <v>2020</v>
      </c>
    </row>
    <row r="277" spans="1:19" x14ac:dyDescent="0.3">
      <c r="A277">
        <v>37</v>
      </c>
      <c r="B277">
        <v>728</v>
      </c>
      <c r="C277" t="s">
        <v>17</v>
      </c>
      <c r="D277" t="s">
        <v>15</v>
      </c>
      <c r="E277">
        <v>80</v>
      </c>
      <c r="F277" t="s">
        <v>25</v>
      </c>
      <c r="G277">
        <v>13603</v>
      </c>
      <c r="H277">
        <v>11677</v>
      </c>
      <c r="I277">
        <v>18</v>
      </c>
      <c r="J277">
        <v>15</v>
      </c>
      <c r="K277">
        <v>5</v>
      </c>
      <c r="L277">
        <v>2</v>
      </c>
      <c r="M277">
        <v>0</v>
      </c>
      <c r="N277">
        <v>2</v>
      </c>
      <c r="P277">
        <f>G277*I277/100</f>
        <v>2448.54</v>
      </c>
      <c r="Q277">
        <f t="shared" si="4"/>
        <v>163236</v>
      </c>
      <c r="R277">
        <f>K277/J277</f>
        <v>0.33333333333333331</v>
      </c>
      <c r="S277">
        <v>2020</v>
      </c>
    </row>
    <row r="278" spans="1:19" x14ac:dyDescent="0.3">
      <c r="A278">
        <v>35</v>
      </c>
      <c r="B278">
        <v>1315</v>
      </c>
      <c r="C278" t="s">
        <v>17</v>
      </c>
      <c r="D278" t="s">
        <v>15</v>
      </c>
      <c r="E278">
        <v>71</v>
      </c>
      <c r="F278" t="s">
        <v>23</v>
      </c>
      <c r="G278">
        <v>11996</v>
      </c>
      <c r="H278">
        <v>19100</v>
      </c>
      <c r="I278">
        <v>18</v>
      </c>
      <c r="J278">
        <v>10</v>
      </c>
      <c r="K278">
        <v>7</v>
      </c>
      <c r="L278">
        <v>7</v>
      </c>
      <c r="M278">
        <v>6</v>
      </c>
      <c r="N278">
        <v>2</v>
      </c>
      <c r="P278">
        <f>G278*I278/100</f>
        <v>2159.2800000000002</v>
      </c>
      <c r="Q278">
        <f t="shared" si="4"/>
        <v>143952</v>
      </c>
      <c r="R278">
        <f>K278/J278</f>
        <v>0.7</v>
      </c>
      <c r="S278">
        <v>2020</v>
      </c>
    </row>
    <row r="279" spans="1:19" x14ac:dyDescent="0.3">
      <c r="A279">
        <v>38</v>
      </c>
      <c r="B279">
        <v>322</v>
      </c>
      <c r="C279" t="s">
        <v>14</v>
      </c>
      <c r="D279" t="s">
        <v>15</v>
      </c>
      <c r="E279">
        <v>44</v>
      </c>
      <c r="F279" t="s">
        <v>16</v>
      </c>
      <c r="G279">
        <v>5605</v>
      </c>
      <c r="H279">
        <v>19191</v>
      </c>
      <c r="I279">
        <v>24</v>
      </c>
      <c r="J279">
        <v>8</v>
      </c>
      <c r="K279">
        <v>8</v>
      </c>
      <c r="L279">
        <v>0</v>
      </c>
      <c r="M279">
        <v>7</v>
      </c>
      <c r="N279">
        <v>7</v>
      </c>
      <c r="P279">
        <f>G279*I279/100</f>
        <v>1345.2</v>
      </c>
      <c r="Q279">
        <f t="shared" si="4"/>
        <v>67260</v>
      </c>
      <c r="R279">
        <f>K279/J279</f>
        <v>1</v>
      </c>
      <c r="S279">
        <v>2020</v>
      </c>
    </row>
    <row r="280" spans="1:19" x14ac:dyDescent="0.3">
      <c r="A280">
        <v>26</v>
      </c>
      <c r="B280">
        <v>1479</v>
      </c>
      <c r="C280" t="s">
        <v>17</v>
      </c>
      <c r="D280" t="s">
        <v>15</v>
      </c>
      <c r="E280">
        <v>84</v>
      </c>
      <c r="F280" t="s">
        <v>21</v>
      </c>
      <c r="G280">
        <v>6397</v>
      </c>
      <c r="H280">
        <v>26767</v>
      </c>
      <c r="I280">
        <v>20</v>
      </c>
      <c r="J280">
        <v>6</v>
      </c>
      <c r="K280">
        <v>6</v>
      </c>
      <c r="L280">
        <v>5</v>
      </c>
      <c r="M280">
        <v>1</v>
      </c>
      <c r="N280">
        <v>4</v>
      </c>
      <c r="P280">
        <f>G280*I280/100</f>
        <v>1279.4000000000001</v>
      </c>
      <c r="Q280">
        <f t="shared" si="4"/>
        <v>76764</v>
      </c>
      <c r="R280">
        <f>K280/J280</f>
        <v>1</v>
      </c>
      <c r="S280">
        <v>2020</v>
      </c>
    </row>
    <row r="281" spans="1:19" x14ac:dyDescent="0.3">
      <c r="A281">
        <v>50</v>
      </c>
      <c r="B281">
        <v>797</v>
      </c>
      <c r="C281" t="s">
        <v>17</v>
      </c>
      <c r="D281" t="s">
        <v>18</v>
      </c>
      <c r="E281">
        <v>96</v>
      </c>
      <c r="F281" t="s">
        <v>25</v>
      </c>
      <c r="G281">
        <v>19144</v>
      </c>
      <c r="H281">
        <v>15815</v>
      </c>
      <c r="I281">
        <v>14</v>
      </c>
      <c r="J281">
        <v>28</v>
      </c>
      <c r="K281">
        <v>10</v>
      </c>
      <c r="L281">
        <v>4</v>
      </c>
      <c r="M281">
        <v>1</v>
      </c>
      <c r="N281">
        <v>6</v>
      </c>
      <c r="P281">
        <f>G281*I281/100</f>
        <v>2680.16</v>
      </c>
      <c r="Q281">
        <f t="shared" si="4"/>
        <v>229728</v>
      </c>
      <c r="R281">
        <f>K281/J281</f>
        <v>0.35714285714285715</v>
      </c>
      <c r="S281">
        <v>2020</v>
      </c>
    </row>
    <row r="282" spans="1:19" x14ac:dyDescent="0.3">
      <c r="A282">
        <v>53</v>
      </c>
      <c r="B282">
        <v>1070</v>
      </c>
      <c r="C282" t="s">
        <v>17</v>
      </c>
      <c r="D282" t="s">
        <v>18</v>
      </c>
      <c r="E282">
        <v>45</v>
      </c>
      <c r="F282" t="s">
        <v>25</v>
      </c>
      <c r="G282">
        <v>17584</v>
      </c>
      <c r="H282">
        <v>21016</v>
      </c>
      <c r="I282">
        <v>16</v>
      </c>
      <c r="J282">
        <v>21</v>
      </c>
      <c r="K282">
        <v>5</v>
      </c>
      <c r="L282">
        <v>3</v>
      </c>
      <c r="M282">
        <v>1</v>
      </c>
      <c r="N282">
        <v>3</v>
      </c>
      <c r="P282">
        <f>G282*I282/100</f>
        <v>2813.44</v>
      </c>
      <c r="Q282">
        <f t="shared" si="4"/>
        <v>211008</v>
      </c>
      <c r="R282">
        <f>K282/J282</f>
        <v>0.23809523809523808</v>
      </c>
      <c r="S282">
        <v>2020</v>
      </c>
    </row>
    <row r="283" spans="1:19" x14ac:dyDescent="0.3">
      <c r="A283">
        <v>42</v>
      </c>
      <c r="B283">
        <v>635</v>
      </c>
      <c r="C283" t="s">
        <v>14</v>
      </c>
      <c r="D283" t="s">
        <v>18</v>
      </c>
      <c r="E283">
        <v>99</v>
      </c>
      <c r="F283" t="s">
        <v>16</v>
      </c>
      <c r="G283">
        <v>4907</v>
      </c>
      <c r="H283">
        <v>24532</v>
      </c>
      <c r="I283">
        <v>25</v>
      </c>
      <c r="J283">
        <v>20</v>
      </c>
      <c r="K283">
        <v>20</v>
      </c>
      <c r="L283">
        <v>16</v>
      </c>
      <c r="M283">
        <v>11</v>
      </c>
      <c r="N283">
        <v>6</v>
      </c>
      <c r="P283">
        <f>G283*I283/100</f>
        <v>1226.75</v>
      </c>
      <c r="Q283">
        <f t="shared" si="4"/>
        <v>58884</v>
      </c>
      <c r="R283">
        <f>K283/J283</f>
        <v>1</v>
      </c>
      <c r="S283">
        <v>2020</v>
      </c>
    </row>
    <row r="284" spans="1:19" x14ac:dyDescent="0.3">
      <c r="A284">
        <v>29</v>
      </c>
      <c r="B284">
        <v>442</v>
      </c>
      <c r="C284" t="s">
        <v>14</v>
      </c>
      <c r="D284" t="s">
        <v>18</v>
      </c>
      <c r="E284">
        <v>44</v>
      </c>
      <c r="F284" t="s">
        <v>16</v>
      </c>
      <c r="G284">
        <v>4554</v>
      </c>
      <c r="H284">
        <v>20260</v>
      </c>
      <c r="I284">
        <v>18</v>
      </c>
      <c r="J284">
        <v>10</v>
      </c>
      <c r="K284">
        <v>10</v>
      </c>
      <c r="L284">
        <v>7</v>
      </c>
      <c r="M284">
        <v>0</v>
      </c>
      <c r="N284">
        <v>9</v>
      </c>
      <c r="P284">
        <f>G284*I284/100</f>
        <v>819.72</v>
      </c>
      <c r="Q284">
        <f t="shared" si="4"/>
        <v>54648</v>
      </c>
      <c r="R284">
        <f>K284/J284</f>
        <v>1</v>
      </c>
      <c r="S284">
        <v>2020</v>
      </c>
    </row>
    <row r="285" spans="1:19" x14ac:dyDescent="0.3">
      <c r="A285">
        <v>55</v>
      </c>
      <c r="B285">
        <v>147</v>
      </c>
      <c r="C285" t="s">
        <v>17</v>
      </c>
      <c r="D285" t="s">
        <v>18</v>
      </c>
      <c r="E285">
        <v>37</v>
      </c>
      <c r="F285" t="s">
        <v>20</v>
      </c>
      <c r="G285">
        <v>5415</v>
      </c>
      <c r="H285">
        <v>15972</v>
      </c>
      <c r="I285">
        <v>19</v>
      </c>
      <c r="J285">
        <v>12</v>
      </c>
      <c r="K285">
        <v>10</v>
      </c>
      <c r="L285">
        <v>7</v>
      </c>
      <c r="M285">
        <v>0</v>
      </c>
      <c r="N285">
        <v>8</v>
      </c>
      <c r="P285">
        <f>G285*I285/100</f>
        <v>1028.8499999999999</v>
      </c>
      <c r="Q285">
        <f t="shared" si="4"/>
        <v>64980</v>
      </c>
      <c r="R285">
        <f>K285/J285</f>
        <v>0.83333333333333337</v>
      </c>
      <c r="S285">
        <v>2020</v>
      </c>
    </row>
    <row r="286" spans="1:19" x14ac:dyDescent="0.3">
      <c r="A286">
        <v>26</v>
      </c>
      <c r="B286">
        <v>496</v>
      </c>
      <c r="C286" t="s">
        <v>17</v>
      </c>
      <c r="D286" t="s">
        <v>18</v>
      </c>
      <c r="E286">
        <v>60</v>
      </c>
      <c r="F286" t="s">
        <v>22</v>
      </c>
      <c r="G286">
        <v>4741</v>
      </c>
      <c r="H286">
        <v>22722</v>
      </c>
      <c r="I286">
        <v>13</v>
      </c>
      <c r="J286">
        <v>5</v>
      </c>
      <c r="K286">
        <v>5</v>
      </c>
      <c r="L286">
        <v>3</v>
      </c>
      <c r="M286">
        <v>3</v>
      </c>
      <c r="N286">
        <v>3</v>
      </c>
      <c r="P286">
        <f>G286*I286/100</f>
        <v>616.33000000000004</v>
      </c>
      <c r="Q286">
        <f t="shared" si="4"/>
        <v>56892</v>
      </c>
      <c r="R286">
        <f>K286/J286</f>
        <v>1</v>
      </c>
      <c r="S286">
        <v>2020</v>
      </c>
    </row>
    <row r="287" spans="1:19" x14ac:dyDescent="0.3">
      <c r="A287">
        <v>37</v>
      </c>
      <c r="B287">
        <v>1372</v>
      </c>
      <c r="C287" t="s">
        <v>17</v>
      </c>
      <c r="D287" t="s">
        <v>15</v>
      </c>
      <c r="E287">
        <v>42</v>
      </c>
      <c r="F287" t="s">
        <v>19</v>
      </c>
      <c r="G287">
        <v>2115</v>
      </c>
      <c r="H287">
        <v>15881</v>
      </c>
      <c r="I287">
        <v>12</v>
      </c>
      <c r="J287">
        <v>17</v>
      </c>
      <c r="K287">
        <v>17</v>
      </c>
      <c r="L287">
        <v>12</v>
      </c>
      <c r="M287">
        <v>5</v>
      </c>
      <c r="N287">
        <v>7</v>
      </c>
      <c r="P287">
        <f>G287*I287/100</f>
        <v>253.8</v>
      </c>
      <c r="Q287">
        <f t="shared" si="4"/>
        <v>25380</v>
      </c>
      <c r="R287">
        <f>K287/J287</f>
        <v>1</v>
      </c>
      <c r="S287">
        <v>2020</v>
      </c>
    </row>
    <row r="288" spans="1:19" x14ac:dyDescent="0.3">
      <c r="A288">
        <v>44</v>
      </c>
      <c r="B288">
        <v>920</v>
      </c>
      <c r="C288" t="s">
        <v>17</v>
      </c>
      <c r="D288" t="s">
        <v>18</v>
      </c>
      <c r="E288">
        <v>43</v>
      </c>
      <c r="F288" t="s">
        <v>20</v>
      </c>
      <c r="G288">
        <v>3161</v>
      </c>
      <c r="H288">
        <v>19920</v>
      </c>
      <c r="I288">
        <v>22</v>
      </c>
      <c r="J288">
        <v>19</v>
      </c>
      <c r="K288">
        <v>1</v>
      </c>
      <c r="L288">
        <v>0</v>
      </c>
      <c r="M288">
        <v>0</v>
      </c>
      <c r="N288">
        <v>0</v>
      </c>
      <c r="P288">
        <f>G288*I288/100</f>
        <v>695.42</v>
      </c>
      <c r="Q288">
        <f t="shared" si="4"/>
        <v>37932</v>
      </c>
      <c r="R288">
        <f>K288/J288</f>
        <v>5.2631578947368418E-2</v>
      </c>
      <c r="S288">
        <v>2020</v>
      </c>
    </row>
    <row r="289" spans="1:19" x14ac:dyDescent="0.3">
      <c r="A289">
        <v>38</v>
      </c>
      <c r="B289">
        <v>688</v>
      </c>
      <c r="C289" t="s">
        <v>17</v>
      </c>
      <c r="D289" t="s">
        <v>18</v>
      </c>
      <c r="E289">
        <v>82</v>
      </c>
      <c r="F289" t="s">
        <v>22</v>
      </c>
      <c r="G289">
        <v>5745</v>
      </c>
      <c r="H289">
        <v>18899</v>
      </c>
      <c r="I289">
        <v>14</v>
      </c>
      <c r="J289">
        <v>10</v>
      </c>
      <c r="K289">
        <v>2</v>
      </c>
      <c r="L289">
        <v>2</v>
      </c>
      <c r="M289">
        <v>1</v>
      </c>
      <c r="N289">
        <v>2</v>
      </c>
      <c r="P289">
        <f>G289*I289/100</f>
        <v>804.3</v>
      </c>
      <c r="Q289">
        <f t="shared" si="4"/>
        <v>68940</v>
      </c>
      <c r="R289">
        <f>K289/J289</f>
        <v>0.2</v>
      </c>
      <c r="S289">
        <v>2020</v>
      </c>
    </row>
    <row r="290" spans="1:19" x14ac:dyDescent="0.3">
      <c r="A290">
        <v>26</v>
      </c>
      <c r="B290">
        <v>1449</v>
      </c>
      <c r="C290" t="s">
        <v>17</v>
      </c>
      <c r="D290" t="s">
        <v>18</v>
      </c>
      <c r="E290">
        <v>45</v>
      </c>
      <c r="F290" t="s">
        <v>20</v>
      </c>
      <c r="G290">
        <v>2373</v>
      </c>
      <c r="H290">
        <v>14180</v>
      </c>
      <c r="I290">
        <v>13</v>
      </c>
      <c r="J290">
        <v>5</v>
      </c>
      <c r="K290">
        <v>3</v>
      </c>
      <c r="L290">
        <v>2</v>
      </c>
      <c r="M290">
        <v>0</v>
      </c>
      <c r="N290">
        <v>2</v>
      </c>
      <c r="P290">
        <f>G290*I290/100</f>
        <v>308.49</v>
      </c>
      <c r="Q290">
        <f t="shared" si="4"/>
        <v>28476</v>
      </c>
      <c r="R290">
        <f>K290/J290</f>
        <v>0.6</v>
      </c>
      <c r="S290">
        <v>2020</v>
      </c>
    </row>
    <row r="291" spans="1:19" x14ac:dyDescent="0.3">
      <c r="A291">
        <v>28</v>
      </c>
      <c r="B291">
        <v>1117</v>
      </c>
      <c r="C291" t="s">
        <v>17</v>
      </c>
      <c r="D291" t="s">
        <v>15</v>
      </c>
      <c r="E291">
        <v>66</v>
      </c>
      <c r="F291" t="s">
        <v>19</v>
      </c>
      <c r="G291">
        <v>3310</v>
      </c>
      <c r="H291">
        <v>4488</v>
      </c>
      <c r="I291">
        <v>21</v>
      </c>
      <c r="J291">
        <v>5</v>
      </c>
      <c r="K291">
        <v>5</v>
      </c>
      <c r="L291">
        <v>3</v>
      </c>
      <c r="M291">
        <v>0</v>
      </c>
      <c r="N291">
        <v>2</v>
      </c>
      <c r="P291">
        <f>G291*I291/100</f>
        <v>695.1</v>
      </c>
      <c r="Q291">
        <f t="shared" si="4"/>
        <v>39720</v>
      </c>
      <c r="R291">
        <f>K291/J291</f>
        <v>1</v>
      </c>
      <c r="S291">
        <v>2020</v>
      </c>
    </row>
    <row r="292" spans="1:19" x14ac:dyDescent="0.3">
      <c r="A292">
        <v>49</v>
      </c>
      <c r="B292">
        <v>636</v>
      </c>
      <c r="C292" t="s">
        <v>17</v>
      </c>
      <c r="D292" t="s">
        <v>15</v>
      </c>
      <c r="E292">
        <v>35</v>
      </c>
      <c r="F292" t="s">
        <v>25</v>
      </c>
      <c r="G292">
        <v>18665</v>
      </c>
      <c r="H292">
        <v>25594</v>
      </c>
      <c r="I292">
        <v>11</v>
      </c>
      <c r="J292">
        <v>22</v>
      </c>
      <c r="K292">
        <v>3</v>
      </c>
      <c r="L292">
        <v>2</v>
      </c>
      <c r="M292">
        <v>1</v>
      </c>
      <c r="N292">
        <v>2</v>
      </c>
      <c r="P292">
        <f>G292*I292/100</f>
        <v>2053.15</v>
      </c>
      <c r="Q292">
        <f t="shared" si="4"/>
        <v>223980</v>
      </c>
      <c r="R292">
        <f>K292/J292</f>
        <v>0.13636363636363635</v>
      </c>
      <c r="S292">
        <v>2020</v>
      </c>
    </row>
    <row r="293" spans="1:19" x14ac:dyDescent="0.3">
      <c r="A293">
        <v>36</v>
      </c>
      <c r="B293">
        <v>506</v>
      </c>
      <c r="C293" t="s">
        <v>17</v>
      </c>
      <c r="D293" t="s">
        <v>18</v>
      </c>
      <c r="E293">
        <v>30</v>
      </c>
      <c r="F293" t="s">
        <v>19</v>
      </c>
      <c r="G293">
        <v>4485</v>
      </c>
      <c r="H293">
        <v>26285</v>
      </c>
      <c r="I293">
        <v>12</v>
      </c>
      <c r="J293">
        <v>10</v>
      </c>
      <c r="K293">
        <v>8</v>
      </c>
      <c r="L293">
        <v>0</v>
      </c>
      <c r="M293">
        <v>7</v>
      </c>
      <c r="N293">
        <v>7</v>
      </c>
      <c r="P293">
        <f>G293*I293/100</f>
        <v>538.20000000000005</v>
      </c>
      <c r="Q293">
        <f t="shared" si="4"/>
        <v>53820</v>
      </c>
      <c r="R293">
        <f>K293/J293</f>
        <v>0.8</v>
      </c>
      <c r="S293">
        <v>2020</v>
      </c>
    </row>
    <row r="294" spans="1:19" x14ac:dyDescent="0.3">
      <c r="A294">
        <v>31</v>
      </c>
      <c r="B294">
        <v>444</v>
      </c>
      <c r="C294" t="s">
        <v>14</v>
      </c>
      <c r="D294" t="s">
        <v>15</v>
      </c>
      <c r="E294">
        <v>84</v>
      </c>
      <c r="F294" t="s">
        <v>24</v>
      </c>
      <c r="G294">
        <v>2789</v>
      </c>
      <c r="H294">
        <v>3909</v>
      </c>
      <c r="I294">
        <v>11</v>
      </c>
      <c r="J294">
        <v>2</v>
      </c>
      <c r="K294">
        <v>2</v>
      </c>
      <c r="L294">
        <v>2</v>
      </c>
      <c r="M294">
        <v>2</v>
      </c>
      <c r="N294">
        <v>2</v>
      </c>
      <c r="P294">
        <f>G294*I294/100</f>
        <v>306.79000000000002</v>
      </c>
      <c r="Q294">
        <f t="shared" si="4"/>
        <v>33468</v>
      </c>
      <c r="R294">
        <f>K294/J294</f>
        <v>1</v>
      </c>
      <c r="S294">
        <v>2020</v>
      </c>
    </row>
    <row r="295" spans="1:19" x14ac:dyDescent="0.3">
      <c r="A295">
        <v>26</v>
      </c>
      <c r="B295">
        <v>950</v>
      </c>
      <c r="C295" t="s">
        <v>14</v>
      </c>
      <c r="D295" t="s">
        <v>18</v>
      </c>
      <c r="E295">
        <v>48</v>
      </c>
      <c r="F295" t="s">
        <v>16</v>
      </c>
      <c r="G295">
        <v>5828</v>
      </c>
      <c r="H295">
        <v>8450</v>
      </c>
      <c r="I295">
        <v>12</v>
      </c>
      <c r="J295">
        <v>8</v>
      </c>
      <c r="K295">
        <v>8</v>
      </c>
      <c r="L295">
        <v>7</v>
      </c>
      <c r="M295">
        <v>7</v>
      </c>
      <c r="N295">
        <v>4</v>
      </c>
      <c r="P295">
        <f>G295*I295/100</f>
        <v>699.36</v>
      </c>
      <c r="Q295">
        <f t="shared" si="4"/>
        <v>69936</v>
      </c>
      <c r="R295">
        <f>K295/J295</f>
        <v>1</v>
      </c>
      <c r="S295">
        <v>2020</v>
      </c>
    </row>
    <row r="296" spans="1:19" x14ac:dyDescent="0.3">
      <c r="A296">
        <v>37</v>
      </c>
      <c r="B296">
        <v>889</v>
      </c>
      <c r="C296" t="s">
        <v>17</v>
      </c>
      <c r="D296" t="s">
        <v>18</v>
      </c>
      <c r="E296">
        <v>53</v>
      </c>
      <c r="F296" t="s">
        <v>19</v>
      </c>
      <c r="G296">
        <v>2326</v>
      </c>
      <c r="H296">
        <v>11411</v>
      </c>
      <c r="I296">
        <v>12</v>
      </c>
      <c r="J296">
        <v>4</v>
      </c>
      <c r="K296">
        <v>4</v>
      </c>
      <c r="L296">
        <v>2</v>
      </c>
      <c r="M296">
        <v>1</v>
      </c>
      <c r="N296">
        <v>2</v>
      </c>
      <c r="P296">
        <f>G296*I296/100</f>
        <v>279.12</v>
      </c>
      <c r="Q296">
        <f t="shared" si="4"/>
        <v>27912</v>
      </c>
      <c r="R296">
        <f>K296/J296</f>
        <v>1</v>
      </c>
      <c r="S296">
        <v>2020</v>
      </c>
    </row>
    <row r="297" spans="1:19" x14ac:dyDescent="0.3">
      <c r="A297">
        <v>42</v>
      </c>
      <c r="B297">
        <v>555</v>
      </c>
      <c r="C297" t="s">
        <v>14</v>
      </c>
      <c r="D297" t="s">
        <v>15</v>
      </c>
      <c r="E297">
        <v>77</v>
      </c>
      <c r="F297" t="s">
        <v>16</v>
      </c>
      <c r="G297">
        <v>13525</v>
      </c>
      <c r="H297">
        <v>14864</v>
      </c>
      <c r="I297">
        <v>14</v>
      </c>
      <c r="J297">
        <v>23</v>
      </c>
      <c r="K297">
        <v>20</v>
      </c>
      <c r="L297">
        <v>4</v>
      </c>
      <c r="M297">
        <v>4</v>
      </c>
      <c r="N297">
        <v>8</v>
      </c>
      <c r="P297">
        <f>G297*I297/100</f>
        <v>1893.5</v>
      </c>
      <c r="Q297">
        <f t="shared" si="4"/>
        <v>162300</v>
      </c>
      <c r="R297">
        <f>K297/J297</f>
        <v>0.86956521739130432</v>
      </c>
      <c r="S297">
        <v>2020</v>
      </c>
    </row>
    <row r="298" spans="1:19" x14ac:dyDescent="0.3">
      <c r="A298">
        <v>18</v>
      </c>
      <c r="B298">
        <v>230</v>
      </c>
      <c r="C298" t="s">
        <v>17</v>
      </c>
      <c r="D298" t="s">
        <v>18</v>
      </c>
      <c r="E298">
        <v>54</v>
      </c>
      <c r="F298" t="s">
        <v>20</v>
      </c>
      <c r="G298">
        <v>1420</v>
      </c>
      <c r="H298">
        <v>25233</v>
      </c>
      <c r="I298">
        <v>13</v>
      </c>
      <c r="J298">
        <v>0</v>
      </c>
      <c r="K298">
        <v>0</v>
      </c>
      <c r="L298">
        <v>0</v>
      </c>
      <c r="M298">
        <v>0</v>
      </c>
      <c r="N298">
        <v>0</v>
      </c>
      <c r="P298">
        <f>G298*I298/100</f>
        <v>184.6</v>
      </c>
      <c r="Q298">
        <f t="shared" si="4"/>
        <v>17040</v>
      </c>
      <c r="R298" t="e">
        <f>K298/J298</f>
        <v>#DIV/0!</v>
      </c>
      <c r="S298">
        <v>2020</v>
      </c>
    </row>
    <row r="299" spans="1:19" x14ac:dyDescent="0.3">
      <c r="A299">
        <v>35</v>
      </c>
      <c r="B299">
        <v>1232</v>
      </c>
      <c r="C299" t="s">
        <v>14</v>
      </c>
      <c r="D299" t="s">
        <v>18</v>
      </c>
      <c r="E299">
        <v>96</v>
      </c>
      <c r="F299" t="s">
        <v>16</v>
      </c>
      <c r="G299">
        <v>8020</v>
      </c>
      <c r="H299">
        <v>5100</v>
      </c>
      <c r="I299">
        <v>15</v>
      </c>
      <c r="J299">
        <v>12</v>
      </c>
      <c r="K299">
        <v>11</v>
      </c>
      <c r="L299">
        <v>9</v>
      </c>
      <c r="M299">
        <v>6</v>
      </c>
      <c r="N299">
        <v>9</v>
      </c>
      <c r="P299">
        <f>G299*I299/100</f>
        <v>1203</v>
      </c>
      <c r="Q299">
        <f t="shared" si="4"/>
        <v>96240</v>
      </c>
      <c r="R299">
        <f>K299/J299</f>
        <v>0.91666666666666663</v>
      </c>
      <c r="S299">
        <v>2020</v>
      </c>
    </row>
    <row r="300" spans="1:19" x14ac:dyDescent="0.3">
      <c r="A300">
        <v>36</v>
      </c>
      <c r="B300">
        <v>566</v>
      </c>
      <c r="C300" t="s">
        <v>17</v>
      </c>
      <c r="D300" t="s">
        <v>18</v>
      </c>
      <c r="E300">
        <v>81</v>
      </c>
      <c r="F300" t="s">
        <v>20</v>
      </c>
      <c r="G300">
        <v>3688</v>
      </c>
      <c r="H300">
        <v>7122</v>
      </c>
      <c r="I300">
        <v>18</v>
      </c>
      <c r="J300">
        <v>4</v>
      </c>
      <c r="K300">
        <v>1</v>
      </c>
      <c r="L300">
        <v>0</v>
      </c>
      <c r="M300">
        <v>0</v>
      </c>
      <c r="N300">
        <v>0</v>
      </c>
      <c r="P300">
        <f>G300*I300/100</f>
        <v>663.84</v>
      </c>
      <c r="Q300">
        <f t="shared" si="4"/>
        <v>44256</v>
      </c>
      <c r="R300">
        <f>K300/J300</f>
        <v>0.25</v>
      </c>
      <c r="S300">
        <v>2020</v>
      </c>
    </row>
    <row r="301" spans="1:19" x14ac:dyDescent="0.3">
      <c r="A301">
        <v>51</v>
      </c>
      <c r="B301">
        <v>1302</v>
      </c>
      <c r="C301" t="s">
        <v>17</v>
      </c>
      <c r="D301" t="s">
        <v>18</v>
      </c>
      <c r="E301">
        <v>84</v>
      </c>
      <c r="F301" t="s">
        <v>21</v>
      </c>
      <c r="G301">
        <v>5482</v>
      </c>
      <c r="H301">
        <v>16321</v>
      </c>
      <c r="I301">
        <v>18</v>
      </c>
      <c r="J301">
        <v>13</v>
      </c>
      <c r="K301">
        <v>4</v>
      </c>
      <c r="L301">
        <v>1</v>
      </c>
      <c r="M301">
        <v>1</v>
      </c>
      <c r="N301">
        <v>2</v>
      </c>
      <c r="P301">
        <f>G301*I301/100</f>
        <v>986.76</v>
      </c>
      <c r="Q301">
        <f t="shared" si="4"/>
        <v>65784</v>
      </c>
      <c r="R301">
        <f>K301/J301</f>
        <v>0.30769230769230771</v>
      </c>
      <c r="S301">
        <v>2020</v>
      </c>
    </row>
    <row r="302" spans="1:19" x14ac:dyDescent="0.3">
      <c r="A302">
        <v>41</v>
      </c>
      <c r="B302">
        <v>334</v>
      </c>
      <c r="C302" t="s">
        <v>14</v>
      </c>
      <c r="D302" t="s">
        <v>18</v>
      </c>
      <c r="E302">
        <v>88</v>
      </c>
      <c r="F302" t="s">
        <v>23</v>
      </c>
      <c r="G302">
        <v>16015</v>
      </c>
      <c r="H302">
        <v>15896</v>
      </c>
      <c r="I302">
        <v>19</v>
      </c>
      <c r="J302">
        <v>22</v>
      </c>
      <c r="K302">
        <v>22</v>
      </c>
      <c r="L302">
        <v>10</v>
      </c>
      <c r="M302">
        <v>0</v>
      </c>
      <c r="N302">
        <v>4</v>
      </c>
      <c r="P302">
        <f>G302*I302/100</f>
        <v>3042.85</v>
      </c>
      <c r="Q302">
        <f t="shared" si="4"/>
        <v>192180</v>
      </c>
      <c r="R302">
        <f>K302/J302</f>
        <v>1</v>
      </c>
      <c r="S302">
        <v>2020</v>
      </c>
    </row>
    <row r="303" spans="1:19" x14ac:dyDescent="0.3">
      <c r="A303">
        <v>18</v>
      </c>
      <c r="B303">
        <v>812</v>
      </c>
      <c r="C303" t="s">
        <v>14</v>
      </c>
      <c r="D303" t="s">
        <v>15</v>
      </c>
      <c r="E303">
        <v>69</v>
      </c>
      <c r="F303" t="s">
        <v>24</v>
      </c>
      <c r="G303">
        <v>1200</v>
      </c>
      <c r="H303">
        <v>9724</v>
      </c>
      <c r="I303">
        <v>12</v>
      </c>
      <c r="J303">
        <v>0</v>
      </c>
      <c r="K303">
        <v>0</v>
      </c>
      <c r="L303">
        <v>0</v>
      </c>
      <c r="M303">
        <v>0</v>
      </c>
      <c r="N303">
        <v>0</v>
      </c>
      <c r="P303">
        <f>G303*I303/100</f>
        <v>144</v>
      </c>
      <c r="Q303">
        <f t="shared" si="4"/>
        <v>14400</v>
      </c>
      <c r="R303" t="e">
        <f>K303/J303</f>
        <v>#DIV/0!</v>
      </c>
      <c r="S303">
        <v>2020</v>
      </c>
    </row>
    <row r="304" spans="1:19" x14ac:dyDescent="0.3">
      <c r="A304">
        <v>28</v>
      </c>
      <c r="B304">
        <v>1476</v>
      </c>
      <c r="C304" t="s">
        <v>17</v>
      </c>
      <c r="D304" t="s">
        <v>18</v>
      </c>
      <c r="E304">
        <v>68</v>
      </c>
      <c r="F304" t="s">
        <v>22</v>
      </c>
      <c r="G304">
        <v>5661</v>
      </c>
      <c r="H304">
        <v>4824</v>
      </c>
      <c r="I304">
        <v>19</v>
      </c>
      <c r="J304">
        <v>9</v>
      </c>
      <c r="K304">
        <v>8</v>
      </c>
      <c r="L304">
        <v>3</v>
      </c>
      <c r="M304">
        <v>0</v>
      </c>
      <c r="N304">
        <v>7</v>
      </c>
      <c r="P304">
        <f>G304*I304/100</f>
        <v>1075.5899999999999</v>
      </c>
      <c r="Q304">
        <f t="shared" si="4"/>
        <v>67932</v>
      </c>
      <c r="R304">
        <f>K304/J304</f>
        <v>0.88888888888888884</v>
      </c>
      <c r="S304">
        <v>2020</v>
      </c>
    </row>
    <row r="305" spans="1:19" x14ac:dyDescent="0.3">
      <c r="A305">
        <v>31</v>
      </c>
      <c r="B305">
        <v>218</v>
      </c>
      <c r="C305" t="s">
        <v>14</v>
      </c>
      <c r="D305" t="s">
        <v>18</v>
      </c>
      <c r="E305">
        <v>100</v>
      </c>
      <c r="F305" t="s">
        <v>16</v>
      </c>
      <c r="G305">
        <v>6929</v>
      </c>
      <c r="H305">
        <v>12241</v>
      </c>
      <c r="I305">
        <v>11</v>
      </c>
      <c r="J305">
        <v>10</v>
      </c>
      <c r="K305">
        <v>8</v>
      </c>
      <c r="L305">
        <v>7</v>
      </c>
      <c r="M305">
        <v>7</v>
      </c>
      <c r="N305">
        <v>7</v>
      </c>
      <c r="P305">
        <f>G305*I305/100</f>
        <v>762.19</v>
      </c>
      <c r="Q305">
        <f t="shared" si="4"/>
        <v>83148</v>
      </c>
      <c r="R305">
        <f>K305/J305</f>
        <v>0.8</v>
      </c>
      <c r="S305">
        <v>2020</v>
      </c>
    </row>
    <row r="306" spans="1:19" x14ac:dyDescent="0.3">
      <c r="A306">
        <v>39</v>
      </c>
      <c r="B306">
        <v>1132</v>
      </c>
      <c r="C306" t="s">
        <v>17</v>
      </c>
      <c r="D306" t="s">
        <v>18</v>
      </c>
      <c r="E306">
        <v>48</v>
      </c>
      <c r="F306" t="s">
        <v>22</v>
      </c>
      <c r="G306">
        <v>9613</v>
      </c>
      <c r="H306">
        <v>10942</v>
      </c>
      <c r="I306">
        <v>17</v>
      </c>
      <c r="J306">
        <v>19</v>
      </c>
      <c r="K306">
        <v>18</v>
      </c>
      <c r="L306">
        <v>10</v>
      </c>
      <c r="M306">
        <v>3</v>
      </c>
      <c r="N306">
        <v>7</v>
      </c>
      <c r="P306">
        <f>G306*I306/100</f>
        <v>1634.21</v>
      </c>
      <c r="Q306">
        <f t="shared" si="4"/>
        <v>115356</v>
      </c>
      <c r="R306">
        <f>K306/J306</f>
        <v>0.94736842105263153</v>
      </c>
      <c r="S306">
        <v>2020</v>
      </c>
    </row>
    <row r="307" spans="1:19" x14ac:dyDescent="0.3">
      <c r="A307">
        <v>36</v>
      </c>
      <c r="B307">
        <v>1105</v>
      </c>
      <c r="C307" t="s">
        <v>17</v>
      </c>
      <c r="D307" t="s">
        <v>15</v>
      </c>
      <c r="E307">
        <v>47</v>
      </c>
      <c r="F307" t="s">
        <v>20</v>
      </c>
      <c r="G307">
        <v>5674</v>
      </c>
      <c r="H307">
        <v>6927</v>
      </c>
      <c r="I307">
        <v>15</v>
      </c>
      <c r="J307">
        <v>11</v>
      </c>
      <c r="K307">
        <v>9</v>
      </c>
      <c r="L307">
        <v>8</v>
      </c>
      <c r="M307">
        <v>0</v>
      </c>
      <c r="N307">
        <v>8</v>
      </c>
      <c r="P307">
        <f>G307*I307/100</f>
        <v>851.1</v>
      </c>
      <c r="Q307">
        <f t="shared" si="4"/>
        <v>68088</v>
      </c>
      <c r="R307">
        <f>K307/J307</f>
        <v>0.81818181818181823</v>
      </c>
      <c r="S307">
        <v>2020</v>
      </c>
    </row>
    <row r="308" spans="1:19" x14ac:dyDescent="0.3">
      <c r="A308">
        <v>32</v>
      </c>
      <c r="B308">
        <v>906</v>
      </c>
      <c r="C308" t="s">
        <v>14</v>
      </c>
      <c r="D308" t="s">
        <v>18</v>
      </c>
      <c r="E308">
        <v>91</v>
      </c>
      <c r="F308" t="s">
        <v>16</v>
      </c>
      <c r="G308">
        <v>5484</v>
      </c>
      <c r="H308">
        <v>16985</v>
      </c>
      <c r="I308">
        <v>14</v>
      </c>
      <c r="J308">
        <v>13</v>
      </c>
      <c r="K308">
        <v>13</v>
      </c>
      <c r="L308">
        <v>8</v>
      </c>
      <c r="M308">
        <v>4</v>
      </c>
      <c r="N308">
        <v>8</v>
      </c>
      <c r="P308">
        <f>G308*I308/100</f>
        <v>767.76</v>
      </c>
      <c r="Q308">
        <f t="shared" si="4"/>
        <v>65808</v>
      </c>
      <c r="R308">
        <f>K308/J308</f>
        <v>1</v>
      </c>
      <c r="S308">
        <v>2020</v>
      </c>
    </row>
    <row r="309" spans="1:19" x14ac:dyDescent="0.3">
      <c r="A309">
        <v>38</v>
      </c>
      <c r="B309">
        <v>849</v>
      </c>
      <c r="C309" t="s">
        <v>17</v>
      </c>
      <c r="D309" t="s">
        <v>15</v>
      </c>
      <c r="E309">
        <v>81</v>
      </c>
      <c r="F309" t="s">
        <v>25</v>
      </c>
      <c r="G309">
        <v>12061</v>
      </c>
      <c r="H309">
        <v>26707</v>
      </c>
      <c r="I309">
        <v>17</v>
      </c>
      <c r="J309">
        <v>19</v>
      </c>
      <c r="K309">
        <v>10</v>
      </c>
      <c r="L309">
        <v>8</v>
      </c>
      <c r="M309">
        <v>0</v>
      </c>
      <c r="N309">
        <v>1</v>
      </c>
      <c r="P309">
        <f>G309*I309/100</f>
        <v>2050.37</v>
      </c>
      <c r="Q309">
        <f t="shared" si="4"/>
        <v>144732</v>
      </c>
      <c r="R309">
        <f>K309/J309</f>
        <v>0.52631578947368418</v>
      </c>
      <c r="S309">
        <v>2020</v>
      </c>
    </row>
    <row r="310" spans="1:19" x14ac:dyDescent="0.3">
      <c r="A310">
        <v>58</v>
      </c>
      <c r="B310">
        <v>390</v>
      </c>
      <c r="C310" t="s">
        <v>17</v>
      </c>
      <c r="D310" t="s">
        <v>18</v>
      </c>
      <c r="E310">
        <v>32</v>
      </c>
      <c r="F310" t="s">
        <v>22</v>
      </c>
      <c r="G310">
        <v>5660</v>
      </c>
      <c r="H310">
        <v>17056</v>
      </c>
      <c r="I310">
        <v>13</v>
      </c>
      <c r="J310">
        <v>12</v>
      </c>
      <c r="K310">
        <v>5</v>
      </c>
      <c r="L310">
        <v>3</v>
      </c>
      <c r="M310">
        <v>1</v>
      </c>
      <c r="N310">
        <v>2</v>
      </c>
      <c r="P310">
        <f>G310*I310/100</f>
        <v>735.8</v>
      </c>
      <c r="Q310">
        <f t="shared" si="4"/>
        <v>67920</v>
      </c>
      <c r="R310">
        <f>K310/J310</f>
        <v>0.41666666666666669</v>
      </c>
      <c r="S310">
        <v>2020</v>
      </c>
    </row>
    <row r="311" spans="1:19" x14ac:dyDescent="0.3">
      <c r="A311">
        <v>31</v>
      </c>
      <c r="B311">
        <v>691</v>
      </c>
      <c r="C311" t="s">
        <v>17</v>
      </c>
      <c r="D311" t="s">
        <v>18</v>
      </c>
      <c r="E311">
        <v>86</v>
      </c>
      <c r="F311" t="s">
        <v>19</v>
      </c>
      <c r="G311">
        <v>4821</v>
      </c>
      <c r="H311">
        <v>10077</v>
      </c>
      <c r="I311">
        <v>12</v>
      </c>
      <c r="J311">
        <v>6</v>
      </c>
      <c r="K311">
        <v>5</v>
      </c>
      <c r="L311">
        <v>2</v>
      </c>
      <c r="M311">
        <v>0</v>
      </c>
      <c r="N311">
        <v>3</v>
      </c>
      <c r="P311">
        <f>G311*I311/100</f>
        <v>578.52</v>
      </c>
      <c r="Q311">
        <f t="shared" si="4"/>
        <v>57852</v>
      </c>
      <c r="R311">
        <f>K311/J311</f>
        <v>0.83333333333333337</v>
      </c>
      <c r="S311">
        <v>2020</v>
      </c>
    </row>
    <row r="312" spans="1:19" x14ac:dyDescent="0.3">
      <c r="A312">
        <v>31</v>
      </c>
      <c r="B312">
        <v>106</v>
      </c>
      <c r="C312" t="s">
        <v>26</v>
      </c>
      <c r="D312" t="s">
        <v>18</v>
      </c>
      <c r="E312">
        <v>62</v>
      </c>
      <c r="F312" t="s">
        <v>26</v>
      </c>
      <c r="G312">
        <v>6410</v>
      </c>
      <c r="H312">
        <v>17822</v>
      </c>
      <c r="I312">
        <v>12</v>
      </c>
      <c r="J312">
        <v>9</v>
      </c>
      <c r="K312">
        <v>2</v>
      </c>
      <c r="L312">
        <v>2</v>
      </c>
      <c r="M312">
        <v>1</v>
      </c>
      <c r="N312">
        <v>0</v>
      </c>
      <c r="P312">
        <f>G312*I312/100</f>
        <v>769.2</v>
      </c>
      <c r="Q312">
        <f t="shared" si="4"/>
        <v>76920</v>
      </c>
      <c r="R312">
        <f>K312/J312</f>
        <v>0.22222222222222221</v>
      </c>
      <c r="S312">
        <v>2020</v>
      </c>
    </row>
    <row r="313" spans="1:19" x14ac:dyDescent="0.3">
      <c r="A313">
        <v>45</v>
      </c>
      <c r="B313">
        <v>1249</v>
      </c>
      <c r="C313" t="s">
        <v>17</v>
      </c>
      <c r="D313" t="s">
        <v>18</v>
      </c>
      <c r="E313">
        <v>97</v>
      </c>
      <c r="F313" t="s">
        <v>20</v>
      </c>
      <c r="G313">
        <v>5210</v>
      </c>
      <c r="H313">
        <v>20308</v>
      </c>
      <c r="I313">
        <v>18</v>
      </c>
      <c r="J313">
        <v>24</v>
      </c>
      <c r="K313">
        <v>24</v>
      </c>
      <c r="L313">
        <v>9</v>
      </c>
      <c r="M313">
        <v>9</v>
      </c>
      <c r="N313">
        <v>11</v>
      </c>
      <c r="P313">
        <f>G313*I313/100</f>
        <v>937.8</v>
      </c>
      <c r="Q313">
        <f t="shared" si="4"/>
        <v>62520</v>
      </c>
      <c r="R313">
        <f>K313/J313</f>
        <v>1</v>
      </c>
      <c r="S313">
        <v>2020</v>
      </c>
    </row>
    <row r="314" spans="1:19" x14ac:dyDescent="0.3">
      <c r="A314">
        <v>31</v>
      </c>
      <c r="B314">
        <v>192</v>
      </c>
      <c r="C314" t="s">
        <v>17</v>
      </c>
      <c r="D314" t="s">
        <v>18</v>
      </c>
      <c r="E314">
        <v>32</v>
      </c>
      <c r="F314" t="s">
        <v>19</v>
      </c>
      <c r="G314">
        <v>2695</v>
      </c>
      <c r="H314">
        <v>7747</v>
      </c>
      <c r="I314">
        <v>18</v>
      </c>
      <c r="J314">
        <v>3</v>
      </c>
      <c r="K314">
        <v>2</v>
      </c>
      <c r="L314">
        <v>2</v>
      </c>
      <c r="M314">
        <v>2</v>
      </c>
      <c r="N314">
        <v>2</v>
      </c>
      <c r="P314">
        <f>G314*I314/100</f>
        <v>485.1</v>
      </c>
      <c r="Q314">
        <f t="shared" si="4"/>
        <v>32340</v>
      </c>
      <c r="R314">
        <f>K314/J314</f>
        <v>0.66666666666666663</v>
      </c>
      <c r="S314">
        <v>2020</v>
      </c>
    </row>
    <row r="315" spans="1:19" x14ac:dyDescent="0.3">
      <c r="A315">
        <v>33</v>
      </c>
      <c r="B315">
        <v>553</v>
      </c>
      <c r="C315" t="s">
        <v>17</v>
      </c>
      <c r="D315" t="s">
        <v>15</v>
      </c>
      <c r="E315">
        <v>74</v>
      </c>
      <c r="F315" t="s">
        <v>23</v>
      </c>
      <c r="G315">
        <v>11878</v>
      </c>
      <c r="H315">
        <v>23364</v>
      </c>
      <c r="I315">
        <v>11</v>
      </c>
      <c r="J315">
        <v>12</v>
      </c>
      <c r="K315">
        <v>10</v>
      </c>
      <c r="L315">
        <v>6</v>
      </c>
      <c r="M315">
        <v>8</v>
      </c>
      <c r="N315">
        <v>8</v>
      </c>
      <c r="P315">
        <f>G315*I315/100</f>
        <v>1306.58</v>
      </c>
      <c r="Q315">
        <f t="shared" si="4"/>
        <v>142536</v>
      </c>
      <c r="R315">
        <f>K315/J315</f>
        <v>0.83333333333333337</v>
      </c>
      <c r="S315">
        <v>2020</v>
      </c>
    </row>
    <row r="316" spans="1:19" x14ac:dyDescent="0.3">
      <c r="A316">
        <v>39</v>
      </c>
      <c r="B316">
        <v>117</v>
      </c>
      <c r="C316" t="s">
        <v>17</v>
      </c>
      <c r="D316" t="s">
        <v>18</v>
      </c>
      <c r="E316">
        <v>99</v>
      </c>
      <c r="F316" t="s">
        <v>23</v>
      </c>
      <c r="G316">
        <v>17068</v>
      </c>
      <c r="H316">
        <v>5355</v>
      </c>
      <c r="I316">
        <v>14</v>
      </c>
      <c r="J316">
        <v>21</v>
      </c>
      <c r="K316">
        <v>21</v>
      </c>
      <c r="L316">
        <v>9</v>
      </c>
      <c r="M316">
        <v>11</v>
      </c>
      <c r="N316">
        <v>10</v>
      </c>
      <c r="P316">
        <f>G316*I316/100</f>
        <v>2389.52</v>
      </c>
      <c r="Q316">
        <f t="shared" si="4"/>
        <v>204816</v>
      </c>
      <c r="R316">
        <f>K316/J316</f>
        <v>1</v>
      </c>
      <c r="S316">
        <v>2020</v>
      </c>
    </row>
    <row r="317" spans="1:19" x14ac:dyDescent="0.3">
      <c r="A317">
        <v>43</v>
      </c>
      <c r="B317">
        <v>185</v>
      </c>
      <c r="C317" t="s">
        <v>17</v>
      </c>
      <c r="D317" t="s">
        <v>15</v>
      </c>
      <c r="E317">
        <v>33</v>
      </c>
      <c r="F317" t="s">
        <v>20</v>
      </c>
      <c r="G317">
        <v>2455</v>
      </c>
      <c r="H317">
        <v>10675</v>
      </c>
      <c r="I317">
        <v>19</v>
      </c>
      <c r="J317">
        <v>9</v>
      </c>
      <c r="K317">
        <v>8</v>
      </c>
      <c r="L317">
        <v>7</v>
      </c>
      <c r="M317">
        <v>1</v>
      </c>
      <c r="N317">
        <v>7</v>
      </c>
      <c r="P317">
        <f>G317*I317/100</f>
        <v>466.45</v>
      </c>
      <c r="Q317">
        <f t="shared" si="4"/>
        <v>29460</v>
      </c>
      <c r="R317">
        <f>K317/J317</f>
        <v>0.88888888888888884</v>
      </c>
      <c r="S317">
        <v>2020</v>
      </c>
    </row>
    <row r="318" spans="1:19" x14ac:dyDescent="0.3">
      <c r="A318">
        <v>49</v>
      </c>
      <c r="B318">
        <v>1091</v>
      </c>
      <c r="C318" t="s">
        <v>17</v>
      </c>
      <c r="D318" t="s">
        <v>15</v>
      </c>
      <c r="E318">
        <v>90</v>
      </c>
      <c r="F318" t="s">
        <v>22</v>
      </c>
      <c r="G318">
        <v>13964</v>
      </c>
      <c r="H318">
        <v>17810</v>
      </c>
      <c r="I318">
        <v>12</v>
      </c>
      <c r="J318">
        <v>25</v>
      </c>
      <c r="K318">
        <v>7</v>
      </c>
      <c r="L318">
        <v>1</v>
      </c>
      <c r="M318">
        <v>0</v>
      </c>
      <c r="N318">
        <v>7</v>
      </c>
      <c r="P318">
        <f>G318*I318/100</f>
        <v>1675.68</v>
      </c>
      <c r="Q318">
        <f t="shared" si="4"/>
        <v>167568</v>
      </c>
      <c r="R318">
        <f>K318/J318</f>
        <v>0.28000000000000003</v>
      </c>
      <c r="S318">
        <v>2020</v>
      </c>
    </row>
    <row r="319" spans="1:19" x14ac:dyDescent="0.3">
      <c r="A319">
        <v>52</v>
      </c>
      <c r="B319">
        <v>723</v>
      </c>
      <c r="C319" t="s">
        <v>17</v>
      </c>
      <c r="D319" t="s">
        <v>18</v>
      </c>
      <c r="E319">
        <v>85</v>
      </c>
      <c r="F319" t="s">
        <v>19</v>
      </c>
      <c r="G319">
        <v>4941</v>
      </c>
      <c r="H319">
        <v>17747</v>
      </c>
      <c r="I319">
        <v>15</v>
      </c>
      <c r="J319">
        <v>11</v>
      </c>
      <c r="K319">
        <v>8</v>
      </c>
      <c r="L319">
        <v>2</v>
      </c>
      <c r="M319">
        <v>7</v>
      </c>
      <c r="N319">
        <v>7</v>
      </c>
      <c r="P319">
        <f>G319*I319/100</f>
        <v>741.15</v>
      </c>
      <c r="Q319">
        <f t="shared" si="4"/>
        <v>59292</v>
      </c>
      <c r="R319">
        <f>K319/J319</f>
        <v>0.72727272727272729</v>
      </c>
      <c r="S319">
        <v>2020</v>
      </c>
    </row>
    <row r="320" spans="1:19" x14ac:dyDescent="0.3">
      <c r="A320">
        <v>27</v>
      </c>
      <c r="B320">
        <v>1220</v>
      </c>
      <c r="C320" t="s">
        <v>17</v>
      </c>
      <c r="D320" t="s">
        <v>15</v>
      </c>
      <c r="E320">
        <v>85</v>
      </c>
      <c r="F320" t="s">
        <v>19</v>
      </c>
      <c r="G320">
        <v>2478</v>
      </c>
      <c r="H320">
        <v>20938</v>
      </c>
      <c r="I320">
        <v>12</v>
      </c>
      <c r="J320">
        <v>4</v>
      </c>
      <c r="K320">
        <v>4</v>
      </c>
      <c r="L320">
        <v>3</v>
      </c>
      <c r="M320">
        <v>1</v>
      </c>
      <c r="N320">
        <v>2</v>
      </c>
      <c r="P320">
        <f>G320*I320/100</f>
        <v>297.36</v>
      </c>
      <c r="Q320">
        <f t="shared" si="4"/>
        <v>29736</v>
      </c>
      <c r="R320">
        <f>K320/J320</f>
        <v>1</v>
      </c>
      <c r="S320">
        <v>2020</v>
      </c>
    </row>
    <row r="321" spans="1:19" x14ac:dyDescent="0.3">
      <c r="A321">
        <v>32</v>
      </c>
      <c r="B321">
        <v>588</v>
      </c>
      <c r="C321" t="s">
        <v>14</v>
      </c>
      <c r="D321" t="s">
        <v>15</v>
      </c>
      <c r="E321">
        <v>65</v>
      </c>
      <c r="F321" t="s">
        <v>16</v>
      </c>
      <c r="G321">
        <v>5228</v>
      </c>
      <c r="H321">
        <v>24624</v>
      </c>
      <c r="I321">
        <v>11</v>
      </c>
      <c r="J321">
        <v>13</v>
      </c>
      <c r="K321">
        <v>13</v>
      </c>
      <c r="L321">
        <v>12</v>
      </c>
      <c r="M321">
        <v>11</v>
      </c>
      <c r="N321">
        <v>9</v>
      </c>
      <c r="P321">
        <f>G321*I321/100</f>
        <v>575.08000000000004</v>
      </c>
      <c r="Q321">
        <f t="shared" si="4"/>
        <v>62736</v>
      </c>
      <c r="R321">
        <f>K321/J321</f>
        <v>1</v>
      </c>
      <c r="S321">
        <v>2020</v>
      </c>
    </row>
    <row r="322" spans="1:19" x14ac:dyDescent="0.3">
      <c r="A322">
        <v>27</v>
      </c>
      <c r="B322">
        <v>1377</v>
      </c>
      <c r="C322" t="s">
        <v>14</v>
      </c>
      <c r="D322" t="s">
        <v>18</v>
      </c>
      <c r="E322">
        <v>74</v>
      </c>
      <c r="F322" t="s">
        <v>16</v>
      </c>
      <c r="G322">
        <v>4478</v>
      </c>
      <c r="H322">
        <v>5242</v>
      </c>
      <c r="I322">
        <v>11</v>
      </c>
      <c r="J322">
        <v>5</v>
      </c>
      <c r="K322">
        <v>5</v>
      </c>
      <c r="L322">
        <v>4</v>
      </c>
      <c r="M322">
        <v>0</v>
      </c>
      <c r="N322">
        <v>4</v>
      </c>
      <c r="P322">
        <f>G322*I322/100</f>
        <v>492.58</v>
      </c>
      <c r="Q322">
        <f t="shared" si="4"/>
        <v>53736</v>
      </c>
      <c r="R322">
        <f>K322/J322</f>
        <v>1</v>
      </c>
      <c r="S322">
        <v>2020</v>
      </c>
    </row>
    <row r="323" spans="1:19" x14ac:dyDescent="0.3">
      <c r="A323">
        <v>31</v>
      </c>
      <c r="B323">
        <v>691</v>
      </c>
      <c r="C323" t="s">
        <v>14</v>
      </c>
      <c r="D323" t="s">
        <v>18</v>
      </c>
      <c r="E323">
        <v>73</v>
      </c>
      <c r="F323" t="s">
        <v>16</v>
      </c>
      <c r="G323">
        <v>7547</v>
      </c>
      <c r="H323">
        <v>7143</v>
      </c>
      <c r="I323">
        <v>12</v>
      </c>
      <c r="J323">
        <v>13</v>
      </c>
      <c r="K323">
        <v>7</v>
      </c>
      <c r="L323">
        <v>7</v>
      </c>
      <c r="M323">
        <v>1</v>
      </c>
      <c r="N323">
        <v>7</v>
      </c>
      <c r="P323">
        <f>G323*I323/100</f>
        <v>905.64</v>
      </c>
      <c r="Q323">
        <f t="shared" ref="Q323:Q386" si="5">G323*12</f>
        <v>90564</v>
      </c>
      <c r="R323">
        <f>K323/J323</f>
        <v>0.53846153846153844</v>
      </c>
      <c r="S323">
        <v>2020</v>
      </c>
    </row>
    <row r="324" spans="1:19" x14ac:dyDescent="0.3">
      <c r="A324">
        <v>32</v>
      </c>
      <c r="B324">
        <v>1018</v>
      </c>
      <c r="C324" t="s">
        <v>17</v>
      </c>
      <c r="D324" t="s">
        <v>15</v>
      </c>
      <c r="E324">
        <v>74</v>
      </c>
      <c r="F324" t="s">
        <v>19</v>
      </c>
      <c r="G324">
        <v>5055</v>
      </c>
      <c r="H324">
        <v>10557</v>
      </c>
      <c r="I324">
        <v>16</v>
      </c>
      <c r="J324">
        <v>10</v>
      </c>
      <c r="K324">
        <v>7</v>
      </c>
      <c r="L324">
        <v>7</v>
      </c>
      <c r="M324">
        <v>0</v>
      </c>
      <c r="N324">
        <v>7</v>
      </c>
      <c r="P324">
        <f>G324*I324/100</f>
        <v>808.8</v>
      </c>
      <c r="Q324">
        <f t="shared" si="5"/>
        <v>60660</v>
      </c>
      <c r="R324">
        <f>K324/J324</f>
        <v>0.7</v>
      </c>
      <c r="S324">
        <v>2020</v>
      </c>
    </row>
    <row r="325" spans="1:19" x14ac:dyDescent="0.3">
      <c r="A325">
        <v>28</v>
      </c>
      <c r="B325">
        <v>1157</v>
      </c>
      <c r="C325" t="s">
        <v>17</v>
      </c>
      <c r="D325" t="s">
        <v>18</v>
      </c>
      <c r="E325">
        <v>84</v>
      </c>
      <c r="F325" t="s">
        <v>19</v>
      </c>
      <c r="G325">
        <v>3464</v>
      </c>
      <c r="H325">
        <v>24737</v>
      </c>
      <c r="I325">
        <v>13</v>
      </c>
      <c r="J325">
        <v>5</v>
      </c>
      <c r="K325">
        <v>3</v>
      </c>
      <c r="L325">
        <v>2</v>
      </c>
      <c r="M325">
        <v>2</v>
      </c>
      <c r="N325">
        <v>2</v>
      </c>
      <c r="P325">
        <f>G325*I325/100</f>
        <v>450.32</v>
      </c>
      <c r="Q325">
        <f t="shared" si="5"/>
        <v>41568</v>
      </c>
      <c r="R325">
        <f>K325/J325</f>
        <v>0.6</v>
      </c>
      <c r="S325">
        <v>2020</v>
      </c>
    </row>
    <row r="326" spans="1:19" x14ac:dyDescent="0.3">
      <c r="A326">
        <v>30</v>
      </c>
      <c r="B326">
        <v>1275</v>
      </c>
      <c r="C326" t="s">
        <v>17</v>
      </c>
      <c r="D326" t="s">
        <v>15</v>
      </c>
      <c r="E326">
        <v>64</v>
      </c>
      <c r="F326" t="s">
        <v>19</v>
      </c>
      <c r="G326">
        <v>5775</v>
      </c>
      <c r="H326">
        <v>11934</v>
      </c>
      <c r="I326">
        <v>13</v>
      </c>
      <c r="J326">
        <v>11</v>
      </c>
      <c r="K326">
        <v>10</v>
      </c>
      <c r="L326">
        <v>8</v>
      </c>
      <c r="M326">
        <v>1</v>
      </c>
      <c r="N326">
        <v>9</v>
      </c>
      <c r="P326">
        <f>G326*I326/100</f>
        <v>750.75</v>
      </c>
      <c r="Q326">
        <f t="shared" si="5"/>
        <v>69300</v>
      </c>
      <c r="R326">
        <f>K326/J326</f>
        <v>0.90909090909090906</v>
      </c>
      <c r="S326">
        <v>2020</v>
      </c>
    </row>
    <row r="327" spans="1:19" x14ac:dyDescent="0.3">
      <c r="A327">
        <v>31</v>
      </c>
      <c r="B327">
        <v>798</v>
      </c>
      <c r="C327" t="s">
        <v>17</v>
      </c>
      <c r="D327" t="s">
        <v>15</v>
      </c>
      <c r="E327">
        <v>48</v>
      </c>
      <c r="F327" t="s">
        <v>21</v>
      </c>
      <c r="G327">
        <v>8943</v>
      </c>
      <c r="H327">
        <v>14034</v>
      </c>
      <c r="I327">
        <v>24</v>
      </c>
      <c r="J327">
        <v>10</v>
      </c>
      <c r="K327">
        <v>10</v>
      </c>
      <c r="L327">
        <v>9</v>
      </c>
      <c r="M327">
        <v>8</v>
      </c>
      <c r="N327">
        <v>9</v>
      </c>
      <c r="P327">
        <f>G327*I327/100</f>
        <v>2146.3200000000002</v>
      </c>
      <c r="Q327">
        <f t="shared" si="5"/>
        <v>107316</v>
      </c>
      <c r="R327">
        <f>K327/J327</f>
        <v>1</v>
      </c>
      <c r="S327">
        <v>2020</v>
      </c>
    </row>
    <row r="328" spans="1:19" x14ac:dyDescent="0.3">
      <c r="A328">
        <v>39</v>
      </c>
      <c r="B328">
        <v>672</v>
      </c>
      <c r="C328" t="s">
        <v>17</v>
      </c>
      <c r="D328" t="s">
        <v>18</v>
      </c>
      <c r="E328">
        <v>54</v>
      </c>
      <c r="F328" t="s">
        <v>23</v>
      </c>
      <c r="G328">
        <v>19272</v>
      </c>
      <c r="H328">
        <v>21141</v>
      </c>
      <c r="I328">
        <v>15</v>
      </c>
      <c r="J328">
        <v>21</v>
      </c>
      <c r="K328">
        <v>21</v>
      </c>
      <c r="L328">
        <v>9</v>
      </c>
      <c r="M328">
        <v>13</v>
      </c>
      <c r="N328">
        <v>3</v>
      </c>
      <c r="P328">
        <f>G328*I328/100</f>
        <v>2890.8</v>
      </c>
      <c r="Q328">
        <f t="shared" si="5"/>
        <v>231264</v>
      </c>
      <c r="R328">
        <f>K328/J328</f>
        <v>1</v>
      </c>
      <c r="S328">
        <v>2020</v>
      </c>
    </row>
    <row r="329" spans="1:19" x14ac:dyDescent="0.3">
      <c r="A329">
        <v>39</v>
      </c>
      <c r="B329">
        <v>1162</v>
      </c>
      <c r="C329" t="s">
        <v>14</v>
      </c>
      <c r="D329" t="s">
        <v>15</v>
      </c>
      <c r="E329">
        <v>41</v>
      </c>
      <c r="F329" t="s">
        <v>16</v>
      </c>
      <c r="G329">
        <v>5238</v>
      </c>
      <c r="H329">
        <v>17778</v>
      </c>
      <c r="I329">
        <v>18</v>
      </c>
      <c r="J329">
        <v>12</v>
      </c>
      <c r="K329">
        <v>1</v>
      </c>
      <c r="L329">
        <v>0</v>
      </c>
      <c r="M329">
        <v>0</v>
      </c>
      <c r="N329">
        <v>0</v>
      </c>
      <c r="P329">
        <f>G329*I329/100</f>
        <v>942.84</v>
      </c>
      <c r="Q329">
        <f t="shared" si="5"/>
        <v>62856</v>
      </c>
      <c r="R329">
        <f>K329/J329</f>
        <v>8.3333333333333329E-2</v>
      </c>
      <c r="S329">
        <v>2020</v>
      </c>
    </row>
    <row r="330" spans="1:19" x14ac:dyDescent="0.3">
      <c r="A330">
        <v>33</v>
      </c>
      <c r="B330">
        <v>508</v>
      </c>
      <c r="C330" t="s">
        <v>14</v>
      </c>
      <c r="D330" t="s">
        <v>18</v>
      </c>
      <c r="E330">
        <v>46</v>
      </c>
      <c r="F330" t="s">
        <v>16</v>
      </c>
      <c r="G330">
        <v>4682</v>
      </c>
      <c r="H330">
        <v>4317</v>
      </c>
      <c r="I330">
        <v>14</v>
      </c>
      <c r="J330">
        <v>9</v>
      </c>
      <c r="K330">
        <v>7</v>
      </c>
      <c r="L330">
        <v>7</v>
      </c>
      <c r="M330">
        <v>0</v>
      </c>
      <c r="N330">
        <v>1</v>
      </c>
      <c r="P330">
        <f>G330*I330/100</f>
        <v>655.48</v>
      </c>
      <c r="Q330">
        <f t="shared" si="5"/>
        <v>56184</v>
      </c>
      <c r="R330">
        <f>K330/J330</f>
        <v>0.77777777777777779</v>
      </c>
      <c r="S330">
        <v>2020</v>
      </c>
    </row>
    <row r="331" spans="1:19" x14ac:dyDescent="0.3">
      <c r="A331">
        <v>47</v>
      </c>
      <c r="B331">
        <v>1482</v>
      </c>
      <c r="C331" t="s">
        <v>17</v>
      </c>
      <c r="D331" t="s">
        <v>18</v>
      </c>
      <c r="E331">
        <v>42</v>
      </c>
      <c r="F331" t="s">
        <v>25</v>
      </c>
      <c r="G331">
        <v>18300</v>
      </c>
      <c r="H331">
        <v>16375</v>
      </c>
      <c r="I331">
        <v>11</v>
      </c>
      <c r="J331">
        <v>21</v>
      </c>
      <c r="K331">
        <v>3</v>
      </c>
      <c r="L331">
        <v>2</v>
      </c>
      <c r="M331">
        <v>1</v>
      </c>
      <c r="N331">
        <v>1</v>
      </c>
      <c r="P331">
        <f>G331*I331/100</f>
        <v>2013</v>
      </c>
      <c r="Q331">
        <f t="shared" si="5"/>
        <v>219600</v>
      </c>
      <c r="R331">
        <f>K331/J331</f>
        <v>0.14285714285714285</v>
      </c>
      <c r="S331">
        <v>2020</v>
      </c>
    </row>
    <row r="332" spans="1:19" x14ac:dyDescent="0.3">
      <c r="A332">
        <v>43</v>
      </c>
      <c r="B332">
        <v>559</v>
      </c>
      <c r="C332" t="s">
        <v>17</v>
      </c>
      <c r="D332" t="s">
        <v>15</v>
      </c>
      <c r="E332">
        <v>82</v>
      </c>
      <c r="F332" t="s">
        <v>20</v>
      </c>
      <c r="G332">
        <v>5257</v>
      </c>
      <c r="H332">
        <v>6227</v>
      </c>
      <c r="I332">
        <v>11</v>
      </c>
      <c r="J332">
        <v>9</v>
      </c>
      <c r="K332">
        <v>9</v>
      </c>
      <c r="L332">
        <v>7</v>
      </c>
      <c r="M332">
        <v>0</v>
      </c>
      <c r="N332">
        <v>0</v>
      </c>
      <c r="P332">
        <f>G332*I332/100</f>
        <v>578.27</v>
      </c>
      <c r="Q332">
        <f t="shared" si="5"/>
        <v>63084</v>
      </c>
      <c r="R332">
        <f>K332/J332</f>
        <v>1</v>
      </c>
      <c r="S332">
        <v>2020</v>
      </c>
    </row>
    <row r="333" spans="1:19" x14ac:dyDescent="0.3">
      <c r="A333">
        <v>27</v>
      </c>
      <c r="B333">
        <v>210</v>
      </c>
      <c r="C333" t="s">
        <v>14</v>
      </c>
      <c r="D333" t="s">
        <v>18</v>
      </c>
      <c r="E333">
        <v>73</v>
      </c>
      <c r="F333" t="s">
        <v>16</v>
      </c>
      <c r="G333">
        <v>6349</v>
      </c>
      <c r="H333">
        <v>22107</v>
      </c>
      <c r="I333">
        <v>13</v>
      </c>
      <c r="J333">
        <v>6</v>
      </c>
      <c r="K333">
        <v>5</v>
      </c>
      <c r="L333">
        <v>4</v>
      </c>
      <c r="M333">
        <v>1</v>
      </c>
      <c r="N333">
        <v>4</v>
      </c>
      <c r="P333">
        <f>G333*I333/100</f>
        <v>825.37</v>
      </c>
      <c r="Q333">
        <f t="shared" si="5"/>
        <v>76188</v>
      </c>
      <c r="R333">
        <f>K333/J333</f>
        <v>0.83333333333333337</v>
      </c>
      <c r="S333">
        <v>2020</v>
      </c>
    </row>
    <row r="334" spans="1:19" x14ac:dyDescent="0.3">
      <c r="A334">
        <v>54</v>
      </c>
      <c r="B334">
        <v>928</v>
      </c>
      <c r="C334" t="s">
        <v>17</v>
      </c>
      <c r="D334" t="s">
        <v>15</v>
      </c>
      <c r="E334">
        <v>31</v>
      </c>
      <c r="F334" t="s">
        <v>19</v>
      </c>
      <c r="G334">
        <v>4869</v>
      </c>
      <c r="H334">
        <v>16885</v>
      </c>
      <c r="I334">
        <v>12</v>
      </c>
      <c r="J334">
        <v>20</v>
      </c>
      <c r="K334">
        <v>4</v>
      </c>
      <c r="L334">
        <v>3</v>
      </c>
      <c r="M334">
        <v>0</v>
      </c>
      <c r="N334">
        <v>3</v>
      </c>
      <c r="P334">
        <f>G334*I334/100</f>
        <v>584.28</v>
      </c>
      <c r="Q334">
        <f t="shared" si="5"/>
        <v>58428</v>
      </c>
      <c r="R334">
        <f>K334/J334</f>
        <v>0.2</v>
      </c>
      <c r="S334">
        <v>2020</v>
      </c>
    </row>
    <row r="335" spans="1:19" x14ac:dyDescent="0.3">
      <c r="A335">
        <v>43</v>
      </c>
      <c r="B335">
        <v>1001</v>
      </c>
      <c r="C335" t="s">
        <v>17</v>
      </c>
      <c r="D335" t="s">
        <v>15</v>
      </c>
      <c r="E335">
        <v>43</v>
      </c>
      <c r="F335" t="s">
        <v>22</v>
      </c>
      <c r="G335">
        <v>9985</v>
      </c>
      <c r="H335">
        <v>9262</v>
      </c>
      <c r="I335">
        <v>16</v>
      </c>
      <c r="J335">
        <v>10</v>
      </c>
      <c r="K335">
        <v>1</v>
      </c>
      <c r="L335">
        <v>0</v>
      </c>
      <c r="M335">
        <v>0</v>
      </c>
      <c r="N335">
        <v>0</v>
      </c>
      <c r="P335">
        <f>G335*I335/100</f>
        <v>1597.6</v>
      </c>
      <c r="Q335">
        <f t="shared" si="5"/>
        <v>119820</v>
      </c>
      <c r="R335">
        <f>K335/J335</f>
        <v>0.1</v>
      </c>
      <c r="S335">
        <v>2020</v>
      </c>
    </row>
    <row r="336" spans="1:19" x14ac:dyDescent="0.3">
      <c r="A336">
        <v>45</v>
      </c>
      <c r="B336">
        <v>549</v>
      </c>
      <c r="C336" t="s">
        <v>17</v>
      </c>
      <c r="D336" t="s">
        <v>18</v>
      </c>
      <c r="E336">
        <v>75</v>
      </c>
      <c r="F336" t="s">
        <v>19</v>
      </c>
      <c r="G336">
        <v>3697</v>
      </c>
      <c r="H336">
        <v>9278</v>
      </c>
      <c r="I336">
        <v>14</v>
      </c>
      <c r="J336">
        <v>12</v>
      </c>
      <c r="K336">
        <v>10</v>
      </c>
      <c r="L336">
        <v>9</v>
      </c>
      <c r="M336">
        <v>9</v>
      </c>
      <c r="N336">
        <v>8</v>
      </c>
      <c r="P336">
        <f>G336*I336/100</f>
        <v>517.58000000000004</v>
      </c>
      <c r="Q336">
        <f t="shared" si="5"/>
        <v>44364</v>
      </c>
      <c r="R336">
        <f>K336/J336</f>
        <v>0.83333333333333337</v>
      </c>
      <c r="S336">
        <v>2020</v>
      </c>
    </row>
    <row r="337" spans="1:19" x14ac:dyDescent="0.3">
      <c r="A337">
        <v>40</v>
      </c>
      <c r="B337">
        <v>1124</v>
      </c>
      <c r="C337" t="s">
        <v>14</v>
      </c>
      <c r="D337" t="s">
        <v>18</v>
      </c>
      <c r="E337">
        <v>57</v>
      </c>
      <c r="F337" t="s">
        <v>16</v>
      </c>
      <c r="G337">
        <v>7457</v>
      </c>
      <c r="H337">
        <v>13273</v>
      </c>
      <c r="I337">
        <v>22</v>
      </c>
      <c r="J337">
        <v>6</v>
      </c>
      <c r="K337">
        <v>4</v>
      </c>
      <c r="L337">
        <v>3</v>
      </c>
      <c r="M337">
        <v>0</v>
      </c>
      <c r="N337">
        <v>2</v>
      </c>
      <c r="P337">
        <f>G337*I337/100</f>
        <v>1640.54</v>
      </c>
      <c r="Q337">
        <f t="shared" si="5"/>
        <v>89484</v>
      </c>
      <c r="R337">
        <f>K337/J337</f>
        <v>0.66666666666666663</v>
      </c>
      <c r="S337">
        <v>2020</v>
      </c>
    </row>
    <row r="338" spans="1:19" x14ac:dyDescent="0.3">
      <c r="A338">
        <v>29</v>
      </c>
      <c r="B338">
        <v>318</v>
      </c>
      <c r="C338" t="s">
        <v>17</v>
      </c>
      <c r="D338" t="s">
        <v>18</v>
      </c>
      <c r="E338">
        <v>77</v>
      </c>
      <c r="F338" t="s">
        <v>20</v>
      </c>
      <c r="G338">
        <v>2119</v>
      </c>
      <c r="H338">
        <v>4759</v>
      </c>
      <c r="I338">
        <v>11</v>
      </c>
      <c r="J338">
        <v>7</v>
      </c>
      <c r="K338">
        <v>7</v>
      </c>
      <c r="L338">
        <v>7</v>
      </c>
      <c r="M338">
        <v>0</v>
      </c>
      <c r="N338">
        <v>7</v>
      </c>
      <c r="P338">
        <f>G338*I338/100</f>
        <v>233.09</v>
      </c>
      <c r="Q338">
        <f t="shared" si="5"/>
        <v>25428</v>
      </c>
      <c r="R338">
        <f>K338/J338</f>
        <v>1</v>
      </c>
      <c r="S338">
        <v>2020</v>
      </c>
    </row>
    <row r="339" spans="1:19" x14ac:dyDescent="0.3">
      <c r="A339">
        <v>29</v>
      </c>
      <c r="B339">
        <v>738</v>
      </c>
      <c r="C339" t="s">
        <v>17</v>
      </c>
      <c r="D339" t="s">
        <v>18</v>
      </c>
      <c r="E339">
        <v>30</v>
      </c>
      <c r="F339" t="s">
        <v>20</v>
      </c>
      <c r="G339">
        <v>3983</v>
      </c>
      <c r="H339">
        <v>7621</v>
      </c>
      <c r="I339">
        <v>17</v>
      </c>
      <c r="J339">
        <v>4</v>
      </c>
      <c r="K339">
        <v>3</v>
      </c>
      <c r="L339">
        <v>2</v>
      </c>
      <c r="M339">
        <v>2</v>
      </c>
      <c r="N339">
        <v>2</v>
      </c>
      <c r="P339">
        <f>G339*I339/100</f>
        <v>677.11</v>
      </c>
      <c r="Q339">
        <f t="shared" si="5"/>
        <v>47796</v>
      </c>
      <c r="R339">
        <f>K339/J339</f>
        <v>0.75</v>
      </c>
      <c r="S339">
        <v>2020</v>
      </c>
    </row>
    <row r="340" spans="1:19" x14ac:dyDescent="0.3">
      <c r="A340">
        <v>30</v>
      </c>
      <c r="B340">
        <v>570</v>
      </c>
      <c r="C340" t="s">
        <v>14</v>
      </c>
      <c r="D340" t="s">
        <v>15</v>
      </c>
      <c r="E340">
        <v>30</v>
      </c>
      <c r="F340" t="s">
        <v>16</v>
      </c>
      <c r="G340">
        <v>6118</v>
      </c>
      <c r="H340">
        <v>5431</v>
      </c>
      <c r="I340">
        <v>13</v>
      </c>
      <c r="J340">
        <v>10</v>
      </c>
      <c r="K340">
        <v>10</v>
      </c>
      <c r="L340">
        <v>9</v>
      </c>
      <c r="M340">
        <v>1</v>
      </c>
      <c r="N340">
        <v>2</v>
      </c>
      <c r="P340">
        <f>G340*I340/100</f>
        <v>795.34</v>
      </c>
      <c r="Q340">
        <f t="shared" si="5"/>
        <v>73416</v>
      </c>
      <c r="R340">
        <f>K340/J340</f>
        <v>1</v>
      </c>
      <c r="S340">
        <v>2020</v>
      </c>
    </row>
    <row r="341" spans="1:19" x14ac:dyDescent="0.3">
      <c r="A341">
        <v>27</v>
      </c>
      <c r="B341">
        <v>1130</v>
      </c>
      <c r="C341" t="s">
        <v>14</v>
      </c>
      <c r="D341" t="s">
        <v>15</v>
      </c>
      <c r="E341">
        <v>56</v>
      </c>
      <c r="F341" t="s">
        <v>16</v>
      </c>
      <c r="G341">
        <v>6214</v>
      </c>
      <c r="H341">
        <v>3415</v>
      </c>
      <c r="I341">
        <v>18</v>
      </c>
      <c r="J341">
        <v>8</v>
      </c>
      <c r="K341">
        <v>8</v>
      </c>
      <c r="L341">
        <v>7</v>
      </c>
      <c r="M341">
        <v>0</v>
      </c>
      <c r="N341">
        <v>7</v>
      </c>
      <c r="P341">
        <f>G341*I341/100</f>
        <v>1118.52</v>
      </c>
      <c r="Q341">
        <f t="shared" si="5"/>
        <v>74568</v>
      </c>
      <c r="R341">
        <f>K341/J341</f>
        <v>1</v>
      </c>
      <c r="S341">
        <v>2020</v>
      </c>
    </row>
    <row r="342" spans="1:19" x14ac:dyDescent="0.3">
      <c r="A342">
        <v>37</v>
      </c>
      <c r="B342">
        <v>1192</v>
      </c>
      <c r="C342" t="s">
        <v>17</v>
      </c>
      <c r="D342" t="s">
        <v>18</v>
      </c>
      <c r="E342">
        <v>61</v>
      </c>
      <c r="F342" t="s">
        <v>21</v>
      </c>
      <c r="G342">
        <v>6347</v>
      </c>
      <c r="H342">
        <v>23177</v>
      </c>
      <c r="I342">
        <v>16</v>
      </c>
      <c r="J342">
        <v>8</v>
      </c>
      <c r="K342">
        <v>6</v>
      </c>
      <c r="L342">
        <v>2</v>
      </c>
      <c r="M342">
        <v>0</v>
      </c>
      <c r="N342">
        <v>4</v>
      </c>
      <c r="P342">
        <f>G342*I342/100</f>
        <v>1015.52</v>
      </c>
      <c r="Q342">
        <f t="shared" si="5"/>
        <v>76164</v>
      </c>
      <c r="R342">
        <f>K342/J342</f>
        <v>0.75</v>
      </c>
      <c r="S342">
        <v>2020</v>
      </c>
    </row>
    <row r="343" spans="1:19" x14ac:dyDescent="0.3">
      <c r="A343">
        <v>38</v>
      </c>
      <c r="B343">
        <v>343</v>
      </c>
      <c r="C343" t="s">
        <v>17</v>
      </c>
      <c r="D343" t="s">
        <v>18</v>
      </c>
      <c r="E343">
        <v>92</v>
      </c>
      <c r="F343" t="s">
        <v>25</v>
      </c>
      <c r="G343">
        <v>11510</v>
      </c>
      <c r="H343">
        <v>15682</v>
      </c>
      <c r="I343">
        <v>14</v>
      </c>
      <c r="J343">
        <v>12</v>
      </c>
      <c r="K343">
        <v>11</v>
      </c>
      <c r="L343">
        <v>10</v>
      </c>
      <c r="M343">
        <v>2</v>
      </c>
      <c r="N343">
        <v>9</v>
      </c>
      <c r="P343">
        <f>G343*I343/100</f>
        <v>1611.4</v>
      </c>
      <c r="Q343">
        <f t="shared" si="5"/>
        <v>138120</v>
      </c>
      <c r="R343">
        <f>K343/J343</f>
        <v>0.91666666666666663</v>
      </c>
      <c r="S343">
        <v>2020</v>
      </c>
    </row>
    <row r="344" spans="1:19" x14ac:dyDescent="0.3">
      <c r="A344">
        <v>31</v>
      </c>
      <c r="B344">
        <v>1232</v>
      </c>
      <c r="C344" t="s">
        <v>17</v>
      </c>
      <c r="D344" t="s">
        <v>15</v>
      </c>
      <c r="E344">
        <v>39</v>
      </c>
      <c r="F344" t="s">
        <v>21</v>
      </c>
      <c r="G344">
        <v>7143</v>
      </c>
      <c r="H344">
        <v>25713</v>
      </c>
      <c r="I344">
        <v>14</v>
      </c>
      <c r="J344">
        <v>11</v>
      </c>
      <c r="K344">
        <v>11</v>
      </c>
      <c r="L344">
        <v>9</v>
      </c>
      <c r="M344">
        <v>4</v>
      </c>
      <c r="N344">
        <v>10</v>
      </c>
      <c r="P344">
        <f>G344*I344/100</f>
        <v>1000.02</v>
      </c>
      <c r="Q344">
        <f t="shared" si="5"/>
        <v>85716</v>
      </c>
      <c r="R344">
        <f>K344/J344</f>
        <v>1</v>
      </c>
      <c r="S344">
        <v>2020</v>
      </c>
    </row>
    <row r="345" spans="1:19" x14ac:dyDescent="0.3">
      <c r="A345">
        <v>29</v>
      </c>
      <c r="B345">
        <v>144</v>
      </c>
      <c r="C345" t="s">
        <v>14</v>
      </c>
      <c r="D345" t="s">
        <v>15</v>
      </c>
      <c r="E345">
        <v>39</v>
      </c>
      <c r="F345" t="s">
        <v>16</v>
      </c>
      <c r="G345">
        <v>8268</v>
      </c>
      <c r="H345">
        <v>11866</v>
      </c>
      <c r="I345">
        <v>14</v>
      </c>
      <c r="J345">
        <v>7</v>
      </c>
      <c r="K345">
        <v>7</v>
      </c>
      <c r="L345">
        <v>7</v>
      </c>
      <c r="M345">
        <v>1</v>
      </c>
      <c r="N345">
        <v>7</v>
      </c>
      <c r="P345">
        <f>G345*I345/100</f>
        <v>1157.52</v>
      </c>
      <c r="Q345">
        <f t="shared" si="5"/>
        <v>99216</v>
      </c>
      <c r="R345">
        <f>K345/J345</f>
        <v>1</v>
      </c>
      <c r="S345">
        <v>2020</v>
      </c>
    </row>
    <row r="346" spans="1:19" x14ac:dyDescent="0.3">
      <c r="A346">
        <v>35</v>
      </c>
      <c r="B346">
        <v>1296</v>
      </c>
      <c r="C346" t="s">
        <v>17</v>
      </c>
      <c r="D346" t="s">
        <v>18</v>
      </c>
      <c r="E346">
        <v>62</v>
      </c>
      <c r="F346" t="s">
        <v>21</v>
      </c>
      <c r="G346">
        <v>8095</v>
      </c>
      <c r="H346">
        <v>18264</v>
      </c>
      <c r="I346">
        <v>13</v>
      </c>
      <c r="J346">
        <v>17</v>
      </c>
      <c r="K346">
        <v>16</v>
      </c>
      <c r="L346">
        <v>6</v>
      </c>
      <c r="M346">
        <v>0</v>
      </c>
      <c r="N346">
        <v>13</v>
      </c>
      <c r="P346">
        <f>G346*I346/100</f>
        <v>1052.3499999999999</v>
      </c>
      <c r="Q346">
        <f t="shared" si="5"/>
        <v>97140</v>
      </c>
      <c r="R346">
        <f>K346/J346</f>
        <v>0.94117647058823528</v>
      </c>
      <c r="S346">
        <v>2020</v>
      </c>
    </row>
    <row r="347" spans="1:19" x14ac:dyDescent="0.3">
      <c r="A347">
        <v>23</v>
      </c>
      <c r="B347">
        <v>1309</v>
      </c>
      <c r="C347" t="s">
        <v>17</v>
      </c>
      <c r="D347" t="s">
        <v>18</v>
      </c>
      <c r="E347">
        <v>83</v>
      </c>
      <c r="F347" t="s">
        <v>19</v>
      </c>
      <c r="G347">
        <v>2904</v>
      </c>
      <c r="H347">
        <v>16092</v>
      </c>
      <c r="I347">
        <v>12</v>
      </c>
      <c r="J347">
        <v>4</v>
      </c>
      <c r="K347">
        <v>4</v>
      </c>
      <c r="L347">
        <v>2</v>
      </c>
      <c r="M347">
        <v>0</v>
      </c>
      <c r="N347">
        <v>2</v>
      </c>
      <c r="P347">
        <f>G347*I347/100</f>
        <v>348.48</v>
      </c>
      <c r="Q347">
        <f t="shared" si="5"/>
        <v>34848</v>
      </c>
      <c r="R347">
        <f>K347/J347</f>
        <v>1</v>
      </c>
      <c r="S347">
        <v>2020</v>
      </c>
    </row>
    <row r="348" spans="1:19" x14ac:dyDescent="0.3">
      <c r="A348">
        <v>41</v>
      </c>
      <c r="B348">
        <v>483</v>
      </c>
      <c r="C348" t="s">
        <v>17</v>
      </c>
      <c r="D348" t="s">
        <v>18</v>
      </c>
      <c r="E348">
        <v>95</v>
      </c>
      <c r="F348" t="s">
        <v>21</v>
      </c>
      <c r="G348">
        <v>6032</v>
      </c>
      <c r="H348">
        <v>10110</v>
      </c>
      <c r="I348">
        <v>15</v>
      </c>
      <c r="J348">
        <v>8</v>
      </c>
      <c r="K348">
        <v>5</v>
      </c>
      <c r="L348">
        <v>4</v>
      </c>
      <c r="M348">
        <v>1</v>
      </c>
      <c r="N348">
        <v>2</v>
      </c>
      <c r="P348">
        <f>G348*I348/100</f>
        <v>904.8</v>
      </c>
      <c r="Q348">
        <f t="shared" si="5"/>
        <v>72384</v>
      </c>
      <c r="R348">
        <f>K348/J348</f>
        <v>0.625</v>
      </c>
      <c r="S348">
        <v>2020</v>
      </c>
    </row>
    <row r="349" spans="1:19" x14ac:dyDescent="0.3">
      <c r="A349">
        <v>47</v>
      </c>
      <c r="B349">
        <v>1309</v>
      </c>
      <c r="C349" t="s">
        <v>14</v>
      </c>
      <c r="D349" t="s">
        <v>18</v>
      </c>
      <c r="E349">
        <v>99</v>
      </c>
      <c r="F349" t="s">
        <v>24</v>
      </c>
      <c r="G349">
        <v>2976</v>
      </c>
      <c r="H349">
        <v>25751</v>
      </c>
      <c r="I349">
        <v>19</v>
      </c>
      <c r="J349">
        <v>5</v>
      </c>
      <c r="K349">
        <v>0</v>
      </c>
      <c r="L349">
        <v>0</v>
      </c>
      <c r="M349">
        <v>0</v>
      </c>
      <c r="N349">
        <v>0</v>
      </c>
      <c r="P349">
        <f>G349*I349/100</f>
        <v>565.44000000000005</v>
      </c>
      <c r="Q349">
        <f t="shared" si="5"/>
        <v>35712</v>
      </c>
      <c r="R349">
        <f>K349/J349</f>
        <v>0</v>
      </c>
      <c r="S349">
        <v>2020</v>
      </c>
    </row>
    <row r="350" spans="1:19" x14ac:dyDescent="0.3">
      <c r="A350">
        <v>42</v>
      </c>
      <c r="B350">
        <v>810</v>
      </c>
      <c r="C350" t="s">
        <v>17</v>
      </c>
      <c r="D350" t="s">
        <v>15</v>
      </c>
      <c r="E350">
        <v>44</v>
      </c>
      <c r="F350" t="s">
        <v>25</v>
      </c>
      <c r="G350">
        <v>15992</v>
      </c>
      <c r="H350">
        <v>15901</v>
      </c>
      <c r="I350">
        <v>14</v>
      </c>
      <c r="J350">
        <v>16</v>
      </c>
      <c r="K350">
        <v>1</v>
      </c>
      <c r="L350">
        <v>0</v>
      </c>
      <c r="M350">
        <v>0</v>
      </c>
      <c r="N350">
        <v>0</v>
      </c>
      <c r="P350">
        <f>G350*I350/100</f>
        <v>2238.88</v>
      </c>
      <c r="Q350">
        <f t="shared" si="5"/>
        <v>191904</v>
      </c>
      <c r="R350">
        <f>K350/J350</f>
        <v>6.25E-2</v>
      </c>
      <c r="S350">
        <v>2020</v>
      </c>
    </row>
    <row r="351" spans="1:19" x14ac:dyDescent="0.3">
      <c r="A351">
        <v>29</v>
      </c>
      <c r="B351">
        <v>746</v>
      </c>
      <c r="C351" t="s">
        <v>14</v>
      </c>
      <c r="D351" t="s">
        <v>18</v>
      </c>
      <c r="E351">
        <v>61</v>
      </c>
      <c r="F351" t="s">
        <v>16</v>
      </c>
      <c r="G351">
        <v>4649</v>
      </c>
      <c r="H351">
        <v>16928</v>
      </c>
      <c r="I351">
        <v>14</v>
      </c>
      <c r="J351">
        <v>4</v>
      </c>
      <c r="K351">
        <v>4</v>
      </c>
      <c r="L351">
        <v>3</v>
      </c>
      <c r="M351">
        <v>0</v>
      </c>
      <c r="N351">
        <v>2</v>
      </c>
      <c r="P351">
        <f>G351*I351/100</f>
        <v>650.86</v>
      </c>
      <c r="Q351">
        <f t="shared" si="5"/>
        <v>55788</v>
      </c>
      <c r="R351">
        <f>K351/J351</f>
        <v>1</v>
      </c>
      <c r="S351">
        <v>2020</v>
      </c>
    </row>
    <row r="352" spans="1:19" x14ac:dyDescent="0.3">
      <c r="A352">
        <v>42</v>
      </c>
      <c r="B352">
        <v>544</v>
      </c>
      <c r="C352" t="s">
        <v>26</v>
      </c>
      <c r="D352" t="s">
        <v>18</v>
      </c>
      <c r="E352">
        <v>52</v>
      </c>
      <c r="F352" t="s">
        <v>26</v>
      </c>
      <c r="G352">
        <v>2696</v>
      </c>
      <c r="H352">
        <v>24017</v>
      </c>
      <c r="I352">
        <v>11</v>
      </c>
      <c r="J352">
        <v>4</v>
      </c>
      <c r="K352">
        <v>3</v>
      </c>
      <c r="L352">
        <v>2</v>
      </c>
      <c r="M352">
        <v>1</v>
      </c>
      <c r="N352">
        <v>0</v>
      </c>
      <c r="P352">
        <f>G352*I352/100</f>
        <v>296.56</v>
      </c>
      <c r="Q352">
        <f t="shared" si="5"/>
        <v>32352</v>
      </c>
      <c r="R352">
        <f>K352/J352</f>
        <v>0.75</v>
      </c>
      <c r="S352">
        <v>2020</v>
      </c>
    </row>
    <row r="353" spans="1:19" x14ac:dyDescent="0.3">
      <c r="A353">
        <v>32</v>
      </c>
      <c r="B353">
        <v>1062</v>
      </c>
      <c r="C353" t="s">
        <v>17</v>
      </c>
      <c r="D353" t="s">
        <v>15</v>
      </c>
      <c r="E353">
        <v>75</v>
      </c>
      <c r="F353" t="s">
        <v>20</v>
      </c>
      <c r="G353">
        <v>2370</v>
      </c>
      <c r="H353">
        <v>3956</v>
      </c>
      <c r="I353">
        <v>13</v>
      </c>
      <c r="J353">
        <v>8</v>
      </c>
      <c r="K353">
        <v>8</v>
      </c>
      <c r="L353">
        <v>0</v>
      </c>
      <c r="M353">
        <v>0</v>
      </c>
      <c r="N353">
        <v>7</v>
      </c>
      <c r="P353">
        <f>G353*I353/100</f>
        <v>308.10000000000002</v>
      </c>
      <c r="Q353">
        <f t="shared" si="5"/>
        <v>28440</v>
      </c>
      <c r="R353">
        <f>K353/J353</f>
        <v>1</v>
      </c>
      <c r="S353">
        <v>2020</v>
      </c>
    </row>
    <row r="354" spans="1:19" x14ac:dyDescent="0.3">
      <c r="A354">
        <v>48</v>
      </c>
      <c r="B354">
        <v>530</v>
      </c>
      <c r="C354" t="s">
        <v>14</v>
      </c>
      <c r="D354" t="s">
        <v>15</v>
      </c>
      <c r="E354">
        <v>91</v>
      </c>
      <c r="F354" t="s">
        <v>23</v>
      </c>
      <c r="G354">
        <v>12504</v>
      </c>
      <c r="H354">
        <v>23978</v>
      </c>
      <c r="I354">
        <v>21</v>
      </c>
      <c r="J354">
        <v>15</v>
      </c>
      <c r="K354">
        <v>0</v>
      </c>
      <c r="L354">
        <v>0</v>
      </c>
      <c r="M354">
        <v>0</v>
      </c>
      <c r="N354">
        <v>0</v>
      </c>
      <c r="P354">
        <f>G354*I354/100</f>
        <v>2625.84</v>
      </c>
      <c r="Q354">
        <f t="shared" si="5"/>
        <v>150048</v>
      </c>
      <c r="R354">
        <f>K354/J354</f>
        <v>0</v>
      </c>
      <c r="S354">
        <v>2020</v>
      </c>
    </row>
    <row r="355" spans="1:19" x14ac:dyDescent="0.3">
      <c r="A355">
        <v>37</v>
      </c>
      <c r="B355">
        <v>1319</v>
      </c>
      <c r="C355" t="s">
        <v>17</v>
      </c>
      <c r="D355" t="s">
        <v>18</v>
      </c>
      <c r="E355">
        <v>51</v>
      </c>
      <c r="F355" t="s">
        <v>19</v>
      </c>
      <c r="G355">
        <v>5974</v>
      </c>
      <c r="H355">
        <v>17001</v>
      </c>
      <c r="I355">
        <v>13</v>
      </c>
      <c r="J355">
        <v>13</v>
      </c>
      <c r="K355">
        <v>7</v>
      </c>
      <c r="L355">
        <v>7</v>
      </c>
      <c r="M355">
        <v>6</v>
      </c>
      <c r="N355">
        <v>7</v>
      </c>
      <c r="P355">
        <f>G355*I355/100</f>
        <v>776.62</v>
      </c>
      <c r="Q355">
        <f t="shared" si="5"/>
        <v>71688</v>
      </c>
      <c r="R355">
        <f>K355/J355</f>
        <v>0.53846153846153844</v>
      </c>
      <c r="S355">
        <v>2020</v>
      </c>
    </row>
    <row r="356" spans="1:19" x14ac:dyDescent="0.3">
      <c r="A356">
        <v>30</v>
      </c>
      <c r="B356">
        <v>641</v>
      </c>
      <c r="C356" t="s">
        <v>14</v>
      </c>
      <c r="D356" t="s">
        <v>15</v>
      </c>
      <c r="E356">
        <v>85</v>
      </c>
      <c r="F356" t="s">
        <v>16</v>
      </c>
      <c r="G356">
        <v>4736</v>
      </c>
      <c r="H356">
        <v>6069</v>
      </c>
      <c r="I356">
        <v>12</v>
      </c>
      <c r="J356">
        <v>4</v>
      </c>
      <c r="K356">
        <v>2</v>
      </c>
      <c r="L356">
        <v>2</v>
      </c>
      <c r="M356">
        <v>2</v>
      </c>
      <c r="N356">
        <v>2</v>
      </c>
      <c r="P356">
        <f>G356*I356/100</f>
        <v>568.32000000000005</v>
      </c>
      <c r="Q356">
        <f t="shared" si="5"/>
        <v>56832</v>
      </c>
      <c r="R356">
        <f>K356/J356</f>
        <v>0.5</v>
      </c>
      <c r="S356">
        <v>2020</v>
      </c>
    </row>
    <row r="357" spans="1:19" x14ac:dyDescent="0.3">
      <c r="A357">
        <v>26</v>
      </c>
      <c r="B357">
        <v>933</v>
      </c>
      <c r="C357" t="s">
        <v>14</v>
      </c>
      <c r="D357" t="s">
        <v>18</v>
      </c>
      <c r="E357">
        <v>57</v>
      </c>
      <c r="F357" t="s">
        <v>16</v>
      </c>
      <c r="G357">
        <v>5296</v>
      </c>
      <c r="H357">
        <v>20156</v>
      </c>
      <c r="I357">
        <v>17</v>
      </c>
      <c r="J357">
        <v>8</v>
      </c>
      <c r="K357">
        <v>8</v>
      </c>
      <c r="L357">
        <v>7</v>
      </c>
      <c r="M357">
        <v>7</v>
      </c>
      <c r="N357">
        <v>7</v>
      </c>
      <c r="P357">
        <f>G357*I357/100</f>
        <v>900.32</v>
      </c>
      <c r="Q357">
        <f t="shared" si="5"/>
        <v>63552</v>
      </c>
      <c r="R357">
        <f>K357/J357</f>
        <v>1</v>
      </c>
      <c r="S357">
        <v>2020</v>
      </c>
    </row>
    <row r="358" spans="1:19" x14ac:dyDescent="0.3">
      <c r="A358">
        <v>42</v>
      </c>
      <c r="B358">
        <v>1332</v>
      </c>
      <c r="C358" t="s">
        <v>17</v>
      </c>
      <c r="D358" t="s">
        <v>18</v>
      </c>
      <c r="E358">
        <v>98</v>
      </c>
      <c r="F358" t="s">
        <v>22</v>
      </c>
      <c r="G358">
        <v>6781</v>
      </c>
      <c r="H358">
        <v>17078</v>
      </c>
      <c r="I358">
        <v>23</v>
      </c>
      <c r="J358">
        <v>14</v>
      </c>
      <c r="K358">
        <v>1</v>
      </c>
      <c r="L358">
        <v>0</v>
      </c>
      <c r="M358">
        <v>0</v>
      </c>
      <c r="N358">
        <v>0</v>
      </c>
      <c r="P358">
        <f>G358*I358/100</f>
        <v>1559.63</v>
      </c>
      <c r="Q358">
        <f t="shared" si="5"/>
        <v>81372</v>
      </c>
      <c r="R358">
        <f>K358/J358</f>
        <v>7.1428571428571425E-2</v>
      </c>
      <c r="S358">
        <v>2020</v>
      </c>
    </row>
    <row r="359" spans="1:19" x14ac:dyDescent="0.3">
      <c r="A359">
        <v>21</v>
      </c>
      <c r="B359">
        <v>756</v>
      </c>
      <c r="C359" t="s">
        <v>14</v>
      </c>
      <c r="D359" t="s">
        <v>15</v>
      </c>
      <c r="E359">
        <v>99</v>
      </c>
      <c r="F359" t="s">
        <v>24</v>
      </c>
      <c r="G359">
        <v>2174</v>
      </c>
      <c r="H359">
        <v>9150</v>
      </c>
      <c r="I359">
        <v>11</v>
      </c>
      <c r="J359">
        <v>3</v>
      </c>
      <c r="K359">
        <v>3</v>
      </c>
      <c r="L359">
        <v>2</v>
      </c>
      <c r="M359">
        <v>1</v>
      </c>
      <c r="N359">
        <v>2</v>
      </c>
      <c r="P359">
        <f>G359*I359/100</f>
        <v>239.14</v>
      </c>
      <c r="Q359">
        <f t="shared" si="5"/>
        <v>26088</v>
      </c>
      <c r="R359">
        <f>K359/J359</f>
        <v>1</v>
      </c>
      <c r="S359">
        <v>2020</v>
      </c>
    </row>
    <row r="360" spans="1:19" x14ac:dyDescent="0.3">
      <c r="A360">
        <v>36</v>
      </c>
      <c r="B360">
        <v>845</v>
      </c>
      <c r="C360" t="s">
        <v>14</v>
      </c>
      <c r="D360" t="s">
        <v>15</v>
      </c>
      <c r="E360">
        <v>45</v>
      </c>
      <c r="F360" t="s">
        <v>16</v>
      </c>
      <c r="G360">
        <v>6653</v>
      </c>
      <c r="H360">
        <v>15276</v>
      </c>
      <c r="I360">
        <v>15</v>
      </c>
      <c r="J360">
        <v>7</v>
      </c>
      <c r="K360">
        <v>1</v>
      </c>
      <c r="L360">
        <v>0</v>
      </c>
      <c r="M360">
        <v>0</v>
      </c>
      <c r="N360">
        <v>0</v>
      </c>
      <c r="P360">
        <f>G360*I360/100</f>
        <v>997.95</v>
      </c>
      <c r="Q360">
        <f t="shared" si="5"/>
        <v>79836</v>
      </c>
      <c r="R360">
        <f>K360/J360</f>
        <v>0.14285714285714285</v>
      </c>
      <c r="S360">
        <v>2020</v>
      </c>
    </row>
    <row r="361" spans="1:19" x14ac:dyDescent="0.3">
      <c r="A361">
        <v>36</v>
      </c>
      <c r="B361">
        <v>541</v>
      </c>
      <c r="C361" t="s">
        <v>14</v>
      </c>
      <c r="D361" t="s">
        <v>18</v>
      </c>
      <c r="E361">
        <v>48</v>
      </c>
      <c r="F361" t="s">
        <v>16</v>
      </c>
      <c r="G361">
        <v>9699</v>
      </c>
      <c r="H361">
        <v>7246</v>
      </c>
      <c r="I361">
        <v>11</v>
      </c>
      <c r="J361">
        <v>16</v>
      </c>
      <c r="K361">
        <v>13</v>
      </c>
      <c r="L361">
        <v>9</v>
      </c>
      <c r="M361">
        <v>1</v>
      </c>
      <c r="N361">
        <v>12</v>
      </c>
      <c r="P361">
        <f>G361*I361/100</f>
        <v>1066.8900000000001</v>
      </c>
      <c r="Q361">
        <f t="shared" si="5"/>
        <v>116388</v>
      </c>
      <c r="R361">
        <f>K361/J361</f>
        <v>0.8125</v>
      </c>
      <c r="S361">
        <v>2020</v>
      </c>
    </row>
    <row r="362" spans="1:19" x14ac:dyDescent="0.3">
      <c r="A362">
        <v>57</v>
      </c>
      <c r="B362">
        <v>593</v>
      </c>
      <c r="C362" t="s">
        <v>17</v>
      </c>
      <c r="D362" t="s">
        <v>18</v>
      </c>
      <c r="E362">
        <v>88</v>
      </c>
      <c r="F362" t="s">
        <v>22</v>
      </c>
      <c r="G362">
        <v>6755</v>
      </c>
      <c r="H362">
        <v>2967</v>
      </c>
      <c r="I362">
        <v>11</v>
      </c>
      <c r="J362">
        <v>15</v>
      </c>
      <c r="K362">
        <v>3</v>
      </c>
      <c r="L362">
        <v>2</v>
      </c>
      <c r="M362">
        <v>1</v>
      </c>
      <c r="N362">
        <v>2</v>
      </c>
      <c r="P362">
        <f>G362*I362/100</f>
        <v>743.05</v>
      </c>
      <c r="Q362">
        <f t="shared" si="5"/>
        <v>81060</v>
      </c>
      <c r="R362">
        <f>K362/J362</f>
        <v>0.2</v>
      </c>
      <c r="S362">
        <v>2020</v>
      </c>
    </row>
    <row r="363" spans="1:19" x14ac:dyDescent="0.3">
      <c r="A363">
        <v>40</v>
      </c>
      <c r="B363">
        <v>1171</v>
      </c>
      <c r="C363" t="s">
        <v>17</v>
      </c>
      <c r="D363" t="s">
        <v>15</v>
      </c>
      <c r="E363">
        <v>46</v>
      </c>
      <c r="F363" t="s">
        <v>20</v>
      </c>
      <c r="G363">
        <v>2213</v>
      </c>
      <c r="H363">
        <v>22495</v>
      </c>
      <c r="I363">
        <v>13</v>
      </c>
      <c r="J363">
        <v>10</v>
      </c>
      <c r="K363">
        <v>7</v>
      </c>
      <c r="L363">
        <v>7</v>
      </c>
      <c r="M363">
        <v>1</v>
      </c>
      <c r="N363">
        <v>7</v>
      </c>
      <c r="P363">
        <f>G363*I363/100</f>
        <v>287.69</v>
      </c>
      <c r="Q363">
        <f t="shared" si="5"/>
        <v>26556</v>
      </c>
      <c r="R363">
        <f>K363/J363</f>
        <v>0.7</v>
      </c>
      <c r="S363">
        <v>2020</v>
      </c>
    </row>
    <row r="364" spans="1:19" x14ac:dyDescent="0.3">
      <c r="A364">
        <v>21</v>
      </c>
      <c r="B364">
        <v>895</v>
      </c>
      <c r="C364" t="s">
        <v>14</v>
      </c>
      <c r="D364" t="s">
        <v>18</v>
      </c>
      <c r="E364">
        <v>39</v>
      </c>
      <c r="F364" t="s">
        <v>24</v>
      </c>
      <c r="G364">
        <v>2610</v>
      </c>
      <c r="H364">
        <v>2851</v>
      </c>
      <c r="I364">
        <v>24</v>
      </c>
      <c r="J364">
        <v>3</v>
      </c>
      <c r="K364">
        <v>3</v>
      </c>
      <c r="L364">
        <v>2</v>
      </c>
      <c r="M364">
        <v>2</v>
      </c>
      <c r="N364">
        <v>2</v>
      </c>
      <c r="P364">
        <f>G364*I364/100</f>
        <v>626.4</v>
      </c>
      <c r="Q364">
        <f t="shared" si="5"/>
        <v>31320</v>
      </c>
      <c r="R364">
        <f>K364/J364</f>
        <v>1</v>
      </c>
      <c r="S364">
        <v>2020</v>
      </c>
    </row>
    <row r="365" spans="1:19" x14ac:dyDescent="0.3">
      <c r="A365">
        <v>33</v>
      </c>
      <c r="B365">
        <v>350</v>
      </c>
      <c r="C365" t="s">
        <v>14</v>
      </c>
      <c r="D365" t="s">
        <v>15</v>
      </c>
      <c r="E365">
        <v>34</v>
      </c>
      <c r="F365" t="s">
        <v>24</v>
      </c>
      <c r="G365">
        <v>2851</v>
      </c>
      <c r="H365">
        <v>9150</v>
      </c>
      <c r="I365">
        <v>13</v>
      </c>
      <c r="J365">
        <v>1</v>
      </c>
      <c r="K365">
        <v>1</v>
      </c>
      <c r="L365">
        <v>0</v>
      </c>
      <c r="M365">
        <v>0</v>
      </c>
      <c r="N365">
        <v>0</v>
      </c>
      <c r="P365">
        <f>G365*I365/100</f>
        <v>370.63</v>
      </c>
      <c r="Q365">
        <f t="shared" si="5"/>
        <v>34212</v>
      </c>
      <c r="R365">
        <f>K365/J365</f>
        <v>1</v>
      </c>
      <c r="S365">
        <v>2020</v>
      </c>
    </row>
    <row r="366" spans="1:19" x14ac:dyDescent="0.3">
      <c r="A366">
        <v>37</v>
      </c>
      <c r="B366">
        <v>921</v>
      </c>
      <c r="C366" t="s">
        <v>17</v>
      </c>
      <c r="D366" t="s">
        <v>15</v>
      </c>
      <c r="E366">
        <v>98</v>
      </c>
      <c r="F366" t="s">
        <v>20</v>
      </c>
      <c r="G366">
        <v>3452</v>
      </c>
      <c r="H366">
        <v>17663</v>
      </c>
      <c r="I366">
        <v>20</v>
      </c>
      <c r="J366">
        <v>17</v>
      </c>
      <c r="K366">
        <v>5</v>
      </c>
      <c r="L366">
        <v>4</v>
      </c>
      <c r="M366">
        <v>0</v>
      </c>
      <c r="N366">
        <v>3</v>
      </c>
      <c r="P366">
        <f>G366*I366/100</f>
        <v>690.4</v>
      </c>
      <c r="Q366">
        <f t="shared" si="5"/>
        <v>41424</v>
      </c>
      <c r="R366">
        <f>K366/J366</f>
        <v>0.29411764705882354</v>
      </c>
      <c r="S366">
        <v>2020</v>
      </c>
    </row>
    <row r="367" spans="1:19" x14ac:dyDescent="0.3">
      <c r="A367">
        <v>46</v>
      </c>
      <c r="B367">
        <v>1144</v>
      </c>
      <c r="C367" t="s">
        <v>17</v>
      </c>
      <c r="D367" t="s">
        <v>15</v>
      </c>
      <c r="E367">
        <v>30</v>
      </c>
      <c r="F367" t="s">
        <v>21</v>
      </c>
      <c r="G367">
        <v>5258</v>
      </c>
      <c r="H367">
        <v>16044</v>
      </c>
      <c r="I367">
        <v>14</v>
      </c>
      <c r="J367">
        <v>7</v>
      </c>
      <c r="K367">
        <v>1</v>
      </c>
      <c r="L367">
        <v>0</v>
      </c>
      <c r="M367">
        <v>0</v>
      </c>
      <c r="N367">
        <v>0</v>
      </c>
      <c r="P367">
        <f>G367*I367/100</f>
        <v>736.12</v>
      </c>
      <c r="Q367">
        <f t="shared" si="5"/>
        <v>63096</v>
      </c>
      <c r="R367">
        <f>K367/J367</f>
        <v>0.14285714285714285</v>
      </c>
      <c r="S367">
        <v>2020</v>
      </c>
    </row>
    <row r="368" spans="1:19" x14ac:dyDescent="0.3">
      <c r="A368">
        <v>41</v>
      </c>
      <c r="B368">
        <v>143</v>
      </c>
      <c r="C368" t="s">
        <v>14</v>
      </c>
      <c r="D368" t="s">
        <v>18</v>
      </c>
      <c r="E368">
        <v>56</v>
      </c>
      <c r="F368" t="s">
        <v>16</v>
      </c>
      <c r="G368">
        <v>9355</v>
      </c>
      <c r="H368">
        <v>9558</v>
      </c>
      <c r="I368">
        <v>18</v>
      </c>
      <c r="J368">
        <v>8</v>
      </c>
      <c r="K368">
        <v>8</v>
      </c>
      <c r="L368">
        <v>7</v>
      </c>
      <c r="M368">
        <v>7</v>
      </c>
      <c r="N368">
        <v>7</v>
      </c>
      <c r="P368">
        <f>G368*I368/100</f>
        <v>1683.9</v>
      </c>
      <c r="Q368">
        <f t="shared" si="5"/>
        <v>112260</v>
      </c>
      <c r="R368">
        <f>K368/J368</f>
        <v>1</v>
      </c>
      <c r="S368">
        <v>2020</v>
      </c>
    </row>
    <row r="369" spans="1:19" x14ac:dyDescent="0.3">
      <c r="A369">
        <v>50</v>
      </c>
      <c r="B369">
        <v>1046</v>
      </c>
      <c r="C369" t="s">
        <v>17</v>
      </c>
      <c r="D369" t="s">
        <v>18</v>
      </c>
      <c r="E369">
        <v>100</v>
      </c>
      <c r="F369" t="s">
        <v>22</v>
      </c>
      <c r="G369">
        <v>10496</v>
      </c>
      <c r="H369">
        <v>2755</v>
      </c>
      <c r="I369">
        <v>15</v>
      </c>
      <c r="J369">
        <v>20</v>
      </c>
      <c r="K369">
        <v>4</v>
      </c>
      <c r="L369">
        <v>3</v>
      </c>
      <c r="M369">
        <v>1</v>
      </c>
      <c r="N369">
        <v>3</v>
      </c>
      <c r="P369">
        <f>G369*I369/100</f>
        <v>1574.4</v>
      </c>
      <c r="Q369">
        <f t="shared" si="5"/>
        <v>125952</v>
      </c>
      <c r="R369">
        <f>K369/J369</f>
        <v>0.2</v>
      </c>
      <c r="S369">
        <v>2020</v>
      </c>
    </row>
    <row r="370" spans="1:19" x14ac:dyDescent="0.3">
      <c r="A370">
        <v>40</v>
      </c>
      <c r="B370">
        <v>575</v>
      </c>
      <c r="C370" t="s">
        <v>14</v>
      </c>
      <c r="D370" t="s">
        <v>18</v>
      </c>
      <c r="E370">
        <v>68</v>
      </c>
      <c r="F370" t="s">
        <v>16</v>
      </c>
      <c r="G370">
        <v>6380</v>
      </c>
      <c r="H370">
        <v>6110</v>
      </c>
      <c r="I370">
        <v>12</v>
      </c>
      <c r="J370">
        <v>8</v>
      </c>
      <c r="K370">
        <v>6</v>
      </c>
      <c r="L370">
        <v>4</v>
      </c>
      <c r="M370">
        <v>1</v>
      </c>
      <c r="N370">
        <v>0</v>
      </c>
      <c r="P370">
        <f>G370*I370/100</f>
        <v>765.6</v>
      </c>
      <c r="Q370">
        <f t="shared" si="5"/>
        <v>76560</v>
      </c>
      <c r="R370">
        <f>K370/J370</f>
        <v>0.75</v>
      </c>
      <c r="S370">
        <v>2020</v>
      </c>
    </row>
    <row r="371" spans="1:19" x14ac:dyDescent="0.3">
      <c r="A371">
        <v>31</v>
      </c>
      <c r="B371">
        <v>408</v>
      </c>
      <c r="C371" t="s">
        <v>17</v>
      </c>
      <c r="D371" t="s">
        <v>18</v>
      </c>
      <c r="E371">
        <v>42</v>
      </c>
      <c r="F371" t="s">
        <v>19</v>
      </c>
      <c r="G371">
        <v>2657</v>
      </c>
      <c r="H371">
        <v>7551</v>
      </c>
      <c r="I371">
        <v>16</v>
      </c>
      <c r="J371">
        <v>3</v>
      </c>
      <c r="K371">
        <v>2</v>
      </c>
      <c r="L371">
        <v>2</v>
      </c>
      <c r="M371">
        <v>2</v>
      </c>
      <c r="N371">
        <v>2</v>
      </c>
      <c r="P371">
        <f>G371*I371/100</f>
        <v>425.12</v>
      </c>
      <c r="Q371">
        <f t="shared" si="5"/>
        <v>31884</v>
      </c>
      <c r="R371">
        <f>K371/J371</f>
        <v>0.66666666666666663</v>
      </c>
      <c r="S371">
        <v>2020</v>
      </c>
    </row>
    <row r="372" spans="1:19" x14ac:dyDescent="0.3">
      <c r="A372">
        <v>21</v>
      </c>
      <c r="B372">
        <v>156</v>
      </c>
      <c r="C372" t="s">
        <v>14</v>
      </c>
      <c r="D372" t="s">
        <v>15</v>
      </c>
      <c r="E372">
        <v>90</v>
      </c>
      <c r="F372" t="s">
        <v>24</v>
      </c>
      <c r="G372">
        <v>2716</v>
      </c>
      <c r="H372">
        <v>25422</v>
      </c>
      <c r="I372">
        <v>15</v>
      </c>
      <c r="J372">
        <v>1</v>
      </c>
      <c r="K372">
        <v>1</v>
      </c>
      <c r="L372">
        <v>0</v>
      </c>
      <c r="M372">
        <v>0</v>
      </c>
      <c r="N372">
        <v>0</v>
      </c>
      <c r="P372">
        <f>G372*I372/100</f>
        <v>407.4</v>
      </c>
      <c r="Q372">
        <f t="shared" si="5"/>
        <v>32592</v>
      </c>
      <c r="R372">
        <f>K372/J372</f>
        <v>1</v>
      </c>
      <c r="S372">
        <v>2020</v>
      </c>
    </row>
    <row r="373" spans="1:19" x14ac:dyDescent="0.3">
      <c r="A373">
        <v>29</v>
      </c>
      <c r="B373">
        <v>1283</v>
      </c>
      <c r="C373" t="s">
        <v>17</v>
      </c>
      <c r="D373" t="s">
        <v>18</v>
      </c>
      <c r="E373">
        <v>54</v>
      </c>
      <c r="F373" t="s">
        <v>19</v>
      </c>
      <c r="G373">
        <v>2201</v>
      </c>
      <c r="H373">
        <v>18168</v>
      </c>
      <c r="I373">
        <v>16</v>
      </c>
      <c r="J373">
        <v>6</v>
      </c>
      <c r="K373">
        <v>3</v>
      </c>
      <c r="L373">
        <v>2</v>
      </c>
      <c r="M373">
        <v>1</v>
      </c>
      <c r="N373">
        <v>2</v>
      </c>
      <c r="P373">
        <f>G373*I373/100</f>
        <v>352.16</v>
      </c>
      <c r="Q373">
        <f t="shared" si="5"/>
        <v>26412</v>
      </c>
      <c r="R373">
        <f>K373/J373</f>
        <v>0.5</v>
      </c>
      <c r="S373">
        <v>2020</v>
      </c>
    </row>
    <row r="374" spans="1:19" x14ac:dyDescent="0.3">
      <c r="A374">
        <v>35</v>
      </c>
      <c r="B374">
        <v>755</v>
      </c>
      <c r="C374" t="s">
        <v>17</v>
      </c>
      <c r="D374" t="s">
        <v>18</v>
      </c>
      <c r="E374">
        <v>97</v>
      </c>
      <c r="F374" t="s">
        <v>22</v>
      </c>
      <c r="G374">
        <v>6540</v>
      </c>
      <c r="H374">
        <v>19394</v>
      </c>
      <c r="I374">
        <v>19</v>
      </c>
      <c r="J374">
        <v>10</v>
      </c>
      <c r="K374">
        <v>1</v>
      </c>
      <c r="L374">
        <v>1</v>
      </c>
      <c r="M374">
        <v>0</v>
      </c>
      <c r="N374">
        <v>0</v>
      </c>
      <c r="P374">
        <f>G374*I374/100</f>
        <v>1242.5999999999999</v>
      </c>
      <c r="Q374">
        <f t="shared" si="5"/>
        <v>78480</v>
      </c>
      <c r="R374">
        <f>K374/J374</f>
        <v>0.1</v>
      </c>
      <c r="S374">
        <v>2020</v>
      </c>
    </row>
    <row r="375" spans="1:19" x14ac:dyDescent="0.3">
      <c r="A375">
        <v>27</v>
      </c>
      <c r="B375">
        <v>1469</v>
      </c>
      <c r="C375" t="s">
        <v>17</v>
      </c>
      <c r="D375" t="s">
        <v>18</v>
      </c>
      <c r="E375">
        <v>82</v>
      </c>
      <c r="F375" t="s">
        <v>20</v>
      </c>
      <c r="G375">
        <v>3816</v>
      </c>
      <c r="H375">
        <v>17881</v>
      </c>
      <c r="I375">
        <v>11</v>
      </c>
      <c r="J375">
        <v>5</v>
      </c>
      <c r="K375">
        <v>5</v>
      </c>
      <c r="L375">
        <v>2</v>
      </c>
      <c r="M375">
        <v>0</v>
      </c>
      <c r="N375">
        <v>4</v>
      </c>
      <c r="P375">
        <f>G375*I375/100</f>
        <v>419.76</v>
      </c>
      <c r="Q375">
        <f t="shared" si="5"/>
        <v>45792</v>
      </c>
      <c r="R375">
        <f>K375/J375</f>
        <v>1</v>
      </c>
      <c r="S375">
        <v>2020</v>
      </c>
    </row>
    <row r="376" spans="1:19" x14ac:dyDescent="0.3">
      <c r="A376">
        <v>28</v>
      </c>
      <c r="B376">
        <v>304</v>
      </c>
      <c r="C376" t="s">
        <v>14</v>
      </c>
      <c r="D376" t="s">
        <v>18</v>
      </c>
      <c r="E376">
        <v>92</v>
      </c>
      <c r="F376" t="s">
        <v>16</v>
      </c>
      <c r="G376">
        <v>5253</v>
      </c>
      <c r="H376">
        <v>20750</v>
      </c>
      <c r="I376">
        <v>16</v>
      </c>
      <c r="J376">
        <v>7</v>
      </c>
      <c r="K376">
        <v>7</v>
      </c>
      <c r="L376">
        <v>5</v>
      </c>
      <c r="M376">
        <v>0</v>
      </c>
      <c r="N376">
        <v>7</v>
      </c>
      <c r="P376">
        <f>G376*I376/100</f>
        <v>840.48</v>
      </c>
      <c r="Q376">
        <f t="shared" si="5"/>
        <v>63036</v>
      </c>
      <c r="R376">
        <f>K376/J376</f>
        <v>1</v>
      </c>
      <c r="S376">
        <v>2020</v>
      </c>
    </row>
    <row r="377" spans="1:19" x14ac:dyDescent="0.3">
      <c r="A377">
        <v>49</v>
      </c>
      <c r="B377">
        <v>1261</v>
      </c>
      <c r="C377" t="s">
        <v>17</v>
      </c>
      <c r="D377" t="s">
        <v>18</v>
      </c>
      <c r="E377">
        <v>31</v>
      </c>
      <c r="F377" t="s">
        <v>22</v>
      </c>
      <c r="G377">
        <v>10965</v>
      </c>
      <c r="H377">
        <v>12066</v>
      </c>
      <c r="I377">
        <v>24</v>
      </c>
      <c r="J377">
        <v>26</v>
      </c>
      <c r="K377">
        <v>5</v>
      </c>
      <c r="L377">
        <v>2</v>
      </c>
      <c r="M377">
        <v>0</v>
      </c>
      <c r="N377">
        <v>0</v>
      </c>
      <c r="P377">
        <f>G377*I377/100</f>
        <v>2631.6</v>
      </c>
      <c r="Q377">
        <f t="shared" si="5"/>
        <v>131580</v>
      </c>
      <c r="R377">
        <f>K377/J377</f>
        <v>0.19230769230769232</v>
      </c>
      <c r="S377">
        <v>2020</v>
      </c>
    </row>
    <row r="378" spans="1:19" x14ac:dyDescent="0.3">
      <c r="A378">
        <v>51</v>
      </c>
      <c r="B378">
        <v>1178</v>
      </c>
      <c r="C378" t="s">
        <v>14</v>
      </c>
      <c r="D378" t="s">
        <v>15</v>
      </c>
      <c r="E378">
        <v>87</v>
      </c>
      <c r="F378" t="s">
        <v>16</v>
      </c>
      <c r="G378">
        <v>4936</v>
      </c>
      <c r="H378">
        <v>14862</v>
      </c>
      <c r="I378">
        <v>11</v>
      </c>
      <c r="J378">
        <v>18</v>
      </c>
      <c r="K378">
        <v>7</v>
      </c>
      <c r="L378">
        <v>7</v>
      </c>
      <c r="M378">
        <v>0</v>
      </c>
      <c r="N378">
        <v>7</v>
      </c>
      <c r="P378">
        <f>G378*I378/100</f>
        <v>542.96</v>
      </c>
      <c r="Q378">
        <f t="shared" si="5"/>
        <v>59232</v>
      </c>
      <c r="R378">
        <f>K378/J378</f>
        <v>0.3888888888888889</v>
      </c>
      <c r="S378">
        <v>2020</v>
      </c>
    </row>
    <row r="379" spans="1:19" x14ac:dyDescent="0.3">
      <c r="A379">
        <v>36</v>
      </c>
      <c r="B379">
        <v>329</v>
      </c>
      <c r="C379" t="s">
        <v>17</v>
      </c>
      <c r="D379" t="s">
        <v>15</v>
      </c>
      <c r="E379">
        <v>96</v>
      </c>
      <c r="F379" t="s">
        <v>19</v>
      </c>
      <c r="G379">
        <v>2543</v>
      </c>
      <c r="H379">
        <v>11868</v>
      </c>
      <c r="I379">
        <v>13</v>
      </c>
      <c r="J379">
        <v>6</v>
      </c>
      <c r="K379">
        <v>2</v>
      </c>
      <c r="L379">
        <v>2</v>
      </c>
      <c r="M379">
        <v>2</v>
      </c>
      <c r="N379">
        <v>2</v>
      </c>
      <c r="P379">
        <f>G379*I379/100</f>
        <v>330.59</v>
      </c>
      <c r="Q379">
        <f t="shared" si="5"/>
        <v>30516</v>
      </c>
      <c r="R379">
        <f>K379/J379</f>
        <v>0.33333333333333331</v>
      </c>
      <c r="S379">
        <v>2020</v>
      </c>
    </row>
    <row r="380" spans="1:19" x14ac:dyDescent="0.3">
      <c r="A380">
        <v>34</v>
      </c>
      <c r="B380">
        <v>1362</v>
      </c>
      <c r="C380" t="s">
        <v>14</v>
      </c>
      <c r="D380" t="s">
        <v>18</v>
      </c>
      <c r="E380">
        <v>67</v>
      </c>
      <c r="F380" t="s">
        <v>16</v>
      </c>
      <c r="G380">
        <v>5304</v>
      </c>
      <c r="H380">
        <v>4652</v>
      </c>
      <c r="I380">
        <v>13</v>
      </c>
      <c r="J380">
        <v>9</v>
      </c>
      <c r="K380">
        <v>5</v>
      </c>
      <c r="L380">
        <v>2</v>
      </c>
      <c r="M380">
        <v>0</v>
      </c>
      <c r="N380">
        <v>4</v>
      </c>
      <c r="P380">
        <f>G380*I380/100</f>
        <v>689.52</v>
      </c>
      <c r="Q380">
        <f t="shared" si="5"/>
        <v>63648</v>
      </c>
      <c r="R380">
        <f>K380/J380</f>
        <v>0.55555555555555558</v>
      </c>
      <c r="S380">
        <v>2020</v>
      </c>
    </row>
    <row r="381" spans="1:19" x14ac:dyDescent="0.3">
      <c r="A381">
        <v>55</v>
      </c>
      <c r="B381">
        <v>1311</v>
      </c>
      <c r="C381" t="s">
        <v>17</v>
      </c>
      <c r="D381" t="s">
        <v>15</v>
      </c>
      <c r="E381">
        <v>97</v>
      </c>
      <c r="F381" t="s">
        <v>23</v>
      </c>
      <c r="G381">
        <v>16659</v>
      </c>
      <c r="H381">
        <v>23258</v>
      </c>
      <c r="I381">
        <v>13</v>
      </c>
      <c r="J381">
        <v>30</v>
      </c>
      <c r="K381">
        <v>5</v>
      </c>
      <c r="L381">
        <v>4</v>
      </c>
      <c r="M381">
        <v>1</v>
      </c>
      <c r="N381">
        <v>2</v>
      </c>
      <c r="P381">
        <f>G381*I381/100</f>
        <v>2165.67</v>
      </c>
      <c r="Q381">
        <f t="shared" si="5"/>
        <v>199908</v>
      </c>
      <c r="R381">
        <f>K381/J381</f>
        <v>0.16666666666666666</v>
      </c>
      <c r="S381">
        <v>2020</v>
      </c>
    </row>
    <row r="382" spans="1:19" x14ac:dyDescent="0.3">
      <c r="A382">
        <v>24</v>
      </c>
      <c r="B382">
        <v>1371</v>
      </c>
      <c r="C382" t="s">
        <v>14</v>
      </c>
      <c r="D382" t="s">
        <v>15</v>
      </c>
      <c r="E382">
        <v>77</v>
      </c>
      <c r="F382" t="s">
        <v>16</v>
      </c>
      <c r="G382">
        <v>4260</v>
      </c>
      <c r="H382">
        <v>5915</v>
      </c>
      <c r="I382">
        <v>12</v>
      </c>
      <c r="J382">
        <v>5</v>
      </c>
      <c r="K382">
        <v>5</v>
      </c>
      <c r="L382">
        <v>2</v>
      </c>
      <c r="M382">
        <v>0</v>
      </c>
      <c r="N382">
        <v>3</v>
      </c>
      <c r="P382">
        <f>G382*I382/100</f>
        <v>511.2</v>
      </c>
      <c r="Q382">
        <f t="shared" si="5"/>
        <v>51120</v>
      </c>
      <c r="R382">
        <f>K382/J382</f>
        <v>1</v>
      </c>
      <c r="S382">
        <v>2020</v>
      </c>
    </row>
    <row r="383" spans="1:19" x14ac:dyDescent="0.3">
      <c r="A383">
        <v>30</v>
      </c>
      <c r="B383">
        <v>202</v>
      </c>
      <c r="C383" t="s">
        <v>14</v>
      </c>
      <c r="D383" t="s">
        <v>18</v>
      </c>
      <c r="E383">
        <v>72</v>
      </c>
      <c r="F383" t="s">
        <v>24</v>
      </c>
      <c r="G383">
        <v>2476</v>
      </c>
      <c r="H383">
        <v>17434</v>
      </c>
      <c r="I383">
        <v>18</v>
      </c>
      <c r="J383">
        <v>1</v>
      </c>
      <c r="K383">
        <v>1</v>
      </c>
      <c r="L383">
        <v>0</v>
      </c>
      <c r="M383">
        <v>0</v>
      </c>
      <c r="N383">
        <v>0</v>
      </c>
      <c r="P383">
        <f>G383*I383/100</f>
        <v>445.68</v>
      </c>
      <c r="Q383">
        <f t="shared" si="5"/>
        <v>29712</v>
      </c>
      <c r="R383">
        <f>K383/J383</f>
        <v>1</v>
      </c>
      <c r="S383">
        <v>2020</v>
      </c>
    </row>
    <row r="384" spans="1:19" x14ac:dyDescent="0.3">
      <c r="A384">
        <v>26</v>
      </c>
      <c r="B384">
        <v>575</v>
      </c>
      <c r="C384" t="s">
        <v>17</v>
      </c>
      <c r="D384" t="s">
        <v>18</v>
      </c>
      <c r="E384">
        <v>73</v>
      </c>
      <c r="F384" t="s">
        <v>19</v>
      </c>
      <c r="G384">
        <v>3102</v>
      </c>
      <c r="H384">
        <v>6582</v>
      </c>
      <c r="I384">
        <v>22</v>
      </c>
      <c r="J384">
        <v>7</v>
      </c>
      <c r="K384">
        <v>6</v>
      </c>
      <c r="L384">
        <v>4</v>
      </c>
      <c r="M384">
        <v>0</v>
      </c>
      <c r="N384">
        <v>4</v>
      </c>
      <c r="P384">
        <f>G384*I384/100</f>
        <v>682.44</v>
      </c>
      <c r="Q384">
        <f t="shared" si="5"/>
        <v>37224</v>
      </c>
      <c r="R384">
        <f>K384/J384</f>
        <v>0.8571428571428571</v>
      </c>
      <c r="S384">
        <v>2020</v>
      </c>
    </row>
    <row r="385" spans="1:19" x14ac:dyDescent="0.3">
      <c r="A385">
        <v>22</v>
      </c>
      <c r="B385">
        <v>253</v>
      </c>
      <c r="C385" t="s">
        <v>17</v>
      </c>
      <c r="D385" t="s">
        <v>15</v>
      </c>
      <c r="E385">
        <v>43</v>
      </c>
      <c r="F385" t="s">
        <v>19</v>
      </c>
      <c r="G385">
        <v>2244</v>
      </c>
      <c r="H385">
        <v>24440</v>
      </c>
      <c r="I385">
        <v>13</v>
      </c>
      <c r="J385">
        <v>2</v>
      </c>
      <c r="K385">
        <v>2</v>
      </c>
      <c r="L385">
        <v>1</v>
      </c>
      <c r="M385">
        <v>1</v>
      </c>
      <c r="N385">
        <v>2</v>
      </c>
      <c r="P385">
        <f>G385*I385/100</f>
        <v>291.72000000000003</v>
      </c>
      <c r="Q385">
        <f t="shared" si="5"/>
        <v>26928</v>
      </c>
      <c r="R385">
        <f>K385/J385</f>
        <v>1</v>
      </c>
      <c r="S385">
        <v>2020</v>
      </c>
    </row>
    <row r="386" spans="1:19" x14ac:dyDescent="0.3">
      <c r="A386">
        <v>36</v>
      </c>
      <c r="B386">
        <v>164</v>
      </c>
      <c r="C386" t="s">
        <v>14</v>
      </c>
      <c r="D386" t="s">
        <v>18</v>
      </c>
      <c r="E386">
        <v>61</v>
      </c>
      <c r="F386" t="s">
        <v>16</v>
      </c>
      <c r="G386">
        <v>7596</v>
      </c>
      <c r="H386">
        <v>3809</v>
      </c>
      <c r="I386">
        <v>13</v>
      </c>
      <c r="J386">
        <v>10</v>
      </c>
      <c r="K386">
        <v>10</v>
      </c>
      <c r="L386">
        <v>9</v>
      </c>
      <c r="M386">
        <v>9</v>
      </c>
      <c r="N386">
        <v>0</v>
      </c>
      <c r="P386">
        <f>G386*I386/100</f>
        <v>987.48</v>
      </c>
      <c r="Q386">
        <f t="shared" si="5"/>
        <v>91152</v>
      </c>
      <c r="R386">
        <f>K386/J386</f>
        <v>1</v>
      </c>
      <c r="S386">
        <v>2020</v>
      </c>
    </row>
    <row r="387" spans="1:19" x14ac:dyDescent="0.3">
      <c r="A387">
        <v>30</v>
      </c>
      <c r="B387">
        <v>464</v>
      </c>
      <c r="C387" t="s">
        <v>17</v>
      </c>
      <c r="D387" t="s">
        <v>18</v>
      </c>
      <c r="E387">
        <v>40</v>
      </c>
      <c r="F387" t="s">
        <v>19</v>
      </c>
      <c r="G387">
        <v>2285</v>
      </c>
      <c r="H387">
        <v>3427</v>
      </c>
      <c r="I387">
        <v>23</v>
      </c>
      <c r="J387">
        <v>3</v>
      </c>
      <c r="K387">
        <v>1</v>
      </c>
      <c r="L387">
        <v>0</v>
      </c>
      <c r="M387">
        <v>0</v>
      </c>
      <c r="N387">
        <v>0</v>
      </c>
      <c r="P387">
        <f>G387*I387/100</f>
        <v>525.54999999999995</v>
      </c>
      <c r="Q387">
        <f t="shared" ref="Q387:Q450" si="6">G387*12</f>
        <v>27420</v>
      </c>
      <c r="R387">
        <f>K387/J387</f>
        <v>0.33333333333333331</v>
      </c>
      <c r="S387">
        <v>2020</v>
      </c>
    </row>
    <row r="388" spans="1:19" x14ac:dyDescent="0.3">
      <c r="A388">
        <v>37</v>
      </c>
      <c r="B388">
        <v>1107</v>
      </c>
      <c r="C388" t="s">
        <v>17</v>
      </c>
      <c r="D388" t="s">
        <v>15</v>
      </c>
      <c r="E388">
        <v>95</v>
      </c>
      <c r="F388" t="s">
        <v>20</v>
      </c>
      <c r="G388">
        <v>3034</v>
      </c>
      <c r="H388">
        <v>26914</v>
      </c>
      <c r="I388">
        <v>12</v>
      </c>
      <c r="J388">
        <v>18</v>
      </c>
      <c r="K388">
        <v>18</v>
      </c>
      <c r="L388">
        <v>7</v>
      </c>
      <c r="M388">
        <v>12</v>
      </c>
      <c r="N388">
        <v>17</v>
      </c>
      <c r="P388">
        <f>G388*I388/100</f>
        <v>364.08</v>
      </c>
      <c r="Q388">
        <f t="shared" si="6"/>
        <v>36408</v>
      </c>
      <c r="R388">
        <f>K388/J388</f>
        <v>1</v>
      </c>
      <c r="S388">
        <v>2020</v>
      </c>
    </row>
    <row r="389" spans="1:19" x14ac:dyDescent="0.3">
      <c r="A389">
        <v>40</v>
      </c>
      <c r="B389">
        <v>759</v>
      </c>
      <c r="C389" t="s">
        <v>14</v>
      </c>
      <c r="D389" t="s">
        <v>15</v>
      </c>
      <c r="E389">
        <v>46</v>
      </c>
      <c r="F389" t="s">
        <v>16</v>
      </c>
      <c r="G389">
        <v>5715</v>
      </c>
      <c r="H389">
        <v>22553</v>
      </c>
      <c r="I389">
        <v>12</v>
      </c>
      <c r="J389">
        <v>8</v>
      </c>
      <c r="K389">
        <v>5</v>
      </c>
      <c r="L389">
        <v>4</v>
      </c>
      <c r="M389">
        <v>1</v>
      </c>
      <c r="N389">
        <v>3</v>
      </c>
      <c r="P389">
        <f>G389*I389/100</f>
        <v>685.8</v>
      </c>
      <c r="Q389">
        <f t="shared" si="6"/>
        <v>68580</v>
      </c>
      <c r="R389">
        <f>K389/J389</f>
        <v>0.625</v>
      </c>
      <c r="S389">
        <v>2020</v>
      </c>
    </row>
    <row r="390" spans="1:19" x14ac:dyDescent="0.3">
      <c r="A390">
        <v>42</v>
      </c>
      <c r="B390">
        <v>201</v>
      </c>
      <c r="C390" t="s">
        <v>17</v>
      </c>
      <c r="D390" t="s">
        <v>15</v>
      </c>
      <c r="E390">
        <v>95</v>
      </c>
      <c r="F390" t="s">
        <v>20</v>
      </c>
      <c r="G390">
        <v>2576</v>
      </c>
      <c r="H390">
        <v>20490</v>
      </c>
      <c r="I390">
        <v>16</v>
      </c>
      <c r="J390">
        <v>8</v>
      </c>
      <c r="K390">
        <v>5</v>
      </c>
      <c r="L390">
        <v>2</v>
      </c>
      <c r="M390">
        <v>1</v>
      </c>
      <c r="N390">
        <v>2</v>
      </c>
      <c r="P390">
        <f>G390*I390/100</f>
        <v>412.16</v>
      </c>
      <c r="Q390">
        <f t="shared" si="6"/>
        <v>30912</v>
      </c>
      <c r="R390">
        <f>K390/J390</f>
        <v>0.625</v>
      </c>
      <c r="S390">
        <v>2020</v>
      </c>
    </row>
    <row r="391" spans="1:19" x14ac:dyDescent="0.3">
      <c r="A391">
        <v>37</v>
      </c>
      <c r="B391">
        <v>1305</v>
      </c>
      <c r="C391" t="s">
        <v>17</v>
      </c>
      <c r="D391" t="s">
        <v>18</v>
      </c>
      <c r="E391">
        <v>49</v>
      </c>
      <c r="F391" t="s">
        <v>21</v>
      </c>
      <c r="G391">
        <v>4197</v>
      </c>
      <c r="H391">
        <v>21123</v>
      </c>
      <c r="I391">
        <v>12</v>
      </c>
      <c r="J391">
        <v>18</v>
      </c>
      <c r="K391">
        <v>1</v>
      </c>
      <c r="L391">
        <v>0</v>
      </c>
      <c r="M391">
        <v>0</v>
      </c>
      <c r="N391">
        <v>1</v>
      </c>
      <c r="P391">
        <f>G391*I391/100</f>
        <v>503.64</v>
      </c>
      <c r="Q391">
        <f t="shared" si="6"/>
        <v>50364</v>
      </c>
      <c r="R391">
        <f>K391/J391</f>
        <v>5.5555555555555552E-2</v>
      </c>
      <c r="S391">
        <v>2020</v>
      </c>
    </row>
    <row r="392" spans="1:19" x14ac:dyDescent="0.3">
      <c r="A392">
        <v>43</v>
      </c>
      <c r="B392">
        <v>982</v>
      </c>
      <c r="C392" t="s">
        <v>17</v>
      </c>
      <c r="D392" t="s">
        <v>18</v>
      </c>
      <c r="E392">
        <v>59</v>
      </c>
      <c r="F392" t="s">
        <v>25</v>
      </c>
      <c r="G392">
        <v>14336</v>
      </c>
      <c r="H392">
        <v>4345</v>
      </c>
      <c r="I392">
        <v>11</v>
      </c>
      <c r="J392">
        <v>25</v>
      </c>
      <c r="K392">
        <v>25</v>
      </c>
      <c r="L392">
        <v>10</v>
      </c>
      <c r="M392">
        <v>3</v>
      </c>
      <c r="N392">
        <v>9</v>
      </c>
      <c r="P392">
        <f>G392*I392/100</f>
        <v>1576.96</v>
      </c>
      <c r="Q392">
        <f t="shared" si="6"/>
        <v>172032</v>
      </c>
      <c r="R392">
        <f>K392/J392</f>
        <v>1</v>
      </c>
      <c r="S392">
        <v>2020</v>
      </c>
    </row>
    <row r="393" spans="1:19" x14ac:dyDescent="0.3">
      <c r="A393">
        <v>40</v>
      </c>
      <c r="B393">
        <v>555</v>
      </c>
      <c r="C393" t="s">
        <v>17</v>
      </c>
      <c r="D393" t="s">
        <v>15</v>
      </c>
      <c r="E393">
        <v>78</v>
      </c>
      <c r="F393" t="s">
        <v>20</v>
      </c>
      <c r="G393">
        <v>3448</v>
      </c>
      <c r="H393">
        <v>13436</v>
      </c>
      <c r="I393">
        <v>22</v>
      </c>
      <c r="J393">
        <v>20</v>
      </c>
      <c r="K393">
        <v>1</v>
      </c>
      <c r="L393">
        <v>0</v>
      </c>
      <c r="M393">
        <v>0</v>
      </c>
      <c r="N393">
        <v>0</v>
      </c>
      <c r="P393">
        <f>G393*I393/100</f>
        <v>758.56</v>
      </c>
      <c r="Q393">
        <f t="shared" si="6"/>
        <v>41376</v>
      </c>
      <c r="R393">
        <f>K393/J393</f>
        <v>0.05</v>
      </c>
      <c r="S393">
        <v>2020</v>
      </c>
    </row>
    <row r="394" spans="1:19" x14ac:dyDescent="0.3">
      <c r="A394">
        <v>54</v>
      </c>
      <c r="B394">
        <v>821</v>
      </c>
      <c r="C394" t="s">
        <v>17</v>
      </c>
      <c r="D394" t="s">
        <v>18</v>
      </c>
      <c r="E394">
        <v>86</v>
      </c>
      <c r="F394" t="s">
        <v>25</v>
      </c>
      <c r="G394">
        <v>19406</v>
      </c>
      <c r="H394">
        <v>8509</v>
      </c>
      <c r="I394">
        <v>11</v>
      </c>
      <c r="J394">
        <v>24</v>
      </c>
      <c r="K394">
        <v>4</v>
      </c>
      <c r="L394">
        <v>2</v>
      </c>
      <c r="M394">
        <v>1</v>
      </c>
      <c r="N394">
        <v>2</v>
      </c>
      <c r="P394">
        <f>G394*I394/100</f>
        <v>2134.66</v>
      </c>
      <c r="Q394">
        <f t="shared" si="6"/>
        <v>232872</v>
      </c>
      <c r="R394">
        <f>K394/J394</f>
        <v>0.16666666666666666</v>
      </c>
      <c r="S394">
        <v>2020</v>
      </c>
    </row>
    <row r="395" spans="1:19" x14ac:dyDescent="0.3">
      <c r="A395">
        <v>34</v>
      </c>
      <c r="B395">
        <v>1381</v>
      </c>
      <c r="C395" t="s">
        <v>14</v>
      </c>
      <c r="D395" t="s">
        <v>15</v>
      </c>
      <c r="E395">
        <v>72</v>
      </c>
      <c r="F395" t="s">
        <v>16</v>
      </c>
      <c r="G395">
        <v>6538</v>
      </c>
      <c r="H395">
        <v>12740</v>
      </c>
      <c r="I395">
        <v>15</v>
      </c>
      <c r="J395">
        <v>6</v>
      </c>
      <c r="K395">
        <v>3</v>
      </c>
      <c r="L395">
        <v>2</v>
      </c>
      <c r="M395">
        <v>1</v>
      </c>
      <c r="N395">
        <v>2</v>
      </c>
      <c r="P395">
        <f>G395*I395/100</f>
        <v>980.7</v>
      </c>
      <c r="Q395">
        <f t="shared" si="6"/>
        <v>78456</v>
      </c>
      <c r="R395">
        <f>K395/J395</f>
        <v>0.5</v>
      </c>
      <c r="S395">
        <v>2020</v>
      </c>
    </row>
    <row r="396" spans="1:19" x14ac:dyDescent="0.3">
      <c r="A396">
        <v>31</v>
      </c>
      <c r="B396">
        <v>480</v>
      </c>
      <c r="C396" t="s">
        <v>17</v>
      </c>
      <c r="D396" t="s">
        <v>15</v>
      </c>
      <c r="E396">
        <v>31</v>
      </c>
      <c r="F396" t="s">
        <v>21</v>
      </c>
      <c r="G396">
        <v>4306</v>
      </c>
      <c r="H396">
        <v>4156</v>
      </c>
      <c r="I396">
        <v>12</v>
      </c>
      <c r="J396">
        <v>13</v>
      </c>
      <c r="K396">
        <v>13</v>
      </c>
      <c r="L396">
        <v>10</v>
      </c>
      <c r="M396">
        <v>3</v>
      </c>
      <c r="N396">
        <v>12</v>
      </c>
      <c r="P396">
        <f>G396*I396/100</f>
        <v>516.72</v>
      </c>
      <c r="Q396">
        <f t="shared" si="6"/>
        <v>51672</v>
      </c>
      <c r="R396">
        <f>K396/J396</f>
        <v>1</v>
      </c>
      <c r="S396">
        <v>2020</v>
      </c>
    </row>
    <row r="397" spans="1:19" x14ac:dyDescent="0.3">
      <c r="A397">
        <v>43</v>
      </c>
      <c r="B397">
        <v>313</v>
      </c>
      <c r="C397" t="s">
        <v>17</v>
      </c>
      <c r="D397" t="s">
        <v>18</v>
      </c>
      <c r="E397">
        <v>61</v>
      </c>
      <c r="F397" t="s">
        <v>20</v>
      </c>
      <c r="G397">
        <v>2258</v>
      </c>
      <c r="H397">
        <v>15238</v>
      </c>
      <c r="I397">
        <v>20</v>
      </c>
      <c r="J397">
        <v>8</v>
      </c>
      <c r="K397">
        <v>3</v>
      </c>
      <c r="L397">
        <v>2</v>
      </c>
      <c r="M397">
        <v>1</v>
      </c>
      <c r="N397">
        <v>2</v>
      </c>
      <c r="P397">
        <f>G397*I397/100</f>
        <v>451.6</v>
      </c>
      <c r="Q397">
        <f t="shared" si="6"/>
        <v>27096</v>
      </c>
      <c r="R397">
        <f>K397/J397</f>
        <v>0.375</v>
      </c>
      <c r="S397">
        <v>2020</v>
      </c>
    </row>
    <row r="398" spans="1:19" x14ac:dyDescent="0.3">
      <c r="A398">
        <v>43</v>
      </c>
      <c r="B398">
        <v>1473</v>
      </c>
      <c r="C398" t="s">
        <v>17</v>
      </c>
      <c r="D398" t="s">
        <v>15</v>
      </c>
      <c r="E398">
        <v>74</v>
      </c>
      <c r="F398" t="s">
        <v>22</v>
      </c>
      <c r="G398">
        <v>4522</v>
      </c>
      <c r="H398">
        <v>2227</v>
      </c>
      <c r="I398">
        <v>14</v>
      </c>
      <c r="J398">
        <v>8</v>
      </c>
      <c r="K398">
        <v>5</v>
      </c>
      <c r="L398">
        <v>2</v>
      </c>
      <c r="M398">
        <v>0</v>
      </c>
      <c r="N398">
        <v>2</v>
      </c>
      <c r="P398">
        <f>G398*I398/100</f>
        <v>633.08000000000004</v>
      </c>
      <c r="Q398">
        <f t="shared" si="6"/>
        <v>54264</v>
      </c>
      <c r="R398">
        <f>K398/J398</f>
        <v>0.625</v>
      </c>
      <c r="S398">
        <v>2020</v>
      </c>
    </row>
    <row r="399" spans="1:19" x14ac:dyDescent="0.3">
      <c r="A399">
        <v>25</v>
      </c>
      <c r="B399">
        <v>891</v>
      </c>
      <c r="C399" t="s">
        <v>14</v>
      </c>
      <c r="D399" t="s">
        <v>15</v>
      </c>
      <c r="E399">
        <v>99</v>
      </c>
      <c r="F399" t="s">
        <v>16</v>
      </c>
      <c r="G399">
        <v>4487</v>
      </c>
      <c r="H399">
        <v>12090</v>
      </c>
      <c r="I399">
        <v>11</v>
      </c>
      <c r="J399">
        <v>5</v>
      </c>
      <c r="K399">
        <v>5</v>
      </c>
      <c r="L399">
        <v>4</v>
      </c>
      <c r="M399">
        <v>1</v>
      </c>
      <c r="N399">
        <v>3</v>
      </c>
      <c r="P399">
        <f>G399*I399/100</f>
        <v>493.57</v>
      </c>
      <c r="Q399">
        <f t="shared" si="6"/>
        <v>53844</v>
      </c>
      <c r="R399">
        <f>K399/J399</f>
        <v>1</v>
      </c>
      <c r="S399">
        <v>2020</v>
      </c>
    </row>
    <row r="400" spans="1:19" x14ac:dyDescent="0.3">
      <c r="A400">
        <v>37</v>
      </c>
      <c r="B400">
        <v>1063</v>
      </c>
      <c r="C400" t="s">
        <v>17</v>
      </c>
      <c r="D400" t="s">
        <v>15</v>
      </c>
      <c r="E400">
        <v>72</v>
      </c>
      <c r="F400" t="s">
        <v>19</v>
      </c>
      <c r="G400">
        <v>4449</v>
      </c>
      <c r="H400">
        <v>23866</v>
      </c>
      <c r="I400">
        <v>15</v>
      </c>
      <c r="J400">
        <v>15</v>
      </c>
      <c r="K400">
        <v>13</v>
      </c>
      <c r="L400">
        <v>11</v>
      </c>
      <c r="M400">
        <v>10</v>
      </c>
      <c r="N400">
        <v>7</v>
      </c>
      <c r="P400">
        <f>G400*I400/100</f>
        <v>667.35</v>
      </c>
      <c r="Q400">
        <f t="shared" si="6"/>
        <v>53388</v>
      </c>
      <c r="R400">
        <f>K400/J400</f>
        <v>0.8666666666666667</v>
      </c>
      <c r="S400">
        <v>2020</v>
      </c>
    </row>
    <row r="401" spans="1:19" x14ac:dyDescent="0.3">
      <c r="A401">
        <v>31</v>
      </c>
      <c r="B401">
        <v>329</v>
      </c>
      <c r="C401" t="s">
        <v>17</v>
      </c>
      <c r="D401" t="s">
        <v>18</v>
      </c>
      <c r="E401">
        <v>98</v>
      </c>
      <c r="F401" t="s">
        <v>20</v>
      </c>
      <c r="G401">
        <v>2218</v>
      </c>
      <c r="H401">
        <v>16193</v>
      </c>
      <c r="I401">
        <v>12</v>
      </c>
      <c r="J401">
        <v>4</v>
      </c>
      <c r="K401">
        <v>4</v>
      </c>
      <c r="L401">
        <v>2</v>
      </c>
      <c r="M401">
        <v>3</v>
      </c>
      <c r="N401">
        <v>2</v>
      </c>
      <c r="P401">
        <f>G401*I401/100</f>
        <v>266.16000000000003</v>
      </c>
      <c r="Q401">
        <f t="shared" si="6"/>
        <v>26616</v>
      </c>
      <c r="R401">
        <f>K401/J401</f>
        <v>1</v>
      </c>
      <c r="S401">
        <v>2020</v>
      </c>
    </row>
    <row r="402" spans="1:19" x14ac:dyDescent="0.3">
      <c r="A402">
        <v>39</v>
      </c>
      <c r="B402">
        <v>1218</v>
      </c>
      <c r="C402" t="s">
        <v>17</v>
      </c>
      <c r="D402" t="s">
        <v>18</v>
      </c>
      <c r="E402">
        <v>52</v>
      </c>
      <c r="F402" t="s">
        <v>23</v>
      </c>
      <c r="G402">
        <v>19197</v>
      </c>
      <c r="H402">
        <v>8213</v>
      </c>
      <c r="I402">
        <v>14</v>
      </c>
      <c r="J402">
        <v>21</v>
      </c>
      <c r="K402">
        <v>21</v>
      </c>
      <c r="L402">
        <v>8</v>
      </c>
      <c r="M402">
        <v>1</v>
      </c>
      <c r="N402">
        <v>6</v>
      </c>
      <c r="P402">
        <f>G402*I402/100</f>
        <v>2687.58</v>
      </c>
      <c r="Q402">
        <f t="shared" si="6"/>
        <v>230364</v>
      </c>
      <c r="R402">
        <f>K402/J402</f>
        <v>1</v>
      </c>
      <c r="S402">
        <v>2020</v>
      </c>
    </row>
    <row r="403" spans="1:19" x14ac:dyDescent="0.3">
      <c r="A403">
        <v>56</v>
      </c>
      <c r="B403">
        <v>906</v>
      </c>
      <c r="C403" t="s">
        <v>14</v>
      </c>
      <c r="D403" t="s">
        <v>15</v>
      </c>
      <c r="E403">
        <v>86</v>
      </c>
      <c r="F403" t="s">
        <v>16</v>
      </c>
      <c r="G403">
        <v>13212</v>
      </c>
      <c r="H403">
        <v>18256</v>
      </c>
      <c r="I403">
        <v>11</v>
      </c>
      <c r="J403">
        <v>36</v>
      </c>
      <c r="K403">
        <v>7</v>
      </c>
      <c r="L403">
        <v>7</v>
      </c>
      <c r="M403">
        <v>7</v>
      </c>
      <c r="N403">
        <v>7</v>
      </c>
      <c r="P403">
        <f>G403*I403/100</f>
        <v>1453.32</v>
      </c>
      <c r="Q403">
        <f t="shared" si="6"/>
        <v>158544</v>
      </c>
      <c r="R403">
        <f>K403/J403</f>
        <v>0.19444444444444445</v>
      </c>
      <c r="S403">
        <v>2020</v>
      </c>
    </row>
    <row r="404" spans="1:19" x14ac:dyDescent="0.3">
      <c r="A404">
        <v>30</v>
      </c>
      <c r="B404">
        <v>1082</v>
      </c>
      <c r="C404" t="s">
        <v>14</v>
      </c>
      <c r="D404" t="s">
        <v>15</v>
      </c>
      <c r="E404">
        <v>83</v>
      </c>
      <c r="F404" t="s">
        <v>16</v>
      </c>
      <c r="G404">
        <v>6577</v>
      </c>
      <c r="H404">
        <v>19558</v>
      </c>
      <c r="I404">
        <v>11</v>
      </c>
      <c r="J404">
        <v>6</v>
      </c>
      <c r="K404">
        <v>5</v>
      </c>
      <c r="L404">
        <v>4</v>
      </c>
      <c r="M404">
        <v>4</v>
      </c>
      <c r="N404">
        <v>4</v>
      </c>
      <c r="P404">
        <f>G404*I404/100</f>
        <v>723.47</v>
      </c>
      <c r="Q404">
        <f t="shared" si="6"/>
        <v>78924</v>
      </c>
      <c r="R404">
        <f>K404/J404</f>
        <v>0.83333333333333337</v>
      </c>
      <c r="S404">
        <v>2020</v>
      </c>
    </row>
    <row r="405" spans="1:19" x14ac:dyDescent="0.3">
      <c r="A405">
        <v>41</v>
      </c>
      <c r="B405">
        <v>645</v>
      </c>
      <c r="C405" t="s">
        <v>14</v>
      </c>
      <c r="D405" t="s">
        <v>18</v>
      </c>
      <c r="E405">
        <v>49</v>
      </c>
      <c r="F405" t="s">
        <v>16</v>
      </c>
      <c r="G405">
        <v>8392</v>
      </c>
      <c r="H405">
        <v>19566</v>
      </c>
      <c r="I405">
        <v>16</v>
      </c>
      <c r="J405">
        <v>10</v>
      </c>
      <c r="K405">
        <v>10</v>
      </c>
      <c r="L405">
        <v>7</v>
      </c>
      <c r="M405">
        <v>0</v>
      </c>
      <c r="N405">
        <v>7</v>
      </c>
      <c r="P405">
        <f>G405*I405/100</f>
        <v>1342.72</v>
      </c>
      <c r="Q405">
        <f t="shared" si="6"/>
        <v>100704</v>
      </c>
      <c r="R405">
        <f>K405/J405</f>
        <v>1</v>
      </c>
      <c r="S405">
        <v>2020</v>
      </c>
    </row>
    <row r="406" spans="1:19" x14ac:dyDescent="0.3">
      <c r="A406">
        <v>28</v>
      </c>
      <c r="B406">
        <v>1300</v>
      </c>
      <c r="C406" t="s">
        <v>17</v>
      </c>
      <c r="D406" t="s">
        <v>18</v>
      </c>
      <c r="E406">
        <v>79</v>
      </c>
      <c r="F406" t="s">
        <v>20</v>
      </c>
      <c r="G406">
        <v>4558</v>
      </c>
      <c r="H406">
        <v>13535</v>
      </c>
      <c r="I406">
        <v>12</v>
      </c>
      <c r="J406">
        <v>10</v>
      </c>
      <c r="K406">
        <v>10</v>
      </c>
      <c r="L406">
        <v>0</v>
      </c>
      <c r="M406">
        <v>1</v>
      </c>
      <c r="N406">
        <v>8</v>
      </c>
      <c r="P406">
        <f>G406*I406/100</f>
        <v>546.96</v>
      </c>
      <c r="Q406">
        <f t="shared" si="6"/>
        <v>54696</v>
      </c>
      <c r="R406">
        <f>K406/J406</f>
        <v>1</v>
      </c>
      <c r="S406">
        <v>2020</v>
      </c>
    </row>
    <row r="407" spans="1:19" x14ac:dyDescent="0.3">
      <c r="A407">
        <v>25</v>
      </c>
      <c r="B407">
        <v>688</v>
      </c>
      <c r="C407" t="s">
        <v>17</v>
      </c>
      <c r="D407" t="s">
        <v>18</v>
      </c>
      <c r="E407">
        <v>91</v>
      </c>
      <c r="F407" t="s">
        <v>20</v>
      </c>
      <c r="G407">
        <v>4031</v>
      </c>
      <c r="H407">
        <v>9396</v>
      </c>
      <c r="I407">
        <v>13</v>
      </c>
      <c r="J407">
        <v>6</v>
      </c>
      <c r="K407">
        <v>2</v>
      </c>
      <c r="L407">
        <v>2</v>
      </c>
      <c r="M407">
        <v>0</v>
      </c>
      <c r="N407">
        <v>2</v>
      </c>
      <c r="P407">
        <f>G407*I407/100</f>
        <v>524.03</v>
      </c>
      <c r="Q407">
        <f t="shared" si="6"/>
        <v>48372</v>
      </c>
      <c r="R407">
        <f>K407/J407</f>
        <v>0.33333333333333331</v>
      </c>
      <c r="S407">
        <v>2020</v>
      </c>
    </row>
    <row r="408" spans="1:19" x14ac:dyDescent="0.3">
      <c r="A408">
        <v>52</v>
      </c>
      <c r="B408">
        <v>319</v>
      </c>
      <c r="C408" t="s">
        <v>17</v>
      </c>
      <c r="D408" t="s">
        <v>18</v>
      </c>
      <c r="E408">
        <v>39</v>
      </c>
      <c r="F408" t="s">
        <v>21</v>
      </c>
      <c r="G408">
        <v>7969</v>
      </c>
      <c r="H408">
        <v>19609</v>
      </c>
      <c r="I408">
        <v>14</v>
      </c>
      <c r="J408">
        <v>28</v>
      </c>
      <c r="K408">
        <v>5</v>
      </c>
      <c r="L408">
        <v>4</v>
      </c>
      <c r="M408">
        <v>0</v>
      </c>
      <c r="N408">
        <v>4</v>
      </c>
      <c r="P408">
        <f>G408*I408/100</f>
        <v>1115.6600000000001</v>
      </c>
      <c r="Q408">
        <f t="shared" si="6"/>
        <v>95628</v>
      </c>
      <c r="R408">
        <f>K408/J408</f>
        <v>0.17857142857142858</v>
      </c>
      <c r="S408">
        <v>2020</v>
      </c>
    </row>
    <row r="409" spans="1:19" x14ac:dyDescent="0.3">
      <c r="A409">
        <v>45</v>
      </c>
      <c r="B409">
        <v>192</v>
      </c>
      <c r="C409" t="s">
        <v>17</v>
      </c>
      <c r="D409" t="s">
        <v>18</v>
      </c>
      <c r="E409">
        <v>69</v>
      </c>
      <c r="F409" t="s">
        <v>19</v>
      </c>
      <c r="G409">
        <v>2654</v>
      </c>
      <c r="H409">
        <v>9655</v>
      </c>
      <c r="I409">
        <v>21</v>
      </c>
      <c r="J409">
        <v>8</v>
      </c>
      <c r="K409">
        <v>2</v>
      </c>
      <c r="L409">
        <v>2</v>
      </c>
      <c r="M409">
        <v>0</v>
      </c>
      <c r="N409">
        <v>2</v>
      </c>
      <c r="P409">
        <f>G409*I409/100</f>
        <v>557.34</v>
      </c>
      <c r="Q409">
        <f t="shared" si="6"/>
        <v>31848</v>
      </c>
      <c r="R409">
        <f>K409/J409</f>
        <v>0.25</v>
      </c>
      <c r="S409">
        <v>2020</v>
      </c>
    </row>
    <row r="410" spans="1:19" x14ac:dyDescent="0.3">
      <c r="A410">
        <v>52</v>
      </c>
      <c r="B410">
        <v>1490</v>
      </c>
      <c r="C410" t="s">
        <v>17</v>
      </c>
      <c r="D410" t="s">
        <v>15</v>
      </c>
      <c r="E410">
        <v>30</v>
      </c>
      <c r="F410" t="s">
        <v>23</v>
      </c>
      <c r="G410">
        <v>16555</v>
      </c>
      <c r="H410">
        <v>10310</v>
      </c>
      <c r="I410">
        <v>13</v>
      </c>
      <c r="J410">
        <v>31</v>
      </c>
      <c r="K410">
        <v>5</v>
      </c>
      <c r="L410">
        <v>2</v>
      </c>
      <c r="M410">
        <v>1</v>
      </c>
      <c r="N410">
        <v>4</v>
      </c>
      <c r="P410">
        <f>G410*I410/100</f>
        <v>2152.15</v>
      </c>
      <c r="Q410">
        <f t="shared" si="6"/>
        <v>198660</v>
      </c>
      <c r="R410">
        <f>K410/J410</f>
        <v>0.16129032258064516</v>
      </c>
      <c r="S410">
        <v>2020</v>
      </c>
    </row>
    <row r="411" spans="1:19" x14ac:dyDescent="0.3">
      <c r="A411">
        <v>42</v>
      </c>
      <c r="B411">
        <v>532</v>
      </c>
      <c r="C411" t="s">
        <v>17</v>
      </c>
      <c r="D411" t="s">
        <v>15</v>
      </c>
      <c r="E411">
        <v>92</v>
      </c>
      <c r="F411" t="s">
        <v>19</v>
      </c>
      <c r="G411">
        <v>4556</v>
      </c>
      <c r="H411">
        <v>12932</v>
      </c>
      <c r="I411">
        <v>11</v>
      </c>
      <c r="J411">
        <v>19</v>
      </c>
      <c r="K411">
        <v>5</v>
      </c>
      <c r="L411">
        <v>4</v>
      </c>
      <c r="M411">
        <v>0</v>
      </c>
      <c r="N411">
        <v>2</v>
      </c>
      <c r="P411">
        <f>G411*I411/100</f>
        <v>501.16</v>
      </c>
      <c r="Q411">
        <f t="shared" si="6"/>
        <v>54672</v>
      </c>
      <c r="R411">
        <f>K411/J411</f>
        <v>0.26315789473684209</v>
      </c>
      <c r="S411">
        <v>2020</v>
      </c>
    </row>
    <row r="412" spans="1:19" x14ac:dyDescent="0.3">
      <c r="A412">
        <v>30</v>
      </c>
      <c r="B412">
        <v>317</v>
      </c>
      <c r="C412" t="s">
        <v>17</v>
      </c>
      <c r="D412" t="s">
        <v>15</v>
      </c>
      <c r="E412">
        <v>43</v>
      </c>
      <c r="F412" t="s">
        <v>21</v>
      </c>
      <c r="G412">
        <v>6091</v>
      </c>
      <c r="H412">
        <v>24793</v>
      </c>
      <c r="I412">
        <v>20</v>
      </c>
      <c r="J412">
        <v>11</v>
      </c>
      <c r="K412">
        <v>5</v>
      </c>
      <c r="L412">
        <v>4</v>
      </c>
      <c r="M412">
        <v>0</v>
      </c>
      <c r="N412">
        <v>2</v>
      </c>
      <c r="P412">
        <f>G412*I412/100</f>
        <v>1218.2</v>
      </c>
      <c r="Q412">
        <f t="shared" si="6"/>
        <v>73092</v>
      </c>
      <c r="R412">
        <f>K412/J412</f>
        <v>0.45454545454545453</v>
      </c>
      <c r="S412">
        <v>2020</v>
      </c>
    </row>
    <row r="413" spans="1:19" x14ac:dyDescent="0.3">
      <c r="A413">
        <v>60</v>
      </c>
      <c r="B413">
        <v>422</v>
      </c>
      <c r="C413" t="s">
        <v>17</v>
      </c>
      <c r="D413" t="s">
        <v>15</v>
      </c>
      <c r="E413">
        <v>41</v>
      </c>
      <c r="F413" t="s">
        <v>23</v>
      </c>
      <c r="G413">
        <v>19566</v>
      </c>
      <c r="H413">
        <v>3854</v>
      </c>
      <c r="I413">
        <v>11</v>
      </c>
      <c r="J413">
        <v>33</v>
      </c>
      <c r="K413">
        <v>29</v>
      </c>
      <c r="L413">
        <v>8</v>
      </c>
      <c r="M413">
        <v>11</v>
      </c>
      <c r="N413">
        <v>10</v>
      </c>
      <c r="P413">
        <f>G413*I413/100</f>
        <v>2152.2600000000002</v>
      </c>
      <c r="Q413">
        <f t="shared" si="6"/>
        <v>234792</v>
      </c>
      <c r="R413">
        <f>K413/J413</f>
        <v>0.87878787878787878</v>
      </c>
      <c r="S413">
        <v>2020</v>
      </c>
    </row>
    <row r="414" spans="1:19" x14ac:dyDescent="0.3">
      <c r="A414">
        <v>46</v>
      </c>
      <c r="B414">
        <v>1485</v>
      </c>
      <c r="C414" t="s">
        <v>17</v>
      </c>
      <c r="D414" t="s">
        <v>15</v>
      </c>
      <c r="E414">
        <v>87</v>
      </c>
      <c r="F414" t="s">
        <v>21</v>
      </c>
      <c r="G414">
        <v>4810</v>
      </c>
      <c r="H414">
        <v>26314</v>
      </c>
      <c r="I414">
        <v>14</v>
      </c>
      <c r="J414">
        <v>19</v>
      </c>
      <c r="K414">
        <v>10</v>
      </c>
      <c r="L414">
        <v>7</v>
      </c>
      <c r="M414">
        <v>0</v>
      </c>
      <c r="N414">
        <v>8</v>
      </c>
      <c r="P414">
        <f>G414*I414/100</f>
        <v>673.4</v>
      </c>
      <c r="Q414">
        <f t="shared" si="6"/>
        <v>57720</v>
      </c>
      <c r="R414">
        <f>K414/J414</f>
        <v>0.52631578947368418</v>
      </c>
      <c r="S414">
        <v>2020</v>
      </c>
    </row>
    <row r="415" spans="1:19" x14ac:dyDescent="0.3">
      <c r="A415">
        <v>42</v>
      </c>
      <c r="B415">
        <v>1368</v>
      </c>
      <c r="C415" t="s">
        <v>17</v>
      </c>
      <c r="D415" t="s">
        <v>15</v>
      </c>
      <c r="E415">
        <v>88</v>
      </c>
      <c r="F415" t="s">
        <v>22</v>
      </c>
      <c r="G415">
        <v>4523</v>
      </c>
      <c r="H415">
        <v>4386</v>
      </c>
      <c r="I415">
        <v>11</v>
      </c>
      <c r="J415">
        <v>7</v>
      </c>
      <c r="K415">
        <v>6</v>
      </c>
      <c r="L415">
        <v>5</v>
      </c>
      <c r="M415">
        <v>0</v>
      </c>
      <c r="N415">
        <v>4</v>
      </c>
      <c r="P415">
        <f>G415*I415/100</f>
        <v>497.53</v>
      </c>
      <c r="Q415">
        <f t="shared" si="6"/>
        <v>54276</v>
      </c>
      <c r="R415">
        <f>K415/J415</f>
        <v>0.8571428571428571</v>
      </c>
      <c r="S415">
        <v>2020</v>
      </c>
    </row>
    <row r="416" spans="1:19" x14ac:dyDescent="0.3">
      <c r="A416">
        <v>24</v>
      </c>
      <c r="B416">
        <v>1448</v>
      </c>
      <c r="C416" t="s">
        <v>14</v>
      </c>
      <c r="D416" t="s">
        <v>15</v>
      </c>
      <c r="E416">
        <v>62</v>
      </c>
      <c r="F416" t="s">
        <v>24</v>
      </c>
      <c r="G416">
        <v>3202</v>
      </c>
      <c r="H416">
        <v>21972</v>
      </c>
      <c r="I416">
        <v>16</v>
      </c>
      <c r="J416">
        <v>6</v>
      </c>
      <c r="K416">
        <v>5</v>
      </c>
      <c r="L416">
        <v>3</v>
      </c>
      <c r="M416">
        <v>1</v>
      </c>
      <c r="N416">
        <v>4</v>
      </c>
      <c r="P416">
        <f>G416*I416/100</f>
        <v>512.32000000000005</v>
      </c>
      <c r="Q416">
        <f t="shared" si="6"/>
        <v>38424</v>
      </c>
      <c r="R416">
        <f>K416/J416</f>
        <v>0.83333333333333337</v>
      </c>
      <c r="S416">
        <v>2020</v>
      </c>
    </row>
    <row r="417" spans="1:19" x14ac:dyDescent="0.3">
      <c r="A417">
        <v>34</v>
      </c>
      <c r="B417">
        <v>296</v>
      </c>
      <c r="C417" t="s">
        <v>14</v>
      </c>
      <c r="D417" t="s">
        <v>15</v>
      </c>
      <c r="E417">
        <v>33</v>
      </c>
      <c r="F417" t="s">
        <v>24</v>
      </c>
      <c r="G417">
        <v>2351</v>
      </c>
      <c r="H417">
        <v>12253</v>
      </c>
      <c r="I417">
        <v>16</v>
      </c>
      <c r="J417">
        <v>3</v>
      </c>
      <c r="K417">
        <v>2</v>
      </c>
      <c r="L417">
        <v>2</v>
      </c>
      <c r="M417">
        <v>1</v>
      </c>
      <c r="N417">
        <v>0</v>
      </c>
      <c r="P417">
        <f>G417*I417/100</f>
        <v>376.16</v>
      </c>
      <c r="Q417">
        <f t="shared" si="6"/>
        <v>28212</v>
      </c>
      <c r="R417">
        <f>K417/J417</f>
        <v>0.66666666666666663</v>
      </c>
      <c r="S417">
        <v>2020</v>
      </c>
    </row>
    <row r="418" spans="1:19" x14ac:dyDescent="0.3">
      <c r="A418">
        <v>38</v>
      </c>
      <c r="B418">
        <v>1490</v>
      </c>
      <c r="C418" t="s">
        <v>17</v>
      </c>
      <c r="D418" t="s">
        <v>18</v>
      </c>
      <c r="E418">
        <v>42</v>
      </c>
      <c r="F418" t="s">
        <v>20</v>
      </c>
      <c r="G418">
        <v>1702</v>
      </c>
      <c r="H418">
        <v>12106</v>
      </c>
      <c r="I418">
        <v>23</v>
      </c>
      <c r="J418">
        <v>1</v>
      </c>
      <c r="K418">
        <v>1</v>
      </c>
      <c r="L418">
        <v>0</v>
      </c>
      <c r="M418">
        <v>0</v>
      </c>
      <c r="N418">
        <v>0</v>
      </c>
      <c r="P418">
        <f>G418*I418/100</f>
        <v>391.46</v>
      </c>
      <c r="Q418">
        <f t="shared" si="6"/>
        <v>20424</v>
      </c>
      <c r="R418">
        <f>K418/J418</f>
        <v>1</v>
      </c>
      <c r="S418">
        <v>2020</v>
      </c>
    </row>
    <row r="419" spans="1:19" x14ac:dyDescent="0.3">
      <c r="A419">
        <v>40</v>
      </c>
      <c r="B419">
        <v>1398</v>
      </c>
      <c r="C419" t="s">
        <v>14</v>
      </c>
      <c r="D419" t="s">
        <v>15</v>
      </c>
      <c r="E419">
        <v>79</v>
      </c>
      <c r="F419" t="s">
        <v>23</v>
      </c>
      <c r="G419">
        <v>18041</v>
      </c>
      <c r="H419">
        <v>13022</v>
      </c>
      <c r="I419">
        <v>14</v>
      </c>
      <c r="J419">
        <v>21</v>
      </c>
      <c r="K419">
        <v>20</v>
      </c>
      <c r="L419">
        <v>15</v>
      </c>
      <c r="M419">
        <v>1</v>
      </c>
      <c r="N419">
        <v>12</v>
      </c>
      <c r="P419">
        <f>G419*I419/100</f>
        <v>2525.7399999999998</v>
      </c>
      <c r="Q419">
        <f t="shared" si="6"/>
        <v>216492</v>
      </c>
      <c r="R419">
        <f>K419/J419</f>
        <v>0.95238095238095233</v>
      </c>
      <c r="S419">
        <v>2020</v>
      </c>
    </row>
    <row r="420" spans="1:19" x14ac:dyDescent="0.3">
      <c r="A420">
        <v>26</v>
      </c>
      <c r="B420">
        <v>1349</v>
      </c>
      <c r="C420" t="s">
        <v>17</v>
      </c>
      <c r="D420" t="s">
        <v>15</v>
      </c>
      <c r="E420">
        <v>90</v>
      </c>
      <c r="F420" t="s">
        <v>19</v>
      </c>
      <c r="G420">
        <v>2886</v>
      </c>
      <c r="H420">
        <v>3032</v>
      </c>
      <c r="I420">
        <v>22</v>
      </c>
      <c r="J420">
        <v>3</v>
      </c>
      <c r="K420">
        <v>3</v>
      </c>
      <c r="L420">
        <v>2</v>
      </c>
      <c r="M420">
        <v>0</v>
      </c>
      <c r="N420">
        <v>2</v>
      </c>
      <c r="P420">
        <f>G420*I420/100</f>
        <v>634.91999999999996</v>
      </c>
      <c r="Q420">
        <f t="shared" si="6"/>
        <v>34632</v>
      </c>
      <c r="R420">
        <f>K420/J420</f>
        <v>1</v>
      </c>
      <c r="S420">
        <v>2020</v>
      </c>
    </row>
    <row r="421" spans="1:19" x14ac:dyDescent="0.3">
      <c r="A421">
        <v>30</v>
      </c>
      <c r="B421">
        <v>1400</v>
      </c>
      <c r="C421" t="s">
        <v>17</v>
      </c>
      <c r="D421" t="s">
        <v>18</v>
      </c>
      <c r="E421">
        <v>53</v>
      </c>
      <c r="F421" t="s">
        <v>20</v>
      </c>
      <c r="G421">
        <v>2097</v>
      </c>
      <c r="H421">
        <v>16734</v>
      </c>
      <c r="I421">
        <v>15</v>
      </c>
      <c r="J421">
        <v>9</v>
      </c>
      <c r="K421">
        <v>5</v>
      </c>
      <c r="L421">
        <v>3</v>
      </c>
      <c r="M421">
        <v>1</v>
      </c>
      <c r="N421">
        <v>4</v>
      </c>
      <c r="P421">
        <f>G421*I421/100</f>
        <v>314.55</v>
      </c>
      <c r="Q421">
        <f t="shared" si="6"/>
        <v>25164</v>
      </c>
      <c r="R421">
        <f>K421/J421</f>
        <v>0.55555555555555558</v>
      </c>
      <c r="S421">
        <v>2020</v>
      </c>
    </row>
    <row r="422" spans="1:19" x14ac:dyDescent="0.3">
      <c r="A422">
        <v>29</v>
      </c>
      <c r="B422">
        <v>986</v>
      </c>
      <c r="C422" t="s">
        <v>17</v>
      </c>
      <c r="D422" t="s">
        <v>18</v>
      </c>
      <c r="E422">
        <v>93</v>
      </c>
      <c r="F422" t="s">
        <v>25</v>
      </c>
      <c r="G422">
        <v>11935</v>
      </c>
      <c r="H422">
        <v>21526</v>
      </c>
      <c r="I422">
        <v>18</v>
      </c>
      <c r="J422">
        <v>10</v>
      </c>
      <c r="K422">
        <v>10</v>
      </c>
      <c r="L422">
        <v>2</v>
      </c>
      <c r="M422">
        <v>0</v>
      </c>
      <c r="N422">
        <v>7</v>
      </c>
      <c r="P422">
        <f>G422*I422/100</f>
        <v>2148.3000000000002</v>
      </c>
      <c r="Q422">
        <f t="shared" si="6"/>
        <v>143220</v>
      </c>
      <c r="R422">
        <f>K422/J422</f>
        <v>1</v>
      </c>
      <c r="S422">
        <v>2020</v>
      </c>
    </row>
    <row r="423" spans="1:19" x14ac:dyDescent="0.3">
      <c r="A423">
        <v>29</v>
      </c>
      <c r="B423">
        <v>408</v>
      </c>
      <c r="C423" t="s">
        <v>17</v>
      </c>
      <c r="D423" t="s">
        <v>15</v>
      </c>
      <c r="E423">
        <v>71</v>
      </c>
      <c r="F423" t="s">
        <v>19</v>
      </c>
      <c r="G423">
        <v>2546</v>
      </c>
      <c r="H423">
        <v>18300</v>
      </c>
      <c r="I423">
        <v>16</v>
      </c>
      <c r="J423">
        <v>6</v>
      </c>
      <c r="K423">
        <v>2</v>
      </c>
      <c r="L423">
        <v>2</v>
      </c>
      <c r="M423">
        <v>1</v>
      </c>
      <c r="N423">
        <v>1</v>
      </c>
      <c r="P423">
        <f>G423*I423/100</f>
        <v>407.36</v>
      </c>
      <c r="Q423">
        <f t="shared" si="6"/>
        <v>30552</v>
      </c>
      <c r="R423">
        <f>K423/J423</f>
        <v>0.33333333333333331</v>
      </c>
      <c r="S423">
        <v>2020</v>
      </c>
    </row>
    <row r="424" spans="1:19" x14ac:dyDescent="0.3">
      <c r="A424">
        <v>19</v>
      </c>
      <c r="B424">
        <v>489</v>
      </c>
      <c r="C424" t="s">
        <v>26</v>
      </c>
      <c r="D424" t="s">
        <v>18</v>
      </c>
      <c r="E424">
        <v>52</v>
      </c>
      <c r="F424" t="s">
        <v>26</v>
      </c>
      <c r="G424">
        <v>2564</v>
      </c>
      <c r="H424">
        <v>18437</v>
      </c>
      <c r="I424">
        <v>12</v>
      </c>
      <c r="J424">
        <v>1</v>
      </c>
      <c r="K424">
        <v>1</v>
      </c>
      <c r="L424">
        <v>0</v>
      </c>
      <c r="M424">
        <v>0</v>
      </c>
      <c r="N424">
        <v>0</v>
      </c>
      <c r="P424">
        <f>G424*I424/100</f>
        <v>307.68</v>
      </c>
      <c r="Q424">
        <f t="shared" si="6"/>
        <v>30768</v>
      </c>
      <c r="R424">
        <f>K424/J424</f>
        <v>1</v>
      </c>
      <c r="S424">
        <v>2020</v>
      </c>
    </row>
    <row r="425" spans="1:19" x14ac:dyDescent="0.3">
      <c r="A425">
        <v>30</v>
      </c>
      <c r="B425">
        <v>1398</v>
      </c>
      <c r="C425" t="s">
        <v>14</v>
      </c>
      <c r="D425" t="s">
        <v>15</v>
      </c>
      <c r="E425">
        <v>69</v>
      </c>
      <c r="F425" t="s">
        <v>16</v>
      </c>
      <c r="G425">
        <v>8412</v>
      </c>
      <c r="H425">
        <v>2890</v>
      </c>
      <c r="I425">
        <v>11</v>
      </c>
      <c r="J425">
        <v>10</v>
      </c>
      <c r="K425">
        <v>9</v>
      </c>
      <c r="L425">
        <v>8</v>
      </c>
      <c r="M425">
        <v>7</v>
      </c>
      <c r="N425">
        <v>8</v>
      </c>
      <c r="P425">
        <f>G425*I425/100</f>
        <v>925.32</v>
      </c>
      <c r="Q425">
        <f t="shared" si="6"/>
        <v>100944</v>
      </c>
      <c r="R425">
        <f>K425/J425</f>
        <v>0.9</v>
      </c>
      <c r="S425">
        <v>2020</v>
      </c>
    </row>
    <row r="426" spans="1:19" x14ac:dyDescent="0.3">
      <c r="A426">
        <v>57</v>
      </c>
      <c r="B426">
        <v>210</v>
      </c>
      <c r="C426" t="s">
        <v>14</v>
      </c>
      <c r="D426" t="s">
        <v>18</v>
      </c>
      <c r="E426">
        <v>56</v>
      </c>
      <c r="F426" t="s">
        <v>23</v>
      </c>
      <c r="G426">
        <v>14118</v>
      </c>
      <c r="H426">
        <v>22102</v>
      </c>
      <c r="I426">
        <v>12</v>
      </c>
      <c r="J426">
        <v>32</v>
      </c>
      <c r="K426">
        <v>1</v>
      </c>
      <c r="L426">
        <v>0</v>
      </c>
      <c r="M426">
        <v>0</v>
      </c>
      <c r="N426">
        <v>0</v>
      </c>
      <c r="P426">
        <f>G426*I426/100</f>
        <v>1694.16</v>
      </c>
      <c r="Q426">
        <f t="shared" si="6"/>
        <v>169416</v>
      </c>
      <c r="R426">
        <f>K426/J426</f>
        <v>3.125E-2</v>
      </c>
      <c r="S426">
        <v>2020</v>
      </c>
    </row>
    <row r="427" spans="1:19" x14ac:dyDescent="0.3">
      <c r="A427">
        <v>50</v>
      </c>
      <c r="B427">
        <v>1099</v>
      </c>
      <c r="C427" t="s">
        <v>17</v>
      </c>
      <c r="D427" t="s">
        <v>18</v>
      </c>
      <c r="E427">
        <v>88</v>
      </c>
      <c r="F427" t="s">
        <v>23</v>
      </c>
      <c r="G427">
        <v>17046</v>
      </c>
      <c r="H427">
        <v>9314</v>
      </c>
      <c r="I427">
        <v>15</v>
      </c>
      <c r="J427">
        <v>28</v>
      </c>
      <c r="K427">
        <v>27</v>
      </c>
      <c r="L427">
        <v>10</v>
      </c>
      <c r="M427">
        <v>15</v>
      </c>
      <c r="N427">
        <v>7</v>
      </c>
      <c r="P427">
        <f>G427*I427/100</f>
        <v>2556.9</v>
      </c>
      <c r="Q427">
        <f t="shared" si="6"/>
        <v>204552</v>
      </c>
      <c r="R427">
        <f>K427/J427</f>
        <v>0.9642857142857143</v>
      </c>
      <c r="S427">
        <v>2020</v>
      </c>
    </row>
    <row r="428" spans="1:19" x14ac:dyDescent="0.3">
      <c r="A428">
        <v>30</v>
      </c>
      <c r="B428">
        <v>1116</v>
      </c>
      <c r="C428" t="s">
        <v>17</v>
      </c>
      <c r="D428" t="s">
        <v>15</v>
      </c>
      <c r="E428">
        <v>49</v>
      </c>
      <c r="F428" t="s">
        <v>20</v>
      </c>
      <c r="G428">
        <v>2564</v>
      </c>
      <c r="H428">
        <v>7181</v>
      </c>
      <c r="I428">
        <v>14</v>
      </c>
      <c r="J428">
        <v>12</v>
      </c>
      <c r="K428">
        <v>11</v>
      </c>
      <c r="L428">
        <v>7</v>
      </c>
      <c r="M428">
        <v>6</v>
      </c>
      <c r="N428">
        <v>7</v>
      </c>
      <c r="P428">
        <f>G428*I428/100</f>
        <v>358.96</v>
      </c>
      <c r="Q428">
        <f t="shared" si="6"/>
        <v>30768</v>
      </c>
      <c r="R428">
        <f>K428/J428</f>
        <v>0.91666666666666663</v>
      </c>
      <c r="S428">
        <v>2020</v>
      </c>
    </row>
    <row r="429" spans="1:19" x14ac:dyDescent="0.3">
      <c r="A429">
        <v>60</v>
      </c>
      <c r="B429">
        <v>1499</v>
      </c>
      <c r="C429" t="s">
        <v>14</v>
      </c>
      <c r="D429" t="s">
        <v>15</v>
      </c>
      <c r="E429">
        <v>80</v>
      </c>
      <c r="F429" t="s">
        <v>16</v>
      </c>
      <c r="G429">
        <v>10266</v>
      </c>
      <c r="H429">
        <v>2845</v>
      </c>
      <c r="I429">
        <v>19</v>
      </c>
      <c r="J429">
        <v>22</v>
      </c>
      <c r="K429">
        <v>18</v>
      </c>
      <c r="L429">
        <v>13</v>
      </c>
      <c r="M429">
        <v>13</v>
      </c>
      <c r="N429">
        <v>11</v>
      </c>
      <c r="P429">
        <f>G429*I429/100</f>
        <v>1950.54</v>
      </c>
      <c r="Q429">
        <f t="shared" si="6"/>
        <v>123192</v>
      </c>
      <c r="R429">
        <f>K429/J429</f>
        <v>0.81818181818181823</v>
      </c>
      <c r="S429">
        <v>2020</v>
      </c>
    </row>
    <row r="430" spans="1:19" x14ac:dyDescent="0.3">
      <c r="A430">
        <v>47</v>
      </c>
      <c r="B430">
        <v>983</v>
      </c>
      <c r="C430" t="s">
        <v>17</v>
      </c>
      <c r="D430" t="s">
        <v>15</v>
      </c>
      <c r="E430">
        <v>65</v>
      </c>
      <c r="F430" t="s">
        <v>21</v>
      </c>
      <c r="G430">
        <v>5070</v>
      </c>
      <c r="H430">
        <v>7389</v>
      </c>
      <c r="I430">
        <v>13</v>
      </c>
      <c r="J430">
        <v>20</v>
      </c>
      <c r="K430">
        <v>5</v>
      </c>
      <c r="L430">
        <v>0</v>
      </c>
      <c r="M430">
        <v>0</v>
      </c>
      <c r="N430">
        <v>4</v>
      </c>
      <c r="P430">
        <f>G430*I430/100</f>
        <v>659.1</v>
      </c>
      <c r="Q430">
        <f t="shared" si="6"/>
        <v>60840</v>
      </c>
      <c r="R430">
        <f>K430/J430</f>
        <v>0.25</v>
      </c>
      <c r="S430">
        <v>2020</v>
      </c>
    </row>
    <row r="431" spans="1:19" x14ac:dyDescent="0.3">
      <c r="A431">
        <v>46</v>
      </c>
      <c r="B431">
        <v>1009</v>
      </c>
      <c r="C431" t="s">
        <v>17</v>
      </c>
      <c r="D431" t="s">
        <v>18</v>
      </c>
      <c r="E431">
        <v>51</v>
      </c>
      <c r="F431" t="s">
        <v>25</v>
      </c>
      <c r="G431">
        <v>17861</v>
      </c>
      <c r="H431">
        <v>2288</v>
      </c>
      <c r="I431">
        <v>13</v>
      </c>
      <c r="J431">
        <v>26</v>
      </c>
      <c r="K431">
        <v>3</v>
      </c>
      <c r="L431">
        <v>2</v>
      </c>
      <c r="M431">
        <v>0</v>
      </c>
      <c r="N431">
        <v>1</v>
      </c>
      <c r="P431">
        <f>G431*I431/100</f>
        <v>2321.9299999999998</v>
      </c>
      <c r="Q431">
        <f t="shared" si="6"/>
        <v>214332</v>
      </c>
      <c r="R431">
        <f>K431/J431</f>
        <v>0.11538461538461539</v>
      </c>
      <c r="S431">
        <v>2020</v>
      </c>
    </row>
    <row r="432" spans="1:19" x14ac:dyDescent="0.3">
      <c r="A432">
        <v>35</v>
      </c>
      <c r="B432">
        <v>144</v>
      </c>
      <c r="C432" t="s">
        <v>17</v>
      </c>
      <c r="D432" t="s">
        <v>18</v>
      </c>
      <c r="E432">
        <v>46</v>
      </c>
      <c r="F432" t="s">
        <v>20</v>
      </c>
      <c r="G432">
        <v>4230</v>
      </c>
      <c r="H432">
        <v>19225</v>
      </c>
      <c r="I432">
        <v>15</v>
      </c>
      <c r="J432">
        <v>6</v>
      </c>
      <c r="K432">
        <v>5</v>
      </c>
      <c r="L432">
        <v>4</v>
      </c>
      <c r="M432">
        <v>4</v>
      </c>
      <c r="N432">
        <v>3</v>
      </c>
      <c r="P432">
        <f>G432*I432/100</f>
        <v>634.5</v>
      </c>
      <c r="Q432">
        <f t="shared" si="6"/>
        <v>50760</v>
      </c>
      <c r="R432">
        <f>K432/J432</f>
        <v>0.83333333333333337</v>
      </c>
      <c r="S432">
        <v>2020</v>
      </c>
    </row>
    <row r="433" spans="1:19" x14ac:dyDescent="0.3">
      <c r="A433">
        <v>54</v>
      </c>
      <c r="B433">
        <v>548</v>
      </c>
      <c r="C433" t="s">
        <v>17</v>
      </c>
      <c r="D433" t="s">
        <v>15</v>
      </c>
      <c r="E433">
        <v>42</v>
      </c>
      <c r="F433" t="s">
        <v>20</v>
      </c>
      <c r="G433">
        <v>3780</v>
      </c>
      <c r="H433">
        <v>23428</v>
      </c>
      <c r="I433">
        <v>11</v>
      </c>
      <c r="J433">
        <v>19</v>
      </c>
      <c r="K433">
        <v>1</v>
      </c>
      <c r="L433">
        <v>0</v>
      </c>
      <c r="M433">
        <v>0</v>
      </c>
      <c r="N433">
        <v>0</v>
      </c>
      <c r="P433">
        <f>G433*I433/100</f>
        <v>415.8</v>
      </c>
      <c r="Q433">
        <f t="shared" si="6"/>
        <v>45360</v>
      </c>
      <c r="R433">
        <f>K433/J433</f>
        <v>5.2631578947368418E-2</v>
      </c>
      <c r="S433">
        <v>2020</v>
      </c>
    </row>
    <row r="434" spans="1:19" x14ac:dyDescent="0.3">
      <c r="A434">
        <v>34</v>
      </c>
      <c r="B434">
        <v>1303</v>
      </c>
      <c r="C434" t="s">
        <v>17</v>
      </c>
      <c r="D434" t="s">
        <v>18</v>
      </c>
      <c r="E434">
        <v>62</v>
      </c>
      <c r="F434" t="s">
        <v>19</v>
      </c>
      <c r="G434">
        <v>2768</v>
      </c>
      <c r="H434">
        <v>8416</v>
      </c>
      <c r="I434">
        <v>12</v>
      </c>
      <c r="J434">
        <v>14</v>
      </c>
      <c r="K434">
        <v>7</v>
      </c>
      <c r="L434">
        <v>3</v>
      </c>
      <c r="M434">
        <v>5</v>
      </c>
      <c r="N434">
        <v>7</v>
      </c>
      <c r="P434">
        <f>G434*I434/100</f>
        <v>332.16</v>
      </c>
      <c r="Q434">
        <f t="shared" si="6"/>
        <v>33216</v>
      </c>
      <c r="R434">
        <f>K434/J434</f>
        <v>0.5</v>
      </c>
      <c r="S434">
        <v>2020</v>
      </c>
    </row>
    <row r="435" spans="1:19" x14ac:dyDescent="0.3">
      <c r="A435">
        <v>46</v>
      </c>
      <c r="B435">
        <v>1125</v>
      </c>
      <c r="C435" t="s">
        <v>14</v>
      </c>
      <c r="D435" t="s">
        <v>15</v>
      </c>
      <c r="E435">
        <v>94</v>
      </c>
      <c r="F435" t="s">
        <v>16</v>
      </c>
      <c r="G435">
        <v>9071</v>
      </c>
      <c r="H435">
        <v>11563</v>
      </c>
      <c r="I435">
        <v>19</v>
      </c>
      <c r="J435">
        <v>15</v>
      </c>
      <c r="K435">
        <v>3</v>
      </c>
      <c r="L435">
        <v>2</v>
      </c>
      <c r="M435">
        <v>1</v>
      </c>
      <c r="N435">
        <v>2</v>
      </c>
      <c r="P435">
        <f>G435*I435/100</f>
        <v>1723.49</v>
      </c>
      <c r="Q435">
        <f t="shared" si="6"/>
        <v>108852</v>
      </c>
      <c r="R435">
        <f>K435/J435</f>
        <v>0.2</v>
      </c>
      <c r="S435">
        <v>2020</v>
      </c>
    </row>
    <row r="436" spans="1:19" x14ac:dyDescent="0.3">
      <c r="A436">
        <v>31</v>
      </c>
      <c r="B436">
        <v>1274</v>
      </c>
      <c r="C436" t="s">
        <v>17</v>
      </c>
      <c r="D436" t="s">
        <v>18</v>
      </c>
      <c r="E436">
        <v>33</v>
      </c>
      <c r="F436" t="s">
        <v>21</v>
      </c>
      <c r="G436">
        <v>10648</v>
      </c>
      <c r="H436">
        <v>14394</v>
      </c>
      <c r="I436">
        <v>25</v>
      </c>
      <c r="J436">
        <v>13</v>
      </c>
      <c r="K436">
        <v>13</v>
      </c>
      <c r="L436">
        <v>8</v>
      </c>
      <c r="M436">
        <v>0</v>
      </c>
      <c r="N436">
        <v>8</v>
      </c>
      <c r="P436">
        <f>G436*I436/100</f>
        <v>2662</v>
      </c>
      <c r="Q436">
        <f t="shared" si="6"/>
        <v>127776</v>
      </c>
      <c r="R436">
        <f>K436/J436</f>
        <v>1</v>
      </c>
      <c r="S436">
        <v>2020</v>
      </c>
    </row>
    <row r="437" spans="1:19" x14ac:dyDescent="0.3">
      <c r="A437">
        <v>33</v>
      </c>
      <c r="B437">
        <v>1277</v>
      </c>
      <c r="C437" t="s">
        <v>17</v>
      </c>
      <c r="D437" t="s">
        <v>18</v>
      </c>
      <c r="E437">
        <v>56</v>
      </c>
      <c r="F437" t="s">
        <v>23</v>
      </c>
      <c r="G437">
        <v>13610</v>
      </c>
      <c r="H437">
        <v>24619</v>
      </c>
      <c r="I437">
        <v>12</v>
      </c>
      <c r="J437">
        <v>15</v>
      </c>
      <c r="K437">
        <v>7</v>
      </c>
      <c r="L437">
        <v>6</v>
      </c>
      <c r="M437">
        <v>7</v>
      </c>
      <c r="N437">
        <v>7</v>
      </c>
      <c r="P437">
        <f>G437*I437/100</f>
        <v>1633.2</v>
      </c>
      <c r="Q437">
        <f t="shared" si="6"/>
        <v>163320</v>
      </c>
      <c r="R437">
        <f>K437/J437</f>
        <v>0.46666666666666667</v>
      </c>
      <c r="S437">
        <v>2020</v>
      </c>
    </row>
    <row r="438" spans="1:19" x14ac:dyDescent="0.3">
      <c r="A438">
        <v>33</v>
      </c>
      <c r="B438">
        <v>587</v>
      </c>
      <c r="C438" t="s">
        <v>17</v>
      </c>
      <c r="D438" t="s">
        <v>18</v>
      </c>
      <c r="E438">
        <v>38</v>
      </c>
      <c r="F438" t="s">
        <v>20</v>
      </c>
      <c r="G438">
        <v>3408</v>
      </c>
      <c r="H438">
        <v>6705</v>
      </c>
      <c r="I438">
        <v>13</v>
      </c>
      <c r="J438">
        <v>8</v>
      </c>
      <c r="K438">
        <v>4</v>
      </c>
      <c r="L438">
        <v>3</v>
      </c>
      <c r="M438">
        <v>1</v>
      </c>
      <c r="N438">
        <v>3</v>
      </c>
      <c r="P438">
        <f>G438*I438/100</f>
        <v>443.04</v>
      </c>
      <c r="Q438">
        <f t="shared" si="6"/>
        <v>40896</v>
      </c>
      <c r="R438">
        <f>K438/J438</f>
        <v>0.5</v>
      </c>
      <c r="S438">
        <v>2020</v>
      </c>
    </row>
    <row r="439" spans="1:19" x14ac:dyDescent="0.3">
      <c r="A439">
        <v>30</v>
      </c>
      <c r="B439">
        <v>413</v>
      </c>
      <c r="C439" t="s">
        <v>14</v>
      </c>
      <c r="D439" t="s">
        <v>18</v>
      </c>
      <c r="E439">
        <v>57</v>
      </c>
      <c r="F439" t="s">
        <v>24</v>
      </c>
      <c r="G439">
        <v>2983</v>
      </c>
      <c r="H439">
        <v>18398</v>
      </c>
      <c r="I439">
        <v>14</v>
      </c>
      <c r="J439">
        <v>4</v>
      </c>
      <c r="K439">
        <v>3</v>
      </c>
      <c r="L439">
        <v>2</v>
      </c>
      <c r="M439">
        <v>1</v>
      </c>
      <c r="N439">
        <v>2</v>
      </c>
      <c r="P439">
        <f>G439*I439/100</f>
        <v>417.62</v>
      </c>
      <c r="Q439">
        <f t="shared" si="6"/>
        <v>35796</v>
      </c>
      <c r="R439">
        <f>K439/J439</f>
        <v>0.75</v>
      </c>
      <c r="S439">
        <v>2020</v>
      </c>
    </row>
    <row r="440" spans="1:19" x14ac:dyDescent="0.3">
      <c r="A440">
        <v>35</v>
      </c>
      <c r="B440">
        <v>1276</v>
      </c>
      <c r="C440" t="s">
        <v>17</v>
      </c>
      <c r="D440" t="s">
        <v>18</v>
      </c>
      <c r="E440">
        <v>72</v>
      </c>
      <c r="F440" t="s">
        <v>22</v>
      </c>
      <c r="G440">
        <v>7632</v>
      </c>
      <c r="H440">
        <v>14295</v>
      </c>
      <c r="I440">
        <v>12</v>
      </c>
      <c r="J440">
        <v>10</v>
      </c>
      <c r="K440">
        <v>8</v>
      </c>
      <c r="L440">
        <v>7</v>
      </c>
      <c r="M440">
        <v>0</v>
      </c>
      <c r="N440">
        <v>0</v>
      </c>
      <c r="P440">
        <f>G440*I440/100</f>
        <v>915.84</v>
      </c>
      <c r="Q440">
        <f t="shared" si="6"/>
        <v>91584</v>
      </c>
      <c r="R440">
        <f>K440/J440</f>
        <v>0.8</v>
      </c>
      <c r="S440">
        <v>2020</v>
      </c>
    </row>
    <row r="441" spans="1:19" x14ac:dyDescent="0.3">
      <c r="A441">
        <v>31</v>
      </c>
      <c r="B441">
        <v>534</v>
      </c>
      <c r="C441" t="s">
        <v>17</v>
      </c>
      <c r="D441" t="s">
        <v>18</v>
      </c>
      <c r="E441">
        <v>66</v>
      </c>
      <c r="F441" t="s">
        <v>22</v>
      </c>
      <c r="G441">
        <v>9824</v>
      </c>
      <c r="H441">
        <v>22908</v>
      </c>
      <c r="I441">
        <v>12</v>
      </c>
      <c r="J441">
        <v>12</v>
      </c>
      <c r="K441">
        <v>1</v>
      </c>
      <c r="L441">
        <v>0</v>
      </c>
      <c r="M441">
        <v>0</v>
      </c>
      <c r="N441">
        <v>0</v>
      </c>
      <c r="P441">
        <f>G441*I441/100</f>
        <v>1178.8800000000001</v>
      </c>
      <c r="Q441">
        <f t="shared" si="6"/>
        <v>117888</v>
      </c>
      <c r="R441">
        <f>K441/J441</f>
        <v>8.3333333333333329E-2</v>
      </c>
      <c r="S441">
        <v>2020</v>
      </c>
    </row>
    <row r="442" spans="1:19" x14ac:dyDescent="0.3">
      <c r="A442">
        <v>34</v>
      </c>
      <c r="B442">
        <v>988</v>
      </c>
      <c r="C442" t="s">
        <v>26</v>
      </c>
      <c r="D442" t="s">
        <v>15</v>
      </c>
      <c r="E442">
        <v>43</v>
      </c>
      <c r="F442" t="s">
        <v>26</v>
      </c>
      <c r="G442">
        <v>9950</v>
      </c>
      <c r="H442">
        <v>11533</v>
      </c>
      <c r="I442">
        <v>15</v>
      </c>
      <c r="J442">
        <v>11</v>
      </c>
      <c r="K442">
        <v>3</v>
      </c>
      <c r="L442">
        <v>2</v>
      </c>
      <c r="M442">
        <v>0</v>
      </c>
      <c r="N442">
        <v>2</v>
      </c>
      <c r="P442">
        <f>G442*I442/100</f>
        <v>1492.5</v>
      </c>
      <c r="Q442">
        <f t="shared" si="6"/>
        <v>119400</v>
      </c>
      <c r="R442">
        <f>K442/J442</f>
        <v>0.27272727272727271</v>
      </c>
      <c r="S442">
        <v>2020</v>
      </c>
    </row>
    <row r="443" spans="1:19" x14ac:dyDescent="0.3">
      <c r="A443">
        <v>42</v>
      </c>
      <c r="B443">
        <v>1474</v>
      </c>
      <c r="C443" t="s">
        <v>17</v>
      </c>
      <c r="D443" t="s">
        <v>18</v>
      </c>
      <c r="E443">
        <v>97</v>
      </c>
      <c r="F443" t="s">
        <v>20</v>
      </c>
      <c r="G443">
        <v>2093</v>
      </c>
      <c r="H443">
        <v>9260</v>
      </c>
      <c r="I443">
        <v>17</v>
      </c>
      <c r="J443">
        <v>8</v>
      </c>
      <c r="K443">
        <v>2</v>
      </c>
      <c r="L443">
        <v>2</v>
      </c>
      <c r="M443">
        <v>2</v>
      </c>
      <c r="N443">
        <v>0</v>
      </c>
      <c r="P443">
        <f>G443*I443/100</f>
        <v>355.81</v>
      </c>
      <c r="Q443">
        <f t="shared" si="6"/>
        <v>25116</v>
      </c>
      <c r="R443">
        <f>K443/J443</f>
        <v>0.25</v>
      </c>
      <c r="S443">
        <v>2020</v>
      </c>
    </row>
    <row r="444" spans="1:19" x14ac:dyDescent="0.3">
      <c r="A444">
        <v>36</v>
      </c>
      <c r="B444">
        <v>635</v>
      </c>
      <c r="C444" t="s">
        <v>14</v>
      </c>
      <c r="D444" t="s">
        <v>18</v>
      </c>
      <c r="E444">
        <v>32</v>
      </c>
      <c r="F444" t="s">
        <v>16</v>
      </c>
      <c r="G444">
        <v>9980</v>
      </c>
      <c r="H444">
        <v>15318</v>
      </c>
      <c r="I444">
        <v>14</v>
      </c>
      <c r="J444">
        <v>10</v>
      </c>
      <c r="K444">
        <v>10</v>
      </c>
      <c r="L444">
        <v>3</v>
      </c>
      <c r="M444">
        <v>9</v>
      </c>
      <c r="N444">
        <v>7</v>
      </c>
      <c r="P444">
        <f>G444*I444/100</f>
        <v>1397.2</v>
      </c>
      <c r="Q444">
        <f t="shared" si="6"/>
        <v>119760</v>
      </c>
      <c r="R444">
        <f>K444/J444</f>
        <v>1</v>
      </c>
      <c r="S444">
        <v>2020</v>
      </c>
    </row>
    <row r="445" spans="1:19" x14ac:dyDescent="0.3">
      <c r="A445">
        <v>22</v>
      </c>
      <c r="B445">
        <v>1368</v>
      </c>
      <c r="C445" t="s">
        <v>17</v>
      </c>
      <c r="D445" t="s">
        <v>18</v>
      </c>
      <c r="E445">
        <v>99</v>
      </c>
      <c r="F445" t="s">
        <v>20</v>
      </c>
      <c r="G445">
        <v>3894</v>
      </c>
      <c r="H445">
        <v>9129</v>
      </c>
      <c r="I445">
        <v>16</v>
      </c>
      <c r="J445">
        <v>4</v>
      </c>
      <c r="K445">
        <v>2</v>
      </c>
      <c r="L445">
        <v>2</v>
      </c>
      <c r="M445">
        <v>1</v>
      </c>
      <c r="N445">
        <v>2</v>
      </c>
      <c r="P445">
        <f>G445*I445/100</f>
        <v>623.04</v>
      </c>
      <c r="Q445">
        <f t="shared" si="6"/>
        <v>46728</v>
      </c>
      <c r="R445">
        <f>K445/J445</f>
        <v>0.5</v>
      </c>
      <c r="S445">
        <v>2020</v>
      </c>
    </row>
    <row r="446" spans="1:19" x14ac:dyDescent="0.3">
      <c r="A446">
        <v>48</v>
      </c>
      <c r="B446">
        <v>163</v>
      </c>
      <c r="C446" t="s">
        <v>14</v>
      </c>
      <c r="D446" t="s">
        <v>15</v>
      </c>
      <c r="E446">
        <v>37</v>
      </c>
      <c r="F446" t="s">
        <v>16</v>
      </c>
      <c r="G446">
        <v>4051</v>
      </c>
      <c r="H446">
        <v>19658</v>
      </c>
      <c r="I446">
        <v>14</v>
      </c>
      <c r="J446">
        <v>14</v>
      </c>
      <c r="K446">
        <v>9</v>
      </c>
      <c r="L446">
        <v>7</v>
      </c>
      <c r="M446">
        <v>6</v>
      </c>
      <c r="N446">
        <v>7</v>
      </c>
      <c r="P446">
        <f>G446*I446/100</f>
        <v>567.14</v>
      </c>
      <c r="Q446">
        <f t="shared" si="6"/>
        <v>48612</v>
      </c>
      <c r="R446">
        <f>K446/J446</f>
        <v>0.6428571428571429</v>
      </c>
      <c r="S446">
        <v>2020</v>
      </c>
    </row>
    <row r="447" spans="1:19" x14ac:dyDescent="0.3">
      <c r="A447">
        <v>55</v>
      </c>
      <c r="B447">
        <v>1117</v>
      </c>
      <c r="C447" t="s">
        <v>14</v>
      </c>
      <c r="D447" t="s">
        <v>15</v>
      </c>
      <c r="E447">
        <v>83</v>
      </c>
      <c r="F447" t="s">
        <v>23</v>
      </c>
      <c r="G447">
        <v>16835</v>
      </c>
      <c r="H447">
        <v>9873</v>
      </c>
      <c r="I447">
        <v>23</v>
      </c>
      <c r="J447">
        <v>37</v>
      </c>
      <c r="K447">
        <v>10</v>
      </c>
      <c r="L447">
        <v>9</v>
      </c>
      <c r="M447">
        <v>7</v>
      </c>
      <c r="N447">
        <v>7</v>
      </c>
      <c r="P447">
        <f>G447*I447/100</f>
        <v>3872.05</v>
      </c>
      <c r="Q447">
        <f t="shared" si="6"/>
        <v>202020</v>
      </c>
      <c r="R447">
        <f>K447/J447</f>
        <v>0.27027027027027029</v>
      </c>
      <c r="S447">
        <v>2020</v>
      </c>
    </row>
    <row r="448" spans="1:19" x14ac:dyDescent="0.3">
      <c r="A448">
        <v>41</v>
      </c>
      <c r="B448">
        <v>267</v>
      </c>
      <c r="C448" t="s">
        <v>14</v>
      </c>
      <c r="D448" t="s">
        <v>18</v>
      </c>
      <c r="E448">
        <v>56</v>
      </c>
      <c r="F448" t="s">
        <v>16</v>
      </c>
      <c r="G448">
        <v>6230</v>
      </c>
      <c r="H448">
        <v>13430</v>
      </c>
      <c r="I448">
        <v>14</v>
      </c>
      <c r="J448">
        <v>16</v>
      </c>
      <c r="K448">
        <v>14</v>
      </c>
      <c r="L448">
        <v>3</v>
      </c>
      <c r="M448">
        <v>1</v>
      </c>
      <c r="N448">
        <v>10</v>
      </c>
      <c r="P448">
        <f>G448*I448/100</f>
        <v>872.2</v>
      </c>
      <c r="Q448">
        <f t="shared" si="6"/>
        <v>74760</v>
      </c>
      <c r="R448">
        <f>K448/J448</f>
        <v>0.875</v>
      </c>
      <c r="S448">
        <v>2020</v>
      </c>
    </row>
    <row r="449" spans="1:19" x14ac:dyDescent="0.3">
      <c r="A449">
        <v>35</v>
      </c>
      <c r="B449">
        <v>619</v>
      </c>
      <c r="C449" t="s">
        <v>14</v>
      </c>
      <c r="D449" t="s">
        <v>18</v>
      </c>
      <c r="E449">
        <v>85</v>
      </c>
      <c r="F449" t="s">
        <v>16</v>
      </c>
      <c r="G449">
        <v>4717</v>
      </c>
      <c r="H449">
        <v>18659</v>
      </c>
      <c r="I449">
        <v>11</v>
      </c>
      <c r="J449">
        <v>15</v>
      </c>
      <c r="K449">
        <v>11</v>
      </c>
      <c r="L449">
        <v>9</v>
      </c>
      <c r="M449">
        <v>6</v>
      </c>
      <c r="N449">
        <v>9</v>
      </c>
      <c r="P449">
        <f>G449*I449/100</f>
        <v>518.87</v>
      </c>
      <c r="Q449">
        <f t="shared" si="6"/>
        <v>56604</v>
      </c>
      <c r="R449">
        <f>K449/J449</f>
        <v>0.73333333333333328</v>
      </c>
      <c r="S449">
        <v>2020</v>
      </c>
    </row>
    <row r="450" spans="1:19" x14ac:dyDescent="0.3">
      <c r="A450">
        <v>40</v>
      </c>
      <c r="B450">
        <v>302</v>
      </c>
      <c r="C450" t="s">
        <v>17</v>
      </c>
      <c r="D450" t="s">
        <v>15</v>
      </c>
      <c r="E450">
        <v>75</v>
      </c>
      <c r="F450" t="s">
        <v>21</v>
      </c>
      <c r="G450">
        <v>13237</v>
      </c>
      <c r="H450">
        <v>20364</v>
      </c>
      <c r="I450">
        <v>15</v>
      </c>
      <c r="J450">
        <v>22</v>
      </c>
      <c r="K450">
        <v>20</v>
      </c>
      <c r="L450">
        <v>6</v>
      </c>
      <c r="M450">
        <v>5</v>
      </c>
      <c r="N450">
        <v>13</v>
      </c>
      <c r="P450">
        <f>G450*I450/100</f>
        <v>1985.55</v>
      </c>
      <c r="Q450">
        <f t="shared" si="6"/>
        <v>158844</v>
      </c>
      <c r="R450">
        <f>K450/J450</f>
        <v>0.90909090909090906</v>
      </c>
      <c r="S450">
        <v>2020</v>
      </c>
    </row>
    <row r="451" spans="1:19" x14ac:dyDescent="0.3">
      <c r="A451">
        <v>39</v>
      </c>
      <c r="B451">
        <v>443</v>
      </c>
      <c r="C451" t="s">
        <v>17</v>
      </c>
      <c r="D451" t="s">
        <v>15</v>
      </c>
      <c r="E451">
        <v>48</v>
      </c>
      <c r="F451" t="s">
        <v>20</v>
      </c>
      <c r="G451">
        <v>3755</v>
      </c>
      <c r="H451">
        <v>17872</v>
      </c>
      <c r="I451">
        <v>11</v>
      </c>
      <c r="J451">
        <v>8</v>
      </c>
      <c r="K451">
        <v>8</v>
      </c>
      <c r="L451">
        <v>3</v>
      </c>
      <c r="M451">
        <v>0</v>
      </c>
      <c r="N451">
        <v>7</v>
      </c>
      <c r="P451">
        <f>G451*I451/100</f>
        <v>413.05</v>
      </c>
      <c r="Q451">
        <f t="shared" ref="Q451:Q514" si="7">G451*12</f>
        <v>45060</v>
      </c>
      <c r="R451">
        <f>K451/J451</f>
        <v>1</v>
      </c>
      <c r="S451">
        <v>2020</v>
      </c>
    </row>
    <row r="452" spans="1:19" x14ac:dyDescent="0.3">
      <c r="A452">
        <v>31</v>
      </c>
      <c r="B452">
        <v>828</v>
      </c>
      <c r="C452" t="s">
        <v>14</v>
      </c>
      <c r="D452" t="s">
        <v>18</v>
      </c>
      <c r="E452">
        <v>77</v>
      </c>
      <c r="F452" t="s">
        <v>16</v>
      </c>
      <c r="G452">
        <v>6582</v>
      </c>
      <c r="H452">
        <v>8346</v>
      </c>
      <c r="I452">
        <v>13</v>
      </c>
      <c r="J452">
        <v>10</v>
      </c>
      <c r="K452">
        <v>6</v>
      </c>
      <c r="L452">
        <v>5</v>
      </c>
      <c r="M452">
        <v>0</v>
      </c>
      <c r="N452">
        <v>5</v>
      </c>
      <c r="P452">
        <f>G452*I452/100</f>
        <v>855.66</v>
      </c>
      <c r="Q452">
        <f t="shared" si="7"/>
        <v>78984</v>
      </c>
      <c r="R452">
        <f>K452/J452</f>
        <v>0.6</v>
      </c>
      <c r="S452">
        <v>2020</v>
      </c>
    </row>
    <row r="453" spans="1:19" x14ac:dyDescent="0.3">
      <c r="A453">
        <v>42</v>
      </c>
      <c r="B453">
        <v>319</v>
      </c>
      <c r="C453" t="s">
        <v>17</v>
      </c>
      <c r="D453" t="s">
        <v>18</v>
      </c>
      <c r="E453">
        <v>56</v>
      </c>
      <c r="F453" t="s">
        <v>21</v>
      </c>
      <c r="G453">
        <v>7406</v>
      </c>
      <c r="H453">
        <v>6950</v>
      </c>
      <c r="I453">
        <v>21</v>
      </c>
      <c r="J453">
        <v>10</v>
      </c>
      <c r="K453">
        <v>10</v>
      </c>
      <c r="L453">
        <v>9</v>
      </c>
      <c r="M453">
        <v>5</v>
      </c>
      <c r="N453">
        <v>8</v>
      </c>
      <c r="P453">
        <f>G453*I453/100</f>
        <v>1555.26</v>
      </c>
      <c r="Q453">
        <f t="shared" si="7"/>
        <v>88872</v>
      </c>
      <c r="R453">
        <f>K453/J453</f>
        <v>1</v>
      </c>
      <c r="S453">
        <v>2020</v>
      </c>
    </row>
    <row r="454" spans="1:19" x14ac:dyDescent="0.3">
      <c r="A454">
        <v>45</v>
      </c>
      <c r="B454">
        <v>561</v>
      </c>
      <c r="C454" t="s">
        <v>14</v>
      </c>
      <c r="D454" t="s">
        <v>18</v>
      </c>
      <c r="E454">
        <v>61</v>
      </c>
      <c r="F454" t="s">
        <v>16</v>
      </c>
      <c r="G454">
        <v>4805</v>
      </c>
      <c r="H454">
        <v>16177</v>
      </c>
      <c r="I454">
        <v>19</v>
      </c>
      <c r="J454">
        <v>9</v>
      </c>
      <c r="K454">
        <v>8</v>
      </c>
      <c r="L454">
        <v>7</v>
      </c>
      <c r="M454">
        <v>3</v>
      </c>
      <c r="N454">
        <v>7</v>
      </c>
      <c r="P454">
        <f>G454*I454/100</f>
        <v>912.95</v>
      </c>
      <c r="Q454">
        <f t="shared" si="7"/>
        <v>57660</v>
      </c>
      <c r="R454">
        <f>K454/J454</f>
        <v>0.88888888888888884</v>
      </c>
      <c r="S454">
        <v>2020</v>
      </c>
    </row>
    <row r="455" spans="1:19" x14ac:dyDescent="0.3">
      <c r="A455">
        <v>26</v>
      </c>
      <c r="B455">
        <v>426</v>
      </c>
      <c r="C455" t="s">
        <v>26</v>
      </c>
      <c r="D455" t="s">
        <v>15</v>
      </c>
      <c r="E455">
        <v>58</v>
      </c>
      <c r="F455" t="s">
        <v>26</v>
      </c>
      <c r="G455">
        <v>2741</v>
      </c>
      <c r="H455">
        <v>22808</v>
      </c>
      <c r="I455">
        <v>11</v>
      </c>
      <c r="J455">
        <v>8</v>
      </c>
      <c r="K455">
        <v>7</v>
      </c>
      <c r="L455">
        <v>7</v>
      </c>
      <c r="M455">
        <v>1</v>
      </c>
      <c r="N455">
        <v>0</v>
      </c>
      <c r="P455">
        <f>G455*I455/100</f>
        <v>301.51</v>
      </c>
      <c r="Q455">
        <f t="shared" si="7"/>
        <v>32892</v>
      </c>
      <c r="R455">
        <f>K455/J455</f>
        <v>0.875</v>
      </c>
      <c r="S455">
        <v>2020</v>
      </c>
    </row>
    <row r="456" spans="1:19" x14ac:dyDescent="0.3">
      <c r="A456">
        <v>29</v>
      </c>
      <c r="B456">
        <v>232</v>
      </c>
      <c r="C456" t="s">
        <v>17</v>
      </c>
      <c r="D456" t="s">
        <v>18</v>
      </c>
      <c r="E456">
        <v>34</v>
      </c>
      <c r="F456" t="s">
        <v>21</v>
      </c>
      <c r="G456">
        <v>4262</v>
      </c>
      <c r="H456">
        <v>22645</v>
      </c>
      <c r="I456">
        <v>12</v>
      </c>
      <c r="J456">
        <v>8</v>
      </c>
      <c r="K456">
        <v>3</v>
      </c>
      <c r="L456">
        <v>2</v>
      </c>
      <c r="M456">
        <v>1</v>
      </c>
      <c r="N456">
        <v>2</v>
      </c>
      <c r="P456">
        <f>G456*I456/100</f>
        <v>511.44</v>
      </c>
      <c r="Q456">
        <f t="shared" si="7"/>
        <v>51144</v>
      </c>
      <c r="R456">
        <f>K456/J456</f>
        <v>0.375</v>
      </c>
      <c r="S456">
        <v>2020</v>
      </c>
    </row>
    <row r="457" spans="1:19" x14ac:dyDescent="0.3">
      <c r="A457">
        <v>33</v>
      </c>
      <c r="B457">
        <v>922</v>
      </c>
      <c r="C457" t="s">
        <v>17</v>
      </c>
      <c r="D457" t="s">
        <v>15</v>
      </c>
      <c r="E457">
        <v>95</v>
      </c>
      <c r="F457" t="s">
        <v>25</v>
      </c>
      <c r="G457">
        <v>16184</v>
      </c>
      <c r="H457">
        <v>22578</v>
      </c>
      <c r="I457">
        <v>19</v>
      </c>
      <c r="J457">
        <v>10</v>
      </c>
      <c r="K457">
        <v>6</v>
      </c>
      <c r="L457">
        <v>1</v>
      </c>
      <c r="M457">
        <v>0</v>
      </c>
      <c r="N457">
        <v>5</v>
      </c>
      <c r="P457">
        <f>G457*I457/100</f>
        <v>3074.96</v>
      </c>
      <c r="Q457">
        <f t="shared" si="7"/>
        <v>194208</v>
      </c>
      <c r="R457">
        <f>K457/J457</f>
        <v>0.6</v>
      </c>
      <c r="S457">
        <v>2020</v>
      </c>
    </row>
    <row r="458" spans="1:19" x14ac:dyDescent="0.3">
      <c r="A458">
        <v>31</v>
      </c>
      <c r="B458">
        <v>688</v>
      </c>
      <c r="C458" t="s">
        <v>14</v>
      </c>
      <c r="D458" t="s">
        <v>18</v>
      </c>
      <c r="E458">
        <v>44</v>
      </c>
      <c r="F458" t="s">
        <v>23</v>
      </c>
      <c r="G458">
        <v>11557</v>
      </c>
      <c r="H458">
        <v>25291</v>
      </c>
      <c r="I458">
        <v>21</v>
      </c>
      <c r="J458">
        <v>10</v>
      </c>
      <c r="K458">
        <v>5</v>
      </c>
      <c r="L458">
        <v>4</v>
      </c>
      <c r="M458">
        <v>0</v>
      </c>
      <c r="N458">
        <v>1</v>
      </c>
      <c r="P458">
        <f>G458*I458/100</f>
        <v>2426.9699999999998</v>
      </c>
      <c r="Q458">
        <f t="shared" si="7"/>
        <v>138684</v>
      </c>
      <c r="R458">
        <f>K458/J458</f>
        <v>0.5</v>
      </c>
      <c r="S458">
        <v>2020</v>
      </c>
    </row>
    <row r="459" spans="1:19" x14ac:dyDescent="0.3">
      <c r="A459">
        <v>18</v>
      </c>
      <c r="B459">
        <v>1306</v>
      </c>
      <c r="C459" t="s">
        <v>14</v>
      </c>
      <c r="D459" t="s">
        <v>18</v>
      </c>
      <c r="E459">
        <v>69</v>
      </c>
      <c r="F459" t="s">
        <v>24</v>
      </c>
      <c r="G459">
        <v>1878</v>
      </c>
      <c r="H459">
        <v>8059</v>
      </c>
      <c r="I459">
        <v>14</v>
      </c>
      <c r="J459">
        <v>0</v>
      </c>
      <c r="K459">
        <v>0</v>
      </c>
      <c r="L459">
        <v>0</v>
      </c>
      <c r="M459">
        <v>0</v>
      </c>
      <c r="N459">
        <v>0</v>
      </c>
      <c r="P459">
        <f>G459*I459/100</f>
        <v>262.92</v>
      </c>
      <c r="Q459">
        <f t="shared" si="7"/>
        <v>22536</v>
      </c>
      <c r="R459" t="e">
        <f>K459/J459</f>
        <v>#DIV/0!</v>
      </c>
      <c r="S459">
        <v>2020</v>
      </c>
    </row>
    <row r="460" spans="1:19" x14ac:dyDescent="0.3">
      <c r="A460">
        <v>40</v>
      </c>
      <c r="B460">
        <v>1094</v>
      </c>
      <c r="C460" t="s">
        <v>14</v>
      </c>
      <c r="D460" t="s">
        <v>18</v>
      </c>
      <c r="E460">
        <v>58</v>
      </c>
      <c r="F460" t="s">
        <v>16</v>
      </c>
      <c r="G460">
        <v>10932</v>
      </c>
      <c r="H460">
        <v>11373</v>
      </c>
      <c r="I460">
        <v>15</v>
      </c>
      <c r="J460">
        <v>20</v>
      </c>
      <c r="K460">
        <v>1</v>
      </c>
      <c r="L460">
        <v>0</v>
      </c>
      <c r="M460">
        <v>0</v>
      </c>
      <c r="N460">
        <v>1</v>
      </c>
      <c r="P460">
        <f>G460*I460/100</f>
        <v>1639.8</v>
      </c>
      <c r="Q460">
        <f t="shared" si="7"/>
        <v>131184</v>
      </c>
      <c r="R460">
        <f>K460/J460</f>
        <v>0.05</v>
      </c>
      <c r="S460">
        <v>2020</v>
      </c>
    </row>
    <row r="461" spans="1:19" x14ac:dyDescent="0.3">
      <c r="A461">
        <v>41</v>
      </c>
      <c r="B461">
        <v>509</v>
      </c>
      <c r="C461" t="s">
        <v>17</v>
      </c>
      <c r="D461" t="s">
        <v>15</v>
      </c>
      <c r="E461">
        <v>62</v>
      </c>
      <c r="F461" t="s">
        <v>22</v>
      </c>
      <c r="G461">
        <v>6811</v>
      </c>
      <c r="H461">
        <v>2112</v>
      </c>
      <c r="I461">
        <v>17</v>
      </c>
      <c r="J461">
        <v>10</v>
      </c>
      <c r="K461">
        <v>8</v>
      </c>
      <c r="L461">
        <v>7</v>
      </c>
      <c r="M461">
        <v>0</v>
      </c>
      <c r="N461">
        <v>7</v>
      </c>
      <c r="P461">
        <f>G461*I461/100</f>
        <v>1157.8699999999999</v>
      </c>
      <c r="Q461">
        <f t="shared" si="7"/>
        <v>81732</v>
      </c>
      <c r="R461">
        <f>K461/J461</f>
        <v>0.8</v>
      </c>
      <c r="S461">
        <v>2020</v>
      </c>
    </row>
    <row r="462" spans="1:19" x14ac:dyDescent="0.3">
      <c r="A462">
        <v>26</v>
      </c>
      <c r="B462">
        <v>775</v>
      </c>
      <c r="C462" t="s">
        <v>14</v>
      </c>
      <c r="D462" t="s">
        <v>18</v>
      </c>
      <c r="E462">
        <v>45</v>
      </c>
      <c r="F462" t="s">
        <v>16</v>
      </c>
      <c r="G462">
        <v>4306</v>
      </c>
      <c r="H462">
        <v>4267</v>
      </c>
      <c r="I462">
        <v>12</v>
      </c>
      <c r="J462">
        <v>8</v>
      </c>
      <c r="K462">
        <v>0</v>
      </c>
      <c r="L462">
        <v>0</v>
      </c>
      <c r="M462">
        <v>0</v>
      </c>
      <c r="N462">
        <v>0</v>
      </c>
      <c r="P462">
        <f>G462*I462/100</f>
        <v>516.72</v>
      </c>
      <c r="Q462">
        <f t="shared" si="7"/>
        <v>51672</v>
      </c>
      <c r="R462">
        <f>K462/J462</f>
        <v>0</v>
      </c>
      <c r="S462">
        <v>2020</v>
      </c>
    </row>
    <row r="463" spans="1:19" x14ac:dyDescent="0.3">
      <c r="A463">
        <v>35</v>
      </c>
      <c r="B463">
        <v>195</v>
      </c>
      <c r="C463" t="s">
        <v>14</v>
      </c>
      <c r="D463" t="s">
        <v>15</v>
      </c>
      <c r="E463">
        <v>80</v>
      </c>
      <c r="F463" t="s">
        <v>16</v>
      </c>
      <c r="G463">
        <v>4859</v>
      </c>
      <c r="H463">
        <v>6698</v>
      </c>
      <c r="I463">
        <v>16</v>
      </c>
      <c r="J463">
        <v>5</v>
      </c>
      <c r="K463">
        <v>5</v>
      </c>
      <c r="L463">
        <v>4</v>
      </c>
      <c r="M463">
        <v>0</v>
      </c>
      <c r="N463">
        <v>3</v>
      </c>
      <c r="P463">
        <f>G463*I463/100</f>
        <v>777.44</v>
      </c>
      <c r="Q463">
        <f t="shared" si="7"/>
        <v>58308</v>
      </c>
      <c r="R463">
        <f>K463/J463</f>
        <v>1</v>
      </c>
      <c r="S463">
        <v>2020</v>
      </c>
    </row>
    <row r="464" spans="1:19" x14ac:dyDescent="0.3">
      <c r="A464">
        <v>34</v>
      </c>
      <c r="B464">
        <v>258</v>
      </c>
      <c r="C464" t="s">
        <v>14</v>
      </c>
      <c r="D464" t="s">
        <v>18</v>
      </c>
      <c r="E464">
        <v>74</v>
      </c>
      <c r="F464" t="s">
        <v>16</v>
      </c>
      <c r="G464">
        <v>5337</v>
      </c>
      <c r="H464">
        <v>19921</v>
      </c>
      <c r="I464">
        <v>12</v>
      </c>
      <c r="J464">
        <v>10</v>
      </c>
      <c r="K464">
        <v>10</v>
      </c>
      <c r="L464">
        <v>7</v>
      </c>
      <c r="M464">
        <v>5</v>
      </c>
      <c r="N464">
        <v>7</v>
      </c>
      <c r="P464">
        <f>G464*I464/100</f>
        <v>640.44000000000005</v>
      </c>
      <c r="Q464">
        <f t="shared" si="7"/>
        <v>64044</v>
      </c>
      <c r="R464">
        <f>K464/J464</f>
        <v>1</v>
      </c>
      <c r="S464">
        <v>2020</v>
      </c>
    </row>
    <row r="465" spans="1:19" x14ac:dyDescent="0.3">
      <c r="A465">
        <v>26</v>
      </c>
      <c r="B465">
        <v>471</v>
      </c>
      <c r="C465" t="s">
        <v>17</v>
      </c>
      <c r="D465" t="s">
        <v>18</v>
      </c>
      <c r="E465">
        <v>66</v>
      </c>
      <c r="F465" t="s">
        <v>20</v>
      </c>
      <c r="G465">
        <v>2340</v>
      </c>
      <c r="H465">
        <v>23213</v>
      </c>
      <c r="I465">
        <v>18</v>
      </c>
      <c r="J465">
        <v>1</v>
      </c>
      <c r="K465">
        <v>1</v>
      </c>
      <c r="L465">
        <v>0</v>
      </c>
      <c r="M465">
        <v>0</v>
      </c>
      <c r="N465">
        <v>0</v>
      </c>
      <c r="P465">
        <f>G465*I465/100</f>
        <v>421.2</v>
      </c>
      <c r="Q465">
        <f t="shared" si="7"/>
        <v>28080</v>
      </c>
      <c r="R465">
        <f>K465/J465</f>
        <v>1</v>
      </c>
      <c r="S465">
        <v>2020</v>
      </c>
    </row>
    <row r="466" spans="1:19" x14ac:dyDescent="0.3">
      <c r="A466">
        <v>37</v>
      </c>
      <c r="B466">
        <v>799</v>
      </c>
      <c r="C466" t="s">
        <v>17</v>
      </c>
      <c r="D466" t="s">
        <v>15</v>
      </c>
      <c r="E466">
        <v>59</v>
      </c>
      <c r="F466" t="s">
        <v>21</v>
      </c>
      <c r="G466">
        <v>7491</v>
      </c>
      <c r="H466">
        <v>23848</v>
      </c>
      <c r="I466">
        <v>17</v>
      </c>
      <c r="J466">
        <v>12</v>
      </c>
      <c r="K466">
        <v>6</v>
      </c>
      <c r="L466">
        <v>5</v>
      </c>
      <c r="M466">
        <v>1</v>
      </c>
      <c r="N466">
        <v>2</v>
      </c>
      <c r="P466">
        <f>G466*I466/100</f>
        <v>1273.47</v>
      </c>
      <c r="Q466">
        <f t="shared" si="7"/>
        <v>89892</v>
      </c>
      <c r="R466">
        <f>K466/J466</f>
        <v>0.5</v>
      </c>
      <c r="S466">
        <v>2020</v>
      </c>
    </row>
    <row r="467" spans="1:19" x14ac:dyDescent="0.3">
      <c r="A467">
        <v>46</v>
      </c>
      <c r="B467">
        <v>1034</v>
      </c>
      <c r="C467" t="s">
        <v>17</v>
      </c>
      <c r="D467" t="s">
        <v>15</v>
      </c>
      <c r="E467">
        <v>86</v>
      </c>
      <c r="F467" t="s">
        <v>22</v>
      </c>
      <c r="G467">
        <v>10527</v>
      </c>
      <c r="H467">
        <v>8984</v>
      </c>
      <c r="I467">
        <v>11</v>
      </c>
      <c r="J467">
        <v>28</v>
      </c>
      <c r="K467">
        <v>2</v>
      </c>
      <c r="L467">
        <v>2</v>
      </c>
      <c r="M467">
        <v>1</v>
      </c>
      <c r="N467">
        <v>2</v>
      </c>
      <c r="P467">
        <f>G467*I467/100</f>
        <v>1157.97</v>
      </c>
      <c r="Q467">
        <f t="shared" si="7"/>
        <v>126324</v>
      </c>
      <c r="R467">
        <f>K467/J467</f>
        <v>7.1428571428571425E-2</v>
      </c>
      <c r="S467">
        <v>2020</v>
      </c>
    </row>
    <row r="468" spans="1:19" x14ac:dyDescent="0.3">
      <c r="A468">
        <v>41</v>
      </c>
      <c r="B468">
        <v>1276</v>
      </c>
      <c r="C468" t="s">
        <v>14</v>
      </c>
      <c r="D468" t="s">
        <v>15</v>
      </c>
      <c r="E468">
        <v>91</v>
      </c>
      <c r="F468" t="s">
        <v>23</v>
      </c>
      <c r="G468">
        <v>16595</v>
      </c>
      <c r="H468">
        <v>5626</v>
      </c>
      <c r="I468">
        <v>16</v>
      </c>
      <c r="J468">
        <v>22</v>
      </c>
      <c r="K468">
        <v>18</v>
      </c>
      <c r="L468">
        <v>16</v>
      </c>
      <c r="M468">
        <v>11</v>
      </c>
      <c r="N468">
        <v>8</v>
      </c>
      <c r="P468">
        <f>G468*I468/100</f>
        <v>2655.2</v>
      </c>
      <c r="Q468">
        <f t="shared" si="7"/>
        <v>199140</v>
      </c>
      <c r="R468">
        <f>K468/J468</f>
        <v>0.81818181818181823</v>
      </c>
      <c r="S468">
        <v>2020</v>
      </c>
    </row>
    <row r="469" spans="1:19" x14ac:dyDescent="0.3">
      <c r="A469">
        <v>37</v>
      </c>
      <c r="B469">
        <v>142</v>
      </c>
      <c r="C469" t="s">
        <v>14</v>
      </c>
      <c r="D469" t="s">
        <v>18</v>
      </c>
      <c r="E469">
        <v>69</v>
      </c>
      <c r="F469" t="s">
        <v>16</v>
      </c>
      <c r="G469">
        <v>8834</v>
      </c>
      <c r="H469">
        <v>24666</v>
      </c>
      <c r="I469">
        <v>13</v>
      </c>
      <c r="J469">
        <v>9</v>
      </c>
      <c r="K469">
        <v>9</v>
      </c>
      <c r="L469">
        <v>5</v>
      </c>
      <c r="M469">
        <v>7</v>
      </c>
      <c r="N469">
        <v>7</v>
      </c>
      <c r="P469">
        <f>G469*I469/100</f>
        <v>1148.42</v>
      </c>
      <c r="Q469">
        <f t="shared" si="7"/>
        <v>106008</v>
      </c>
      <c r="R469">
        <f>K469/J469</f>
        <v>1</v>
      </c>
      <c r="S469">
        <v>2020</v>
      </c>
    </row>
    <row r="470" spans="1:19" x14ac:dyDescent="0.3">
      <c r="A470">
        <v>52</v>
      </c>
      <c r="B470">
        <v>956</v>
      </c>
      <c r="C470" t="s">
        <v>17</v>
      </c>
      <c r="D470" t="s">
        <v>18</v>
      </c>
      <c r="E470">
        <v>78</v>
      </c>
      <c r="F470" t="s">
        <v>19</v>
      </c>
      <c r="G470">
        <v>5577</v>
      </c>
      <c r="H470">
        <v>22087</v>
      </c>
      <c r="I470">
        <v>12</v>
      </c>
      <c r="J470">
        <v>18</v>
      </c>
      <c r="K470">
        <v>10</v>
      </c>
      <c r="L470">
        <v>9</v>
      </c>
      <c r="M470">
        <v>6</v>
      </c>
      <c r="N470">
        <v>9</v>
      </c>
      <c r="P470">
        <f>G470*I470/100</f>
        <v>669.24</v>
      </c>
      <c r="Q470">
        <f t="shared" si="7"/>
        <v>66924</v>
      </c>
      <c r="R470">
        <f>K470/J470</f>
        <v>0.55555555555555558</v>
      </c>
      <c r="S470">
        <v>2020</v>
      </c>
    </row>
    <row r="471" spans="1:19" x14ac:dyDescent="0.3">
      <c r="A471">
        <v>32</v>
      </c>
      <c r="B471">
        <v>1474</v>
      </c>
      <c r="C471" t="s">
        <v>14</v>
      </c>
      <c r="D471" t="s">
        <v>18</v>
      </c>
      <c r="E471">
        <v>60</v>
      </c>
      <c r="F471" t="s">
        <v>16</v>
      </c>
      <c r="G471">
        <v>4707</v>
      </c>
      <c r="H471">
        <v>23914</v>
      </c>
      <c r="I471">
        <v>12</v>
      </c>
      <c r="J471">
        <v>6</v>
      </c>
      <c r="K471">
        <v>4</v>
      </c>
      <c r="L471">
        <v>2</v>
      </c>
      <c r="M471">
        <v>1</v>
      </c>
      <c r="N471">
        <v>2</v>
      </c>
      <c r="P471">
        <f>G471*I471/100</f>
        <v>564.84</v>
      </c>
      <c r="Q471">
        <f t="shared" si="7"/>
        <v>56484</v>
      </c>
      <c r="R471">
        <f>K471/J471</f>
        <v>0.66666666666666663</v>
      </c>
      <c r="S471">
        <v>2020</v>
      </c>
    </row>
    <row r="472" spans="1:19" x14ac:dyDescent="0.3">
      <c r="A472">
        <v>24</v>
      </c>
      <c r="B472">
        <v>535</v>
      </c>
      <c r="C472" t="s">
        <v>14</v>
      </c>
      <c r="D472" t="s">
        <v>18</v>
      </c>
      <c r="E472">
        <v>38</v>
      </c>
      <c r="F472" t="s">
        <v>24</v>
      </c>
      <c r="G472">
        <v>2400</v>
      </c>
      <c r="H472">
        <v>5530</v>
      </c>
      <c r="I472">
        <v>13</v>
      </c>
      <c r="J472">
        <v>3</v>
      </c>
      <c r="K472">
        <v>2</v>
      </c>
      <c r="L472">
        <v>2</v>
      </c>
      <c r="M472">
        <v>2</v>
      </c>
      <c r="N472">
        <v>1</v>
      </c>
      <c r="P472">
        <f>G472*I472/100</f>
        <v>312</v>
      </c>
      <c r="Q472">
        <f t="shared" si="7"/>
        <v>28800</v>
      </c>
      <c r="R472">
        <f>K472/J472</f>
        <v>0.66666666666666663</v>
      </c>
      <c r="S472">
        <v>2020</v>
      </c>
    </row>
    <row r="473" spans="1:19" x14ac:dyDescent="0.3">
      <c r="A473">
        <v>38</v>
      </c>
      <c r="B473">
        <v>1495</v>
      </c>
      <c r="C473" t="s">
        <v>17</v>
      </c>
      <c r="D473" t="s">
        <v>15</v>
      </c>
      <c r="E473">
        <v>76</v>
      </c>
      <c r="F473" t="s">
        <v>22</v>
      </c>
      <c r="G473">
        <v>9824</v>
      </c>
      <c r="H473">
        <v>22174</v>
      </c>
      <c r="I473">
        <v>19</v>
      </c>
      <c r="J473">
        <v>18</v>
      </c>
      <c r="K473">
        <v>1</v>
      </c>
      <c r="L473">
        <v>0</v>
      </c>
      <c r="M473">
        <v>0</v>
      </c>
      <c r="N473">
        <v>0</v>
      </c>
      <c r="P473">
        <f>G473*I473/100</f>
        <v>1866.56</v>
      </c>
      <c r="Q473">
        <f t="shared" si="7"/>
        <v>117888</v>
      </c>
      <c r="R473">
        <f>K473/J473</f>
        <v>5.5555555555555552E-2</v>
      </c>
      <c r="S473">
        <v>2020</v>
      </c>
    </row>
    <row r="474" spans="1:19" x14ac:dyDescent="0.3">
      <c r="A474">
        <v>37</v>
      </c>
      <c r="B474">
        <v>446</v>
      </c>
      <c r="C474" t="s">
        <v>17</v>
      </c>
      <c r="D474" t="s">
        <v>15</v>
      </c>
      <c r="E474">
        <v>65</v>
      </c>
      <c r="F474" t="s">
        <v>21</v>
      </c>
      <c r="G474">
        <v>6447</v>
      </c>
      <c r="H474">
        <v>15701</v>
      </c>
      <c r="I474">
        <v>12</v>
      </c>
      <c r="J474">
        <v>8</v>
      </c>
      <c r="K474">
        <v>6</v>
      </c>
      <c r="L474">
        <v>5</v>
      </c>
      <c r="M474">
        <v>4</v>
      </c>
      <c r="N474">
        <v>3</v>
      </c>
      <c r="P474">
        <f>G474*I474/100</f>
        <v>773.64</v>
      </c>
      <c r="Q474">
        <f t="shared" si="7"/>
        <v>77364</v>
      </c>
      <c r="R474">
        <f>K474/J474</f>
        <v>0.75</v>
      </c>
      <c r="S474">
        <v>2020</v>
      </c>
    </row>
    <row r="475" spans="1:19" x14ac:dyDescent="0.3">
      <c r="A475">
        <v>49</v>
      </c>
      <c r="B475">
        <v>1245</v>
      </c>
      <c r="C475" t="s">
        <v>17</v>
      </c>
      <c r="D475" t="s">
        <v>18</v>
      </c>
      <c r="E475">
        <v>58</v>
      </c>
      <c r="F475" t="s">
        <v>25</v>
      </c>
      <c r="G475">
        <v>19502</v>
      </c>
      <c r="H475">
        <v>2125</v>
      </c>
      <c r="I475">
        <v>17</v>
      </c>
      <c r="J475">
        <v>31</v>
      </c>
      <c r="K475">
        <v>31</v>
      </c>
      <c r="L475">
        <v>9</v>
      </c>
      <c r="M475">
        <v>0</v>
      </c>
      <c r="N475">
        <v>9</v>
      </c>
      <c r="P475">
        <f>G475*I475/100</f>
        <v>3315.34</v>
      </c>
      <c r="Q475">
        <f t="shared" si="7"/>
        <v>234024</v>
      </c>
      <c r="R475">
        <f>K475/J475</f>
        <v>1</v>
      </c>
      <c r="S475">
        <v>2020</v>
      </c>
    </row>
    <row r="476" spans="1:19" x14ac:dyDescent="0.3">
      <c r="A476">
        <v>24</v>
      </c>
      <c r="B476">
        <v>691</v>
      </c>
      <c r="C476" t="s">
        <v>17</v>
      </c>
      <c r="D476" t="s">
        <v>18</v>
      </c>
      <c r="E476">
        <v>89</v>
      </c>
      <c r="F476" t="s">
        <v>19</v>
      </c>
      <c r="G476">
        <v>2725</v>
      </c>
      <c r="H476">
        <v>21630</v>
      </c>
      <c r="I476">
        <v>11</v>
      </c>
      <c r="J476">
        <v>6</v>
      </c>
      <c r="K476">
        <v>6</v>
      </c>
      <c r="L476">
        <v>5</v>
      </c>
      <c r="M476">
        <v>1</v>
      </c>
      <c r="N476">
        <v>4</v>
      </c>
      <c r="P476">
        <f>G476*I476/100</f>
        <v>299.75</v>
      </c>
      <c r="Q476">
        <f t="shared" si="7"/>
        <v>32700</v>
      </c>
      <c r="R476">
        <f>K476/J476</f>
        <v>1</v>
      </c>
      <c r="S476">
        <v>2020</v>
      </c>
    </row>
    <row r="477" spans="1:19" x14ac:dyDescent="0.3">
      <c r="A477">
        <v>26</v>
      </c>
      <c r="B477">
        <v>703</v>
      </c>
      <c r="C477" t="s">
        <v>14</v>
      </c>
      <c r="D477" t="s">
        <v>18</v>
      </c>
      <c r="E477">
        <v>66</v>
      </c>
      <c r="F477" t="s">
        <v>16</v>
      </c>
      <c r="G477">
        <v>6272</v>
      </c>
      <c r="H477">
        <v>7428</v>
      </c>
      <c r="I477">
        <v>20</v>
      </c>
      <c r="J477">
        <v>6</v>
      </c>
      <c r="K477">
        <v>5</v>
      </c>
      <c r="L477">
        <v>3</v>
      </c>
      <c r="M477">
        <v>1</v>
      </c>
      <c r="N477">
        <v>4</v>
      </c>
      <c r="P477">
        <f>G477*I477/100</f>
        <v>1254.4000000000001</v>
      </c>
      <c r="Q477">
        <f t="shared" si="7"/>
        <v>75264</v>
      </c>
      <c r="R477">
        <f>K477/J477</f>
        <v>0.83333333333333337</v>
      </c>
      <c r="S477">
        <v>2020</v>
      </c>
    </row>
    <row r="478" spans="1:19" x14ac:dyDescent="0.3">
      <c r="A478">
        <v>24</v>
      </c>
      <c r="B478">
        <v>823</v>
      </c>
      <c r="C478" t="s">
        <v>17</v>
      </c>
      <c r="D478" t="s">
        <v>18</v>
      </c>
      <c r="E478">
        <v>94</v>
      </c>
      <c r="F478" t="s">
        <v>20</v>
      </c>
      <c r="G478">
        <v>2127</v>
      </c>
      <c r="H478">
        <v>9100</v>
      </c>
      <c r="I478">
        <v>21</v>
      </c>
      <c r="J478">
        <v>1</v>
      </c>
      <c r="K478">
        <v>1</v>
      </c>
      <c r="L478">
        <v>0</v>
      </c>
      <c r="M478">
        <v>0</v>
      </c>
      <c r="N478">
        <v>0</v>
      </c>
      <c r="P478">
        <f>G478*I478/100</f>
        <v>446.67</v>
      </c>
      <c r="Q478">
        <f t="shared" si="7"/>
        <v>25524</v>
      </c>
      <c r="R478">
        <f>K478/J478</f>
        <v>1</v>
      </c>
      <c r="S478">
        <v>2020</v>
      </c>
    </row>
    <row r="479" spans="1:19" x14ac:dyDescent="0.3">
      <c r="A479">
        <v>50</v>
      </c>
      <c r="B479">
        <v>1246</v>
      </c>
      <c r="C479" t="s">
        <v>26</v>
      </c>
      <c r="D479" t="s">
        <v>18</v>
      </c>
      <c r="E479">
        <v>99</v>
      </c>
      <c r="F479" t="s">
        <v>23</v>
      </c>
      <c r="G479">
        <v>18200</v>
      </c>
      <c r="H479">
        <v>7999</v>
      </c>
      <c r="I479">
        <v>11</v>
      </c>
      <c r="J479">
        <v>32</v>
      </c>
      <c r="K479">
        <v>32</v>
      </c>
      <c r="L479">
        <v>5</v>
      </c>
      <c r="M479">
        <v>10</v>
      </c>
      <c r="N479">
        <v>7</v>
      </c>
      <c r="P479">
        <f>G479*I479/100</f>
        <v>2002</v>
      </c>
      <c r="Q479">
        <f t="shared" si="7"/>
        <v>218400</v>
      </c>
      <c r="R479">
        <f>K479/J479</f>
        <v>1</v>
      </c>
      <c r="S479">
        <v>2020</v>
      </c>
    </row>
    <row r="480" spans="1:19" x14ac:dyDescent="0.3">
      <c r="A480">
        <v>25</v>
      </c>
      <c r="B480">
        <v>622</v>
      </c>
      <c r="C480" t="s">
        <v>14</v>
      </c>
      <c r="D480" t="s">
        <v>18</v>
      </c>
      <c r="E480">
        <v>40</v>
      </c>
      <c r="F480" t="s">
        <v>24</v>
      </c>
      <c r="G480">
        <v>2096</v>
      </c>
      <c r="H480">
        <v>26376</v>
      </c>
      <c r="I480">
        <v>11</v>
      </c>
      <c r="J480">
        <v>7</v>
      </c>
      <c r="K480">
        <v>7</v>
      </c>
      <c r="L480">
        <v>4</v>
      </c>
      <c r="M480">
        <v>0</v>
      </c>
      <c r="N480">
        <v>6</v>
      </c>
      <c r="P480">
        <f>G480*I480/100</f>
        <v>230.56</v>
      </c>
      <c r="Q480">
        <f t="shared" si="7"/>
        <v>25152</v>
      </c>
      <c r="R480">
        <f>K480/J480</f>
        <v>1</v>
      </c>
      <c r="S480">
        <v>2020</v>
      </c>
    </row>
    <row r="481" spans="1:19" x14ac:dyDescent="0.3">
      <c r="A481">
        <v>24</v>
      </c>
      <c r="B481">
        <v>1287</v>
      </c>
      <c r="C481" t="s">
        <v>17</v>
      </c>
      <c r="D481" t="s">
        <v>15</v>
      </c>
      <c r="E481">
        <v>55</v>
      </c>
      <c r="F481" t="s">
        <v>20</v>
      </c>
      <c r="G481">
        <v>2886</v>
      </c>
      <c r="H481">
        <v>14168</v>
      </c>
      <c r="I481">
        <v>16</v>
      </c>
      <c r="J481">
        <v>6</v>
      </c>
      <c r="K481">
        <v>6</v>
      </c>
      <c r="L481">
        <v>3</v>
      </c>
      <c r="M481">
        <v>1</v>
      </c>
      <c r="N481">
        <v>2</v>
      </c>
      <c r="P481">
        <f>G481*I481/100</f>
        <v>461.76</v>
      </c>
      <c r="Q481">
        <f t="shared" si="7"/>
        <v>34632</v>
      </c>
      <c r="R481">
        <f>K481/J481</f>
        <v>1</v>
      </c>
      <c r="S481">
        <v>2020</v>
      </c>
    </row>
    <row r="482" spans="1:19" x14ac:dyDescent="0.3">
      <c r="A482">
        <v>30</v>
      </c>
      <c r="B482">
        <v>448</v>
      </c>
      <c r="C482" t="s">
        <v>14</v>
      </c>
      <c r="D482" t="s">
        <v>18</v>
      </c>
      <c r="E482">
        <v>74</v>
      </c>
      <c r="F482" t="s">
        <v>24</v>
      </c>
      <c r="G482">
        <v>2033</v>
      </c>
      <c r="H482">
        <v>14470</v>
      </c>
      <c r="I482">
        <v>18</v>
      </c>
      <c r="J482">
        <v>1</v>
      </c>
      <c r="K482">
        <v>1</v>
      </c>
      <c r="L482">
        <v>0</v>
      </c>
      <c r="M482">
        <v>0</v>
      </c>
      <c r="N482">
        <v>0</v>
      </c>
      <c r="P482">
        <f>G482*I482/100</f>
        <v>365.94</v>
      </c>
      <c r="Q482">
        <f t="shared" si="7"/>
        <v>24396</v>
      </c>
      <c r="R482">
        <f>K482/J482</f>
        <v>1</v>
      </c>
      <c r="S482">
        <v>2020</v>
      </c>
    </row>
    <row r="483" spans="1:19" x14ac:dyDescent="0.3">
      <c r="A483">
        <v>34</v>
      </c>
      <c r="B483">
        <v>254</v>
      </c>
      <c r="C483" t="s">
        <v>17</v>
      </c>
      <c r="D483" t="s">
        <v>18</v>
      </c>
      <c r="E483">
        <v>83</v>
      </c>
      <c r="F483" t="s">
        <v>19</v>
      </c>
      <c r="G483">
        <v>3622</v>
      </c>
      <c r="H483">
        <v>22794</v>
      </c>
      <c r="I483">
        <v>13</v>
      </c>
      <c r="J483">
        <v>6</v>
      </c>
      <c r="K483">
        <v>6</v>
      </c>
      <c r="L483">
        <v>5</v>
      </c>
      <c r="M483">
        <v>1</v>
      </c>
      <c r="N483">
        <v>3</v>
      </c>
      <c r="P483">
        <f>G483*I483/100</f>
        <v>470.86</v>
      </c>
      <c r="Q483">
        <f t="shared" si="7"/>
        <v>43464</v>
      </c>
      <c r="R483">
        <f>K483/J483</f>
        <v>1</v>
      </c>
      <c r="S483">
        <v>2020</v>
      </c>
    </row>
    <row r="484" spans="1:19" x14ac:dyDescent="0.3">
      <c r="A484">
        <v>31</v>
      </c>
      <c r="B484">
        <v>1365</v>
      </c>
      <c r="C484" t="s">
        <v>14</v>
      </c>
      <c r="D484" t="s">
        <v>18</v>
      </c>
      <c r="E484">
        <v>46</v>
      </c>
      <c r="F484" t="s">
        <v>16</v>
      </c>
      <c r="G484">
        <v>4233</v>
      </c>
      <c r="H484">
        <v>11512</v>
      </c>
      <c r="I484">
        <v>17</v>
      </c>
      <c r="J484">
        <v>9</v>
      </c>
      <c r="K484">
        <v>3</v>
      </c>
      <c r="L484">
        <v>1</v>
      </c>
      <c r="M484">
        <v>1</v>
      </c>
      <c r="N484">
        <v>2</v>
      </c>
      <c r="P484">
        <f>G484*I484/100</f>
        <v>719.61</v>
      </c>
      <c r="Q484">
        <f t="shared" si="7"/>
        <v>50796</v>
      </c>
      <c r="R484">
        <f>K484/J484</f>
        <v>0.33333333333333331</v>
      </c>
      <c r="S484">
        <v>2020</v>
      </c>
    </row>
    <row r="485" spans="1:19" x14ac:dyDescent="0.3">
      <c r="A485">
        <v>35</v>
      </c>
      <c r="B485">
        <v>538</v>
      </c>
      <c r="C485" t="s">
        <v>17</v>
      </c>
      <c r="D485" t="s">
        <v>18</v>
      </c>
      <c r="E485">
        <v>54</v>
      </c>
      <c r="F485" t="s">
        <v>20</v>
      </c>
      <c r="G485">
        <v>3681</v>
      </c>
      <c r="H485">
        <v>14004</v>
      </c>
      <c r="I485">
        <v>14</v>
      </c>
      <c r="J485">
        <v>9</v>
      </c>
      <c r="K485">
        <v>3</v>
      </c>
      <c r="L485">
        <v>2</v>
      </c>
      <c r="M485">
        <v>0</v>
      </c>
      <c r="N485">
        <v>2</v>
      </c>
      <c r="P485">
        <f>G485*I485/100</f>
        <v>515.34</v>
      </c>
      <c r="Q485">
        <f t="shared" si="7"/>
        <v>44172</v>
      </c>
      <c r="R485">
        <f>K485/J485</f>
        <v>0.33333333333333331</v>
      </c>
      <c r="S485">
        <v>2020</v>
      </c>
    </row>
    <row r="486" spans="1:19" x14ac:dyDescent="0.3">
      <c r="A486">
        <v>31</v>
      </c>
      <c r="B486">
        <v>525</v>
      </c>
      <c r="C486" t="s">
        <v>14</v>
      </c>
      <c r="D486" t="s">
        <v>18</v>
      </c>
      <c r="E486">
        <v>66</v>
      </c>
      <c r="F486" t="s">
        <v>16</v>
      </c>
      <c r="G486">
        <v>5460</v>
      </c>
      <c r="H486">
        <v>6219</v>
      </c>
      <c r="I486">
        <v>22</v>
      </c>
      <c r="J486">
        <v>13</v>
      </c>
      <c r="K486">
        <v>7</v>
      </c>
      <c r="L486">
        <v>7</v>
      </c>
      <c r="M486">
        <v>5</v>
      </c>
      <c r="N486">
        <v>7</v>
      </c>
      <c r="P486">
        <f>G486*I486/100</f>
        <v>1201.2</v>
      </c>
      <c r="Q486">
        <f t="shared" si="7"/>
        <v>65520</v>
      </c>
      <c r="R486">
        <f>K486/J486</f>
        <v>0.53846153846153844</v>
      </c>
      <c r="S486">
        <v>2020</v>
      </c>
    </row>
    <row r="487" spans="1:19" x14ac:dyDescent="0.3">
      <c r="A487">
        <v>27</v>
      </c>
      <c r="B487">
        <v>798</v>
      </c>
      <c r="C487" t="s">
        <v>17</v>
      </c>
      <c r="D487" t="s">
        <v>15</v>
      </c>
      <c r="E487">
        <v>66</v>
      </c>
      <c r="F487" t="s">
        <v>19</v>
      </c>
      <c r="G487">
        <v>2187</v>
      </c>
      <c r="H487">
        <v>5013</v>
      </c>
      <c r="I487">
        <v>12</v>
      </c>
      <c r="J487">
        <v>6</v>
      </c>
      <c r="K487">
        <v>5</v>
      </c>
      <c r="L487">
        <v>3</v>
      </c>
      <c r="M487">
        <v>0</v>
      </c>
      <c r="N487">
        <v>3</v>
      </c>
      <c r="P487">
        <f>G487*I487/100</f>
        <v>262.44</v>
      </c>
      <c r="Q487">
        <f t="shared" si="7"/>
        <v>26244</v>
      </c>
      <c r="R487">
        <f>K487/J487</f>
        <v>0.83333333333333337</v>
      </c>
      <c r="S487">
        <v>2020</v>
      </c>
    </row>
    <row r="488" spans="1:19" x14ac:dyDescent="0.3">
      <c r="A488">
        <v>37</v>
      </c>
      <c r="B488">
        <v>558</v>
      </c>
      <c r="C488" t="s">
        <v>14</v>
      </c>
      <c r="D488" t="s">
        <v>18</v>
      </c>
      <c r="E488">
        <v>75</v>
      </c>
      <c r="F488" t="s">
        <v>16</v>
      </c>
      <c r="G488">
        <v>9602</v>
      </c>
      <c r="H488">
        <v>3010</v>
      </c>
      <c r="I488">
        <v>11</v>
      </c>
      <c r="J488">
        <v>17</v>
      </c>
      <c r="K488">
        <v>3</v>
      </c>
      <c r="L488">
        <v>0</v>
      </c>
      <c r="M488">
        <v>1</v>
      </c>
      <c r="N488">
        <v>0</v>
      </c>
      <c r="P488">
        <f>G488*I488/100</f>
        <v>1056.22</v>
      </c>
      <c r="Q488">
        <f t="shared" si="7"/>
        <v>115224</v>
      </c>
      <c r="R488">
        <f>K488/J488</f>
        <v>0.17647058823529413</v>
      </c>
      <c r="S488">
        <v>2020</v>
      </c>
    </row>
    <row r="489" spans="1:19" x14ac:dyDescent="0.3">
      <c r="A489">
        <v>20</v>
      </c>
      <c r="B489">
        <v>959</v>
      </c>
      <c r="C489" t="s">
        <v>17</v>
      </c>
      <c r="D489" t="s">
        <v>15</v>
      </c>
      <c r="E489">
        <v>83</v>
      </c>
      <c r="F489" t="s">
        <v>19</v>
      </c>
      <c r="G489">
        <v>2836</v>
      </c>
      <c r="H489">
        <v>11757</v>
      </c>
      <c r="I489">
        <v>13</v>
      </c>
      <c r="J489">
        <v>1</v>
      </c>
      <c r="K489">
        <v>1</v>
      </c>
      <c r="L489">
        <v>0</v>
      </c>
      <c r="M489">
        <v>0</v>
      </c>
      <c r="N489">
        <v>0</v>
      </c>
      <c r="P489">
        <f>G489*I489/100</f>
        <v>368.68</v>
      </c>
      <c r="Q489">
        <f t="shared" si="7"/>
        <v>34032</v>
      </c>
      <c r="R489">
        <f>K489/J489</f>
        <v>1</v>
      </c>
      <c r="S489">
        <v>2020</v>
      </c>
    </row>
    <row r="490" spans="1:19" x14ac:dyDescent="0.3">
      <c r="A490">
        <v>42</v>
      </c>
      <c r="B490">
        <v>622</v>
      </c>
      <c r="C490" t="s">
        <v>17</v>
      </c>
      <c r="D490" t="s">
        <v>15</v>
      </c>
      <c r="E490">
        <v>81</v>
      </c>
      <c r="F490" t="s">
        <v>22</v>
      </c>
      <c r="G490">
        <v>4089</v>
      </c>
      <c r="H490">
        <v>5718</v>
      </c>
      <c r="I490">
        <v>13</v>
      </c>
      <c r="J490">
        <v>10</v>
      </c>
      <c r="K490">
        <v>10</v>
      </c>
      <c r="L490">
        <v>2</v>
      </c>
      <c r="M490">
        <v>2</v>
      </c>
      <c r="N490">
        <v>2</v>
      </c>
      <c r="P490">
        <f>G490*I490/100</f>
        <v>531.57000000000005</v>
      </c>
      <c r="Q490">
        <f t="shared" si="7"/>
        <v>49068</v>
      </c>
      <c r="R490">
        <f>K490/J490</f>
        <v>1</v>
      </c>
      <c r="S490">
        <v>2020</v>
      </c>
    </row>
    <row r="491" spans="1:19" x14ac:dyDescent="0.3">
      <c r="A491">
        <v>43</v>
      </c>
      <c r="B491">
        <v>782</v>
      </c>
      <c r="C491" t="s">
        <v>17</v>
      </c>
      <c r="D491" t="s">
        <v>18</v>
      </c>
      <c r="E491">
        <v>50</v>
      </c>
      <c r="F491" t="s">
        <v>25</v>
      </c>
      <c r="G491">
        <v>16627</v>
      </c>
      <c r="H491">
        <v>2671</v>
      </c>
      <c r="I491">
        <v>14</v>
      </c>
      <c r="J491">
        <v>21</v>
      </c>
      <c r="K491">
        <v>1</v>
      </c>
      <c r="L491">
        <v>0</v>
      </c>
      <c r="M491">
        <v>0</v>
      </c>
      <c r="N491">
        <v>0</v>
      </c>
      <c r="P491">
        <f>G491*I491/100</f>
        <v>2327.7800000000002</v>
      </c>
      <c r="Q491">
        <f t="shared" si="7"/>
        <v>199524</v>
      </c>
      <c r="R491">
        <f>K491/J491</f>
        <v>4.7619047619047616E-2</v>
      </c>
      <c r="S491">
        <v>2020</v>
      </c>
    </row>
    <row r="492" spans="1:19" x14ac:dyDescent="0.3">
      <c r="A492">
        <v>38</v>
      </c>
      <c r="B492">
        <v>362</v>
      </c>
      <c r="C492" t="s">
        <v>17</v>
      </c>
      <c r="D492" t="s">
        <v>15</v>
      </c>
      <c r="E492">
        <v>43</v>
      </c>
      <c r="F492" t="s">
        <v>19</v>
      </c>
      <c r="G492">
        <v>2619</v>
      </c>
      <c r="H492">
        <v>14561</v>
      </c>
      <c r="I492">
        <v>17</v>
      </c>
      <c r="J492">
        <v>8</v>
      </c>
      <c r="K492">
        <v>0</v>
      </c>
      <c r="L492">
        <v>0</v>
      </c>
      <c r="M492">
        <v>0</v>
      </c>
      <c r="N492">
        <v>0</v>
      </c>
      <c r="P492">
        <f>G492*I492/100</f>
        <v>445.23</v>
      </c>
      <c r="Q492">
        <f t="shared" si="7"/>
        <v>31428</v>
      </c>
      <c r="R492">
        <f>K492/J492</f>
        <v>0</v>
      </c>
      <c r="S492">
        <v>2020</v>
      </c>
    </row>
    <row r="493" spans="1:19" x14ac:dyDescent="0.3">
      <c r="A493">
        <v>43</v>
      </c>
      <c r="B493">
        <v>1001</v>
      </c>
      <c r="C493" t="s">
        <v>17</v>
      </c>
      <c r="D493" t="s">
        <v>18</v>
      </c>
      <c r="E493">
        <v>72</v>
      </c>
      <c r="F493" t="s">
        <v>20</v>
      </c>
      <c r="G493">
        <v>5679</v>
      </c>
      <c r="H493">
        <v>19627</v>
      </c>
      <c r="I493">
        <v>13</v>
      </c>
      <c r="J493">
        <v>10</v>
      </c>
      <c r="K493">
        <v>8</v>
      </c>
      <c r="L493">
        <v>7</v>
      </c>
      <c r="M493">
        <v>4</v>
      </c>
      <c r="N493">
        <v>7</v>
      </c>
      <c r="P493">
        <f>G493*I493/100</f>
        <v>738.27</v>
      </c>
      <c r="Q493">
        <f t="shared" si="7"/>
        <v>68148</v>
      </c>
      <c r="R493">
        <f>K493/J493</f>
        <v>0.8</v>
      </c>
      <c r="S493">
        <v>2020</v>
      </c>
    </row>
    <row r="494" spans="1:19" x14ac:dyDescent="0.3">
      <c r="A494">
        <v>48</v>
      </c>
      <c r="B494">
        <v>1236</v>
      </c>
      <c r="C494" t="s">
        <v>17</v>
      </c>
      <c r="D494" t="s">
        <v>15</v>
      </c>
      <c r="E494">
        <v>40</v>
      </c>
      <c r="F494" t="s">
        <v>23</v>
      </c>
      <c r="G494">
        <v>15402</v>
      </c>
      <c r="H494">
        <v>17997</v>
      </c>
      <c r="I494">
        <v>11</v>
      </c>
      <c r="J494">
        <v>21</v>
      </c>
      <c r="K494">
        <v>3</v>
      </c>
      <c r="L494">
        <v>2</v>
      </c>
      <c r="M494">
        <v>0</v>
      </c>
      <c r="N494">
        <v>2</v>
      </c>
      <c r="P494">
        <f>G494*I494/100</f>
        <v>1694.22</v>
      </c>
      <c r="Q494">
        <f t="shared" si="7"/>
        <v>184824</v>
      </c>
      <c r="R494">
        <f>K494/J494</f>
        <v>0.14285714285714285</v>
      </c>
      <c r="S494">
        <v>2020</v>
      </c>
    </row>
    <row r="495" spans="1:19" x14ac:dyDescent="0.3">
      <c r="A495">
        <v>44</v>
      </c>
      <c r="B495">
        <v>1112</v>
      </c>
      <c r="C495" t="s">
        <v>26</v>
      </c>
      <c r="D495" t="s">
        <v>15</v>
      </c>
      <c r="E495">
        <v>50</v>
      </c>
      <c r="F495" t="s">
        <v>26</v>
      </c>
      <c r="G495">
        <v>5985</v>
      </c>
      <c r="H495">
        <v>26894</v>
      </c>
      <c r="I495">
        <v>11</v>
      </c>
      <c r="J495">
        <v>10</v>
      </c>
      <c r="K495">
        <v>2</v>
      </c>
      <c r="L495">
        <v>2</v>
      </c>
      <c r="M495">
        <v>0</v>
      </c>
      <c r="N495">
        <v>2</v>
      </c>
      <c r="P495">
        <f>G495*I495/100</f>
        <v>658.35</v>
      </c>
      <c r="Q495">
        <f t="shared" si="7"/>
        <v>71820</v>
      </c>
      <c r="R495">
        <f>K495/J495</f>
        <v>0.2</v>
      </c>
      <c r="S495">
        <v>2020</v>
      </c>
    </row>
    <row r="496" spans="1:19" x14ac:dyDescent="0.3">
      <c r="A496">
        <v>34</v>
      </c>
      <c r="B496">
        <v>204</v>
      </c>
      <c r="C496" t="s">
        <v>14</v>
      </c>
      <c r="D496" t="s">
        <v>15</v>
      </c>
      <c r="E496">
        <v>31</v>
      </c>
      <c r="F496" t="s">
        <v>24</v>
      </c>
      <c r="G496">
        <v>2579</v>
      </c>
      <c r="H496">
        <v>2912</v>
      </c>
      <c r="I496">
        <v>18</v>
      </c>
      <c r="J496">
        <v>8</v>
      </c>
      <c r="K496">
        <v>8</v>
      </c>
      <c r="L496">
        <v>2</v>
      </c>
      <c r="M496">
        <v>0</v>
      </c>
      <c r="N496">
        <v>6</v>
      </c>
      <c r="P496">
        <f>G496*I496/100</f>
        <v>464.22</v>
      </c>
      <c r="Q496">
        <f t="shared" si="7"/>
        <v>30948</v>
      </c>
      <c r="R496">
        <f>K496/J496</f>
        <v>1</v>
      </c>
      <c r="S496">
        <v>2020</v>
      </c>
    </row>
    <row r="497" spans="1:19" x14ac:dyDescent="0.3">
      <c r="A497">
        <v>27</v>
      </c>
      <c r="B497">
        <v>1420</v>
      </c>
      <c r="C497" t="s">
        <v>14</v>
      </c>
      <c r="D497" t="s">
        <v>18</v>
      </c>
      <c r="E497">
        <v>85</v>
      </c>
      <c r="F497" t="s">
        <v>24</v>
      </c>
      <c r="G497">
        <v>3041</v>
      </c>
      <c r="H497">
        <v>16346</v>
      </c>
      <c r="I497">
        <v>11</v>
      </c>
      <c r="J497">
        <v>5</v>
      </c>
      <c r="K497">
        <v>4</v>
      </c>
      <c r="L497">
        <v>3</v>
      </c>
      <c r="M497">
        <v>0</v>
      </c>
      <c r="N497">
        <v>2</v>
      </c>
      <c r="P497">
        <f>G497*I497/100</f>
        <v>334.51</v>
      </c>
      <c r="Q497">
        <f t="shared" si="7"/>
        <v>36492</v>
      </c>
      <c r="R497">
        <f>K497/J497</f>
        <v>0.8</v>
      </c>
      <c r="S497">
        <v>2020</v>
      </c>
    </row>
    <row r="498" spans="1:19" x14ac:dyDescent="0.3">
      <c r="A498">
        <v>21</v>
      </c>
      <c r="B498">
        <v>1343</v>
      </c>
      <c r="C498" t="s">
        <v>14</v>
      </c>
      <c r="D498" t="s">
        <v>18</v>
      </c>
      <c r="E498">
        <v>49</v>
      </c>
      <c r="F498" t="s">
        <v>24</v>
      </c>
      <c r="G498">
        <v>3447</v>
      </c>
      <c r="H498">
        <v>24444</v>
      </c>
      <c r="I498">
        <v>11</v>
      </c>
      <c r="J498">
        <v>3</v>
      </c>
      <c r="K498">
        <v>3</v>
      </c>
      <c r="L498">
        <v>2</v>
      </c>
      <c r="M498">
        <v>1</v>
      </c>
      <c r="N498">
        <v>2</v>
      </c>
      <c r="P498">
        <f>G498*I498/100</f>
        <v>379.17</v>
      </c>
      <c r="Q498">
        <f t="shared" si="7"/>
        <v>41364</v>
      </c>
      <c r="R498">
        <f>K498/J498</f>
        <v>1</v>
      </c>
      <c r="S498">
        <v>2020</v>
      </c>
    </row>
    <row r="499" spans="1:19" x14ac:dyDescent="0.3">
      <c r="A499">
        <v>44</v>
      </c>
      <c r="B499">
        <v>1315</v>
      </c>
      <c r="C499" t="s">
        <v>17</v>
      </c>
      <c r="D499" t="s">
        <v>18</v>
      </c>
      <c r="E499">
        <v>35</v>
      </c>
      <c r="F499" t="s">
        <v>23</v>
      </c>
      <c r="G499">
        <v>19513</v>
      </c>
      <c r="H499">
        <v>9358</v>
      </c>
      <c r="I499">
        <v>12</v>
      </c>
      <c r="J499">
        <v>26</v>
      </c>
      <c r="K499">
        <v>2</v>
      </c>
      <c r="L499">
        <v>2</v>
      </c>
      <c r="M499">
        <v>0</v>
      </c>
      <c r="N499">
        <v>1</v>
      </c>
      <c r="P499">
        <f>G499*I499/100</f>
        <v>2341.56</v>
      </c>
      <c r="Q499">
        <f t="shared" si="7"/>
        <v>234156</v>
      </c>
      <c r="R499">
        <f>K499/J499</f>
        <v>7.6923076923076927E-2</v>
      </c>
      <c r="S499">
        <v>2020</v>
      </c>
    </row>
    <row r="500" spans="1:19" x14ac:dyDescent="0.3">
      <c r="A500">
        <v>22</v>
      </c>
      <c r="B500">
        <v>604</v>
      </c>
      <c r="C500" t="s">
        <v>17</v>
      </c>
      <c r="D500" t="s">
        <v>18</v>
      </c>
      <c r="E500">
        <v>69</v>
      </c>
      <c r="F500" t="s">
        <v>19</v>
      </c>
      <c r="G500">
        <v>2773</v>
      </c>
      <c r="H500">
        <v>12145</v>
      </c>
      <c r="I500">
        <v>20</v>
      </c>
      <c r="J500">
        <v>3</v>
      </c>
      <c r="K500">
        <v>2</v>
      </c>
      <c r="L500">
        <v>2</v>
      </c>
      <c r="M500">
        <v>2</v>
      </c>
      <c r="N500">
        <v>2</v>
      </c>
      <c r="P500">
        <f>G500*I500/100</f>
        <v>554.6</v>
      </c>
      <c r="Q500">
        <f t="shared" si="7"/>
        <v>33276</v>
      </c>
      <c r="R500">
        <f>K500/J500</f>
        <v>0.66666666666666663</v>
      </c>
      <c r="S500">
        <v>2020</v>
      </c>
    </row>
    <row r="501" spans="1:19" x14ac:dyDescent="0.3">
      <c r="A501">
        <v>33</v>
      </c>
      <c r="B501">
        <v>1216</v>
      </c>
      <c r="C501" t="s">
        <v>14</v>
      </c>
      <c r="D501" t="s">
        <v>18</v>
      </c>
      <c r="E501">
        <v>39</v>
      </c>
      <c r="F501" t="s">
        <v>16</v>
      </c>
      <c r="G501">
        <v>7104</v>
      </c>
      <c r="H501">
        <v>20431</v>
      </c>
      <c r="I501">
        <v>12</v>
      </c>
      <c r="J501">
        <v>6</v>
      </c>
      <c r="K501">
        <v>5</v>
      </c>
      <c r="L501">
        <v>0</v>
      </c>
      <c r="M501">
        <v>1</v>
      </c>
      <c r="N501">
        <v>2</v>
      </c>
      <c r="P501">
        <f>G501*I501/100</f>
        <v>852.48</v>
      </c>
      <c r="Q501">
        <f t="shared" si="7"/>
        <v>85248</v>
      </c>
      <c r="R501">
        <f>K501/J501</f>
        <v>0.83333333333333337</v>
      </c>
      <c r="S501">
        <v>2020</v>
      </c>
    </row>
    <row r="502" spans="1:19" x14ac:dyDescent="0.3">
      <c r="A502">
        <v>32</v>
      </c>
      <c r="B502">
        <v>646</v>
      </c>
      <c r="C502" t="s">
        <v>17</v>
      </c>
      <c r="D502" t="s">
        <v>15</v>
      </c>
      <c r="E502">
        <v>92</v>
      </c>
      <c r="F502" t="s">
        <v>19</v>
      </c>
      <c r="G502">
        <v>6322</v>
      </c>
      <c r="H502">
        <v>18089</v>
      </c>
      <c r="I502">
        <v>12</v>
      </c>
      <c r="J502">
        <v>6</v>
      </c>
      <c r="K502">
        <v>6</v>
      </c>
      <c r="L502">
        <v>4</v>
      </c>
      <c r="M502">
        <v>0</v>
      </c>
      <c r="N502">
        <v>5</v>
      </c>
      <c r="P502">
        <f>G502*I502/100</f>
        <v>758.64</v>
      </c>
      <c r="Q502">
        <f t="shared" si="7"/>
        <v>75864</v>
      </c>
      <c r="R502">
        <f>K502/J502</f>
        <v>1</v>
      </c>
      <c r="S502">
        <v>2020</v>
      </c>
    </row>
    <row r="503" spans="1:19" x14ac:dyDescent="0.3">
      <c r="A503">
        <v>30</v>
      </c>
      <c r="B503">
        <v>160</v>
      </c>
      <c r="C503" t="s">
        <v>17</v>
      </c>
      <c r="D503" t="s">
        <v>15</v>
      </c>
      <c r="E503">
        <v>71</v>
      </c>
      <c r="F503" t="s">
        <v>19</v>
      </c>
      <c r="G503">
        <v>2083</v>
      </c>
      <c r="H503">
        <v>22653</v>
      </c>
      <c r="I503">
        <v>20</v>
      </c>
      <c r="J503">
        <v>1</v>
      </c>
      <c r="K503">
        <v>1</v>
      </c>
      <c r="L503">
        <v>0</v>
      </c>
      <c r="M503">
        <v>0</v>
      </c>
      <c r="N503">
        <v>0</v>
      </c>
      <c r="P503">
        <f>G503*I503/100</f>
        <v>416.6</v>
      </c>
      <c r="Q503">
        <f t="shared" si="7"/>
        <v>24996</v>
      </c>
      <c r="R503">
        <f>K503/J503</f>
        <v>1</v>
      </c>
      <c r="S503">
        <v>2020</v>
      </c>
    </row>
    <row r="504" spans="1:19" x14ac:dyDescent="0.3">
      <c r="A504">
        <v>53</v>
      </c>
      <c r="B504">
        <v>238</v>
      </c>
      <c r="C504" t="s">
        <v>14</v>
      </c>
      <c r="D504" t="s">
        <v>15</v>
      </c>
      <c r="E504">
        <v>34</v>
      </c>
      <c r="F504" t="s">
        <v>16</v>
      </c>
      <c r="G504">
        <v>8381</v>
      </c>
      <c r="H504">
        <v>7507</v>
      </c>
      <c r="I504">
        <v>20</v>
      </c>
      <c r="J504">
        <v>18</v>
      </c>
      <c r="K504">
        <v>14</v>
      </c>
      <c r="L504">
        <v>7</v>
      </c>
      <c r="M504">
        <v>8</v>
      </c>
      <c r="N504">
        <v>10</v>
      </c>
      <c r="P504">
        <f>G504*I504/100</f>
        <v>1676.2</v>
      </c>
      <c r="Q504">
        <f t="shared" si="7"/>
        <v>100572</v>
      </c>
      <c r="R504">
        <f>K504/J504</f>
        <v>0.77777777777777779</v>
      </c>
      <c r="S504">
        <v>2020</v>
      </c>
    </row>
    <row r="505" spans="1:19" x14ac:dyDescent="0.3">
      <c r="A505">
        <v>34</v>
      </c>
      <c r="B505">
        <v>1397</v>
      </c>
      <c r="C505" t="s">
        <v>17</v>
      </c>
      <c r="D505" t="s">
        <v>18</v>
      </c>
      <c r="E505">
        <v>42</v>
      </c>
      <c r="F505" t="s">
        <v>19</v>
      </c>
      <c r="G505">
        <v>2691</v>
      </c>
      <c r="H505">
        <v>7660</v>
      </c>
      <c r="I505">
        <v>12</v>
      </c>
      <c r="J505">
        <v>10</v>
      </c>
      <c r="K505">
        <v>10</v>
      </c>
      <c r="L505">
        <v>9</v>
      </c>
      <c r="M505">
        <v>8</v>
      </c>
      <c r="N505">
        <v>8</v>
      </c>
      <c r="P505">
        <f>G505*I505/100</f>
        <v>322.92</v>
      </c>
      <c r="Q505">
        <f t="shared" si="7"/>
        <v>32292</v>
      </c>
      <c r="R505">
        <f>K505/J505</f>
        <v>1</v>
      </c>
      <c r="S505">
        <v>2020</v>
      </c>
    </row>
    <row r="506" spans="1:19" x14ac:dyDescent="0.3">
      <c r="A506">
        <v>45</v>
      </c>
      <c r="B506">
        <v>306</v>
      </c>
      <c r="C506" t="s">
        <v>14</v>
      </c>
      <c r="D506" t="s">
        <v>15</v>
      </c>
      <c r="E506">
        <v>100</v>
      </c>
      <c r="F506" t="s">
        <v>16</v>
      </c>
      <c r="G506">
        <v>4286</v>
      </c>
      <c r="H506">
        <v>5630</v>
      </c>
      <c r="I506">
        <v>14</v>
      </c>
      <c r="J506">
        <v>5</v>
      </c>
      <c r="K506">
        <v>1</v>
      </c>
      <c r="L506">
        <v>1</v>
      </c>
      <c r="M506">
        <v>0</v>
      </c>
      <c r="N506">
        <v>0</v>
      </c>
      <c r="P506">
        <f>G506*I506/100</f>
        <v>600.04</v>
      </c>
      <c r="Q506">
        <f t="shared" si="7"/>
        <v>51432</v>
      </c>
      <c r="R506">
        <f>K506/J506</f>
        <v>0.2</v>
      </c>
      <c r="S506">
        <v>2020</v>
      </c>
    </row>
    <row r="507" spans="1:19" x14ac:dyDescent="0.3">
      <c r="A507">
        <v>26</v>
      </c>
      <c r="B507">
        <v>991</v>
      </c>
      <c r="C507" t="s">
        <v>17</v>
      </c>
      <c r="D507" t="s">
        <v>15</v>
      </c>
      <c r="E507">
        <v>71</v>
      </c>
      <c r="F507" t="s">
        <v>20</v>
      </c>
      <c r="G507">
        <v>2659</v>
      </c>
      <c r="H507">
        <v>17759</v>
      </c>
      <c r="I507">
        <v>13</v>
      </c>
      <c r="J507">
        <v>3</v>
      </c>
      <c r="K507">
        <v>3</v>
      </c>
      <c r="L507">
        <v>2</v>
      </c>
      <c r="M507">
        <v>0</v>
      </c>
      <c r="N507">
        <v>2</v>
      </c>
      <c r="P507">
        <f>G507*I507/100</f>
        <v>345.67</v>
      </c>
      <c r="Q507">
        <f t="shared" si="7"/>
        <v>31908</v>
      </c>
      <c r="R507">
        <f>K507/J507</f>
        <v>1</v>
      </c>
      <c r="S507">
        <v>2020</v>
      </c>
    </row>
    <row r="508" spans="1:19" x14ac:dyDescent="0.3">
      <c r="A508">
        <v>37</v>
      </c>
      <c r="B508">
        <v>482</v>
      </c>
      <c r="C508" t="s">
        <v>17</v>
      </c>
      <c r="D508" t="s">
        <v>18</v>
      </c>
      <c r="E508">
        <v>36</v>
      </c>
      <c r="F508" t="s">
        <v>21</v>
      </c>
      <c r="G508">
        <v>9434</v>
      </c>
      <c r="H508">
        <v>9606</v>
      </c>
      <c r="I508">
        <v>15</v>
      </c>
      <c r="J508">
        <v>10</v>
      </c>
      <c r="K508">
        <v>10</v>
      </c>
      <c r="L508">
        <v>7</v>
      </c>
      <c r="M508">
        <v>7</v>
      </c>
      <c r="N508">
        <v>8</v>
      </c>
      <c r="P508">
        <f>G508*I508/100</f>
        <v>1415.1</v>
      </c>
      <c r="Q508">
        <f t="shared" si="7"/>
        <v>113208</v>
      </c>
      <c r="R508">
        <f>K508/J508</f>
        <v>1</v>
      </c>
      <c r="S508">
        <v>2020</v>
      </c>
    </row>
    <row r="509" spans="1:19" x14ac:dyDescent="0.3">
      <c r="A509">
        <v>29</v>
      </c>
      <c r="B509">
        <v>1176</v>
      </c>
      <c r="C509" t="s">
        <v>14</v>
      </c>
      <c r="D509" t="s">
        <v>15</v>
      </c>
      <c r="E509">
        <v>62</v>
      </c>
      <c r="F509" t="s">
        <v>16</v>
      </c>
      <c r="G509">
        <v>5561</v>
      </c>
      <c r="H509">
        <v>3487</v>
      </c>
      <c r="I509">
        <v>14</v>
      </c>
      <c r="J509">
        <v>6</v>
      </c>
      <c r="K509">
        <v>6</v>
      </c>
      <c r="L509">
        <v>0</v>
      </c>
      <c r="M509">
        <v>1</v>
      </c>
      <c r="N509">
        <v>2</v>
      </c>
      <c r="P509">
        <f>G509*I509/100</f>
        <v>778.54</v>
      </c>
      <c r="Q509">
        <f t="shared" si="7"/>
        <v>66732</v>
      </c>
      <c r="R509">
        <f>K509/J509</f>
        <v>1</v>
      </c>
      <c r="S509">
        <v>2020</v>
      </c>
    </row>
    <row r="510" spans="1:19" x14ac:dyDescent="0.3">
      <c r="A510">
        <v>35</v>
      </c>
      <c r="B510">
        <v>1017</v>
      </c>
      <c r="C510" t="s">
        <v>17</v>
      </c>
      <c r="D510" t="s">
        <v>18</v>
      </c>
      <c r="E510">
        <v>82</v>
      </c>
      <c r="F510" t="s">
        <v>19</v>
      </c>
      <c r="G510">
        <v>6646</v>
      </c>
      <c r="H510">
        <v>19368</v>
      </c>
      <c r="I510">
        <v>13</v>
      </c>
      <c r="J510">
        <v>17</v>
      </c>
      <c r="K510">
        <v>17</v>
      </c>
      <c r="L510">
        <v>11</v>
      </c>
      <c r="M510">
        <v>11</v>
      </c>
      <c r="N510">
        <v>8</v>
      </c>
      <c r="P510">
        <f>G510*I510/100</f>
        <v>863.98</v>
      </c>
      <c r="Q510">
        <f t="shared" si="7"/>
        <v>79752</v>
      </c>
      <c r="R510">
        <f>K510/J510</f>
        <v>1</v>
      </c>
      <c r="S510">
        <v>2020</v>
      </c>
    </row>
    <row r="511" spans="1:19" x14ac:dyDescent="0.3">
      <c r="A511">
        <v>33</v>
      </c>
      <c r="B511">
        <v>1296</v>
      </c>
      <c r="C511" t="s">
        <v>17</v>
      </c>
      <c r="D511" t="s">
        <v>18</v>
      </c>
      <c r="E511">
        <v>30</v>
      </c>
      <c r="F511" t="s">
        <v>22</v>
      </c>
      <c r="G511">
        <v>7725</v>
      </c>
      <c r="H511">
        <v>5335</v>
      </c>
      <c r="I511">
        <v>23</v>
      </c>
      <c r="J511">
        <v>15</v>
      </c>
      <c r="K511">
        <v>13</v>
      </c>
      <c r="L511">
        <v>11</v>
      </c>
      <c r="M511">
        <v>4</v>
      </c>
      <c r="N511">
        <v>7</v>
      </c>
      <c r="P511">
        <f>G511*I511/100</f>
        <v>1776.75</v>
      </c>
      <c r="Q511">
        <f t="shared" si="7"/>
        <v>92700</v>
      </c>
      <c r="R511">
        <f>K511/J511</f>
        <v>0.8666666666666667</v>
      </c>
      <c r="S511">
        <v>2020</v>
      </c>
    </row>
    <row r="512" spans="1:19" x14ac:dyDescent="0.3">
      <c r="A512">
        <v>54</v>
      </c>
      <c r="B512">
        <v>397</v>
      </c>
      <c r="C512" t="s">
        <v>26</v>
      </c>
      <c r="D512" t="s">
        <v>18</v>
      </c>
      <c r="E512">
        <v>88</v>
      </c>
      <c r="F512" t="s">
        <v>26</v>
      </c>
      <c r="G512">
        <v>10725</v>
      </c>
      <c r="H512">
        <v>6729</v>
      </c>
      <c r="I512">
        <v>15</v>
      </c>
      <c r="J512">
        <v>16</v>
      </c>
      <c r="K512">
        <v>9</v>
      </c>
      <c r="L512">
        <v>7</v>
      </c>
      <c r="M512">
        <v>7</v>
      </c>
      <c r="N512">
        <v>1</v>
      </c>
      <c r="P512">
        <f>G512*I512/100</f>
        <v>1608.75</v>
      </c>
      <c r="Q512">
        <f t="shared" si="7"/>
        <v>128700</v>
      </c>
      <c r="R512">
        <f>K512/J512</f>
        <v>0.5625</v>
      </c>
      <c r="S512">
        <v>2020</v>
      </c>
    </row>
    <row r="513" spans="1:19" x14ac:dyDescent="0.3">
      <c r="A513">
        <v>36</v>
      </c>
      <c r="B513">
        <v>913</v>
      </c>
      <c r="C513" t="s">
        <v>17</v>
      </c>
      <c r="D513" t="s">
        <v>18</v>
      </c>
      <c r="E513">
        <v>48</v>
      </c>
      <c r="F513" t="s">
        <v>21</v>
      </c>
      <c r="G513">
        <v>8847</v>
      </c>
      <c r="H513">
        <v>13934</v>
      </c>
      <c r="I513">
        <v>11</v>
      </c>
      <c r="J513">
        <v>13</v>
      </c>
      <c r="K513">
        <v>3</v>
      </c>
      <c r="L513">
        <v>2</v>
      </c>
      <c r="M513">
        <v>0</v>
      </c>
      <c r="N513">
        <v>2</v>
      </c>
      <c r="P513">
        <f>G513*I513/100</f>
        <v>973.17</v>
      </c>
      <c r="Q513">
        <f t="shared" si="7"/>
        <v>106164</v>
      </c>
      <c r="R513">
        <f>K513/J513</f>
        <v>0.23076923076923078</v>
      </c>
      <c r="S513">
        <v>2020</v>
      </c>
    </row>
    <row r="514" spans="1:19" x14ac:dyDescent="0.3">
      <c r="A514">
        <v>27</v>
      </c>
      <c r="B514">
        <v>1115</v>
      </c>
      <c r="C514" t="s">
        <v>17</v>
      </c>
      <c r="D514" t="s">
        <v>18</v>
      </c>
      <c r="E514">
        <v>54</v>
      </c>
      <c r="F514" t="s">
        <v>19</v>
      </c>
      <c r="G514">
        <v>2045</v>
      </c>
      <c r="H514">
        <v>15174</v>
      </c>
      <c r="I514">
        <v>13</v>
      </c>
      <c r="J514">
        <v>5</v>
      </c>
      <c r="K514">
        <v>4</v>
      </c>
      <c r="L514">
        <v>2</v>
      </c>
      <c r="M514">
        <v>1</v>
      </c>
      <c r="N514">
        <v>1</v>
      </c>
      <c r="P514">
        <f>G514*I514/100</f>
        <v>265.85000000000002</v>
      </c>
      <c r="Q514">
        <f t="shared" si="7"/>
        <v>24540</v>
      </c>
      <c r="R514">
        <f>K514/J514</f>
        <v>0.8</v>
      </c>
      <c r="S514">
        <v>2020</v>
      </c>
    </row>
    <row r="515" spans="1:19" x14ac:dyDescent="0.3">
      <c r="A515">
        <v>20</v>
      </c>
      <c r="B515">
        <v>1362</v>
      </c>
      <c r="C515" t="s">
        <v>17</v>
      </c>
      <c r="D515" t="s">
        <v>18</v>
      </c>
      <c r="E515">
        <v>32</v>
      </c>
      <c r="F515" t="s">
        <v>19</v>
      </c>
      <c r="G515">
        <v>1009</v>
      </c>
      <c r="H515">
        <v>26999</v>
      </c>
      <c r="I515">
        <v>11</v>
      </c>
      <c r="J515">
        <v>1</v>
      </c>
      <c r="K515">
        <v>1</v>
      </c>
      <c r="L515">
        <v>0</v>
      </c>
      <c r="M515">
        <v>1</v>
      </c>
      <c r="N515">
        <v>1</v>
      </c>
      <c r="P515">
        <f>G515*I515/100</f>
        <v>110.99</v>
      </c>
      <c r="Q515">
        <f t="shared" ref="Q515:Q578" si="8">G515*12</f>
        <v>12108</v>
      </c>
      <c r="R515">
        <f>K515/J515</f>
        <v>1</v>
      </c>
      <c r="S515">
        <v>2020</v>
      </c>
    </row>
    <row r="516" spans="1:19" x14ac:dyDescent="0.3">
      <c r="A516">
        <v>33</v>
      </c>
      <c r="B516">
        <v>1076</v>
      </c>
      <c r="C516" t="s">
        <v>17</v>
      </c>
      <c r="D516" t="s">
        <v>18</v>
      </c>
      <c r="E516">
        <v>70</v>
      </c>
      <c r="F516" t="s">
        <v>19</v>
      </c>
      <c r="G516">
        <v>3348</v>
      </c>
      <c r="H516">
        <v>3164</v>
      </c>
      <c r="I516">
        <v>11</v>
      </c>
      <c r="J516">
        <v>10</v>
      </c>
      <c r="K516">
        <v>10</v>
      </c>
      <c r="L516">
        <v>8</v>
      </c>
      <c r="M516">
        <v>9</v>
      </c>
      <c r="N516">
        <v>7</v>
      </c>
      <c r="P516">
        <f>G516*I516/100</f>
        <v>368.28</v>
      </c>
      <c r="Q516">
        <f t="shared" si="8"/>
        <v>40176</v>
      </c>
      <c r="R516">
        <f>K516/J516</f>
        <v>1</v>
      </c>
      <c r="S516">
        <v>2020</v>
      </c>
    </row>
    <row r="517" spans="1:19" x14ac:dyDescent="0.3">
      <c r="A517">
        <v>35</v>
      </c>
      <c r="B517">
        <v>727</v>
      </c>
      <c r="C517" t="s">
        <v>17</v>
      </c>
      <c r="D517" t="s">
        <v>18</v>
      </c>
      <c r="E517">
        <v>41</v>
      </c>
      <c r="F517" t="s">
        <v>20</v>
      </c>
      <c r="G517">
        <v>1281</v>
      </c>
      <c r="H517">
        <v>16900</v>
      </c>
      <c r="I517">
        <v>18</v>
      </c>
      <c r="J517">
        <v>1</v>
      </c>
      <c r="K517">
        <v>1</v>
      </c>
      <c r="L517">
        <v>0</v>
      </c>
      <c r="M517">
        <v>0</v>
      </c>
      <c r="N517">
        <v>0</v>
      </c>
      <c r="P517">
        <f>G517*I517/100</f>
        <v>230.58</v>
      </c>
      <c r="Q517">
        <f t="shared" si="8"/>
        <v>15372</v>
      </c>
      <c r="R517">
        <f>K517/J517</f>
        <v>1</v>
      </c>
      <c r="S517">
        <v>2020</v>
      </c>
    </row>
    <row r="518" spans="1:19" x14ac:dyDescent="0.3">
      <c r="A518">
        <v>23</v>
      </c>
      <c r="B518">
        <v>885</v>
      </c>
      <c r="C518" t="s">
        <v>17</v>
      </c>
      <c r="D518" t="s">
        <v>18</v>
      </c>
      <c r="E518">
        <v>58</v>
      </c>
      <c r="F518" t="s">
        <v>19</v>
      </c>
      <c r="G518">
        <v>2819</v>
      </c>
      <c r="H518">
        <v>8544</v>
      </c>
      <c r="I518">
        <v>16</v>
      </c>
      <c r="J518">
        <v>5</v>
      </c>
      <c r="K518">
        <v>3</v>
      </c>
      <c r="L518">
        <v>2</v>
      </c>
      <c r="M518">
        <v>0</v>
      </c>
      <c r="N518">
        <v>2</v>
      </c>
      <c r="P518">
        <f>G518*I518/100</f>
        <v>451.04</v>
      </c>
      <c r="Q518">
        <f t="shared" si="8"/>
        <v>33828</v>
      </c>
      <c r="R518">
        <f>K518/J518</f>
        <v>0.6</v>
      </c>
      <c r="S518">
        <v>2020</v>
      </c>
    </row>
    <row r="519" spans="1:19" x14ac:dyDescent="0.3">
      <c r="A519">
        <v>25</v>
      </c>
      <c r="B519">
        <v>810</v>
      </c>
      <c r="C519" t="s">
        <v>14</v>
      </c>
      <c r="D519" t="s">
        <v>18</v>
      </c>
      <c r="E519">
        <v>57</v>
      </c>
      <c r="F519" t="s">
        <v>16</v>
      </c>
      <c r="G519">
        <v>4851</v>
      </c>
      <c r="H519">
        <v>15678</v>
      </c>
      <c r="I519">
        <v>22</v>
      </c>
      <c r="J519">
        <v>4</v>
      </c>
      <c r="K519">
        <v>3</v>
      </c>
      <c r="L519">
        <v>2</v>
      </c>
      <c r="M519">
        <v>1</v>
      </c>
      <c r="N519">
        <v>2</v>
      </c>
      <c r="P519">
        <f>G519*I519/100</f>
        <v>1067.22</v>
      </c>
      <c r="Q519">
        <f t="shared" si="8"/>
        <v>58212</v>
      </c>
      <c r="R519">
        <f>K519/J519</f>
        <v>0.75</v>
      </c>
      <c r="S519">
        <v>2020</v>
      </c>
    </row>
    <row r="520" spans="1:19" x14ac:dyDescent="0.3">
      <c r="A520">
        <v>38</v>
      </c>
      <c r="B520">
        <v>243</v>
      </c>
      <c r="C520" t="s">
        <v>14</v>
      </c>
      <c r="D520" t="s">
        <v>15</v>
      </c>
      <c r="E520">
        <v>46</v>
      </c>
      <c r="F520" t="s">
        <v>16</v>
      </c>
      <c r="G520">
        <v>4028</v>
      </c>
      <c r="H520">
        <v>7791</v>
      </c>
      <c r="I520">
        <v>20</v>
      </c>
      <c r="J520">
        <v>8</v>
      </c>
      <c r="K520">
        <v>7</v>
      </c>
      <c r="L520">
        <v>7</v>
      </c>
      <c r="M520">
        <v>0</v>
      </c>
      <c r="N520">
        <v>5</v>
      </c>
      <c r="P520">
        <f>G520*I520/100</f>
        <v>805.6</v>
      </c>
      <c r="Q520">
        <f t="shared" si="8"/>
        <v>48336</v>
      </c>
      <c r="R520">
        <f>K520/J520</f>
        <v>0.875</v>
      </c>
      <c r="S520">
        <v>2020</v>
      </c>
    </row>
    <row r="521" spans="1:19" x14ac:dyDescent="0.3">
      <c r="A521">
        <v>29</v>
      </c>
      <c r="B521">
        <v>806</v>
      </c>
      <c r="C521" t="s">
        <v>17</v>
      </c>
      <c r="D521" t="s">
        <v>18</v>
      </c>
      <c r="E521">
        <v>76</v>
      </c>
      <c r="F521" t="s">
        <v>19</v>
      </c>
      <c r="G521">
        <v>2720</v>
      </c>
      <c r="H521">
        <v>18959</v>
      </c>
      <c r="I521">
        <v>18</v>
      </c>
      <c r="J521">
        <v>10</v>
      </c>
      <c r="K521">
        <v>10</v>
      </c>
      <c r="L521">
        <v>7</v>
      </c>
      <c r="M521">
        <v>2</v>
      </c>
      <c r="N521">
        <v>8</v>
      </c>
      <c r="P521">
        <f>G521*I521/100</f>
        <v>489.6</v>
      </c>
      <c r="Q521">
        <f t="shared" si="8"/>
        <v>32640</v>
      </c>
      <c r="R521">
        <f>K521/J521</f>
        <v>1</v>
      </c>
      <c r="S521">
        <v>2020</v>
      </c>
    </row>
    <row r="522" spans="1:19" x14ac:dyDescent="0.3">
      <c r="A522">
        <v>48</v>
      </c>
      <c r="B522">
        <v>817</v>
      </c>
      <c r="C522" t="s">
        <v>14</v>
      </c>
      <c r="D522" t="s">
        <v>18</v>
      </c>
      <c r="E522">
        <v>56</v>
      </c>
      <c r="F522" t="s">
        <v>16</v>
      </c>
      <c r="G522">
        <v>8120</v>
      </c>
      <c r="H522">
        <v>18597</v>
      </c>
      <c r="I522">
        <v>12</v>
      </c>
      <c r="J522">
        <v>12</v>
      </c>
      <c r="K522">
        <v>2</v>
      </c>
      <c r="L522">
        <v>2</v>
      </c>
      <c r="M522">
        <v>2</v>
      </c>
      <c r="N522">
        <v>2</v>
      </c>
      <c r="P522">
        <f>G522*I522/100</f>
        <v>974.4</v>
      </c>
      <c r="Q522">
        <f t="shared" si="8"/>
        <v>97440</v>
      </c>
      <c r="R522">
        <f>K522/J522</f>
        <v>0.16666666666666666</v>
      </c>
      <c r="S522">
        <v>2020</v>
      </c>
    </row>
    <row r="523" spans="1:19" x14ac:dyDescent="0.3">
      <c r="A523">
        <v>27</v>
      </c>
      <c r="B523">
        <v>1410</v>
      </c>
      <c r="C523" t="s">
        <v>14</v>
      </c>
      <c r="D523" t="s">
        <v>15</v>
      </c>
      <c r="E523">
        <v>71</v>
      </c>
      <c r="F523" t="s">
        <v>16</v>
      </c>
      <c r="G523">
        <v>4647</v>
      </c>
      <c r="H523">
        <v>16673</v>
      </c>
      <c r="I523">
        <v>20</v>
      </c>
      <c r="J523">
        <v>6</v>
      </c>
      <c r="K523">
        <v>6</v>
      </c>
      <c r="L523">
        <v>5</v>
      </c>
      <c r="M523">
        <v>0</v>
      </c>
      <c r="N523">
        <v>4</v>
      </c>
      <c r="P523">
        <f>G523*I523/100</f>
        <v>929.4</v>
      </c>
      <c r="Q523">
        <f t="shared" si="8"/>
        <v>55764</v>
      </c>
      <c r="R523">
        <f>K523/J523</f>
        <v>1</v>
      </c>
      <c r="S523">
        <v>2020</v>
      </c>
    </row>
    <row r="524" spans="1:19" x14ac:dyDescent="0.3">
      <c r="A524">
        <v>37</v>
      </c>
      <c r="B524">
        <v>1225</v>
      </c>
      <c r="C524" t="s">
        <v>17</v>
      </c>
      <c r="D524" t="s">
        <v>18</v>
      </c>
      <c r="E524">
        <v>80</v>
      </c>
      <c r="F524" t="s">
        <v>19</v>
      </c>
      <c r="G524">
        <v>4680</v>
      </c>
      <c r="H524">
        <v>15232</v>
      </c>
      <c r="I524">
        <v>17</v>
      </c>
      <c r="J524">
        <v>4</v>
      </c>
      <c r="K524">
        <v>1</v>
      </c>
      <c r="L524">
        <v>0</v>
      </c>
      <c r="M524">
        <v>0</v>
      </c>
      <c r="N524">
        <v>0</v>
      </c>
      <c r="P524">
        <f>G524*I524/100</f>
        <v>795.6</v>
      </c>
      <c r="Q524">
        <f t="shared" si="8"/>
        <v>56160</v>
      </c>
      <c r="R524">
        <f>K524/J524</f>
        <v>0.25</v>
      </c>
      <c r="S524">
        <v>2020</v>
      </c>
    </row>
    <row r="525" spans="1:19" x14ac:dyDescent="0.3">
      <c r="A525">
        <v>50</v>
      </c>
      <c r="B525">
        <v>1207</v>
      </c>
      <c r="C525" t="s">
        <v>17</v>
      </c>
      <c r="D525" t="s">
        <v>18</v>
      </c>
      <c r="E525">
        <v>74</v>
      </c>
      <c r="F525" t="s">
        <v>20</v>
      </c>
      <c r="G525">
        <v>3221</v>
      </c>
      <c r="H525">
        <v>3297</v>
      </c>
      <c r="I525">
        <v>11</v>
      </c>
      <c r="J525">
        <v>20</v>
      </c>
      <c r="K525">
        <v>20</v>
      </c>
      <c r="L525">
        <v>8</v>
      </c>
      <c r="M525">
        <v>3</v>
      </c>
      <c r="N525">
        <v>8</v>
      </c>
      <c r="P525">
        <f>G525*I525/100</f>
        <v>354.31</v>
      </c>
      <c r="Q525">
        <f t="shared" si="8"/>
        <v>38652</v>
      </c>
      <c r="R525">
        <f>K525/J525</f>
        <v>1</v>
      </c>
      <c r="S525">
        <v>2020</v>
      </c>
    </row>
    <row r="526" spans="1:19" x14ac:dyDescent="0.3">
      <c r="A526">
        <v>34</v>
      </c>
      <c r="B526">
        <v>1442</v>
      </c>
      <c r="C526" t="s">
        <v>17</v>
      </c>
      <c r="D526" t="s">
        <v>15</v>
      </c>
      <c r="E526">
        <v>46</v>
      </c>
      <c r="F526" t="s">
        <v>22</v>
      </c>
      <c r="G526">
        <v>8621</v>
      </c>
      <c r="H526">
        <v>17654</v>
      </c>
      <c r="I526">
        <v>14</v>
      </c>
      <c r="J526">
        <v>9</v>
      </c>
      <c r="K526">
        <v>8</v>
      </c>
      <c r="L526">
        <v>7</v>
      </c>
      <c r="M526">
        <v>7</v>
      </c>
      <c r="N526">
        <v>7</v>
      </c>
      <c r="P526">
        <f>G526*I526/100</f>
        <v>1206.94</v>
      </c>
      <c r="Q526">
        <f t="shared" si="8"/>
        <v>103452</v>
      </c>
      <c r="R526">
        <f>K526/J526</f>
        <v>0.88888888888888884</v>
      </c>
      <c r="S526">
        <v>2020</v>
      </c>
    </row>
    <row r="527" spans="1:19" x14ac:dyDescent="0.3">
      <c r="A527">
        <v>24</v>
      </c>
      <c r="B527">
        <v>693</v>
      </c>
      <c r="C527" t="s">
        <v>14</v>
      </c>
      <c r="D527" t="s">
        <v>15</v>
      </c>
      <c r="E527">
        <v>65</v>
      </c>
      <c r="F527" t="s">
        <v>16</v>
      </c>
      <c r="G527">
        <v>4577</v>
      </c>
      <c r="H527">
        <v>24785</v>
      </c>
      <c r="I527">
        <v>14</v>
      </c>
      <c r="J527">
        <v>4</v>
      </c>
      <c r="K527">
        <v>2</v>
      </c>
      <c r="L527">
        <v>2</v>
      </c>
      <c r="M527">
        <v>2</v>
      </c>
      <c r="N527">
        <v>0</v>
      </c>
      <c r="P527">
        <f>G527*I527/100</f>
        <v>640.78</v>
      </c>
      <c r="Q527">
        <f t="shared" si="8"/>
        <v>54924</v>
      </c>
      <c r="R527">
        <f>K527/J527</f>
        <v>0.5</v>
      </c>
      <c r="S527">
        <v>2020</v>
      </c>
    </row>
    <row r="528" spans="1:19" x14ac:dyDescent="0.3">
      <c r="A528">
        <v>39</v>
      </c>
      <c r="B528">
        <v>408</v>
      </c>
      <c r="C528" t="s">
        <v>17</v>
      </c>
      <c r="D528" t="s">
        <v>15</v>
      </c>
      <c r="E528">
        <v>80</v>
      </c>
      <c r="F528" t="s">
        <v>22</v>
      </c>
      <c r="G528">
        <v>4553</v>
      </c>
      <c r="H528">
        <v>20978</v>
      </c>
      <c r="I528">
        <v>11</v>
      </c>
      <c r="J528">
        <v>20</v>
      </c>
      <c r="K528">
        <v>20</v>
      </c>
      <c r="L528">
        <v>7</v>
      </c>
      <c r="M528">
        <v>11</v>
      </c>
      <c r="N528">
        <v>10</v>
      </c>
      <c r="P528">
        <f>G528*I528/100</f>
        <v>500.83</v>
      </c>
      <c r="Q528">
        <f t="shared" si="8"/>
        <v>54636</v>
      </c>
      <c r="R528">
        <f>K528/J528</f>
        <v>1</v>
      </c>
      <c r="S528">
        <v>2020</v>
      </c>
    </row>
    <row r="529" spans="1:19" x14ac:dyDescent="0.3">
      <c r="A529">
        <v>32</v>
      </c>
      <c r="B529">
        <v>929</v>
      </c>
      <c r="C529" t="s">
        <v>14</v>
      </c>
      <c r="D529" t="s">
        <v>18</v>
      </c>
      <c r="E529">
        <v>55</v>
      </c>
      <c r="F529" t="s">
        <v>16</v>
      </c>
      <c r="G529">
        <v>5396</v>
      </c>
      <c r="H529">
        <v>21703</v>
      </c>
      <c r="I529">
        <v>12</v>
      </c>
      <c r="J529">
        <v>10</v>
      </c>
      <c r="K529">
        <v>10</v>
      </c>
      <c r="L529">
        <v>7</v>
      </c>
      <c r="M529">
        <v>0</v>
      </c>
      <c r="N529">
        <v>8</v>
      </c>
      <c r="P529">
        <f>G529*I529/100</f>
        <v>647.52</v>
      </c>
      <c r="Q529">
        <f t="shared" si="8"/>
        <v>64752</v>
      </c>
      <c r="R529">
        <f>K529/J529</f>
        <v>1</v>
      </c>
      <c r="S529">
        <v>2020</v>
      </c>
    </row>
    <row r="530" spans="1:19" x14ac:dyDescent="0.3">
      <c r="A530">
        <v>50</v>
      </c>
      <c r="B530">
        <v>562</v>
      </c>
      <c r="C530" t="s">
        <v>14</v>
      </c>
      <c r="D530" t="s">
        <v>18</v>
      </c>
      <c r="E530">
        <v>50</v>
      </c>
      <c r="F530" t="s">
        <v>16</v>
      </c>
      <c r="G530">
        <v>6796</v>
      </c>
      <c r="H530">
        <v>23452</v>
      </c>
      <c r="I530">
        <v>14</v>
      </c>
      <c r="J530">
        <v>18</v>
      </c>
      <c r="K530">
        <v>4</v>
      </c>
      <c r="L530">
        <v>3</v>
      </c>
      <c r="M530">
        <v>1</v>
      </c>
      <c r="N530">
        <v>3</v>
      </c>
      <c r="P530">
        <f>G530*I530/100</f>
        <v>951.44</v>
      </c>
      <c r="Q530">
        <f t="shared" si="8"/>
        <v>81552</v>
      </c>
      <c r="R530">
        <f>K530/J530</f>
        <v>0.22222222222222221</v>
      </c>
      <c r="S530">
        <v>2020</v>
      </c>
    </row>
    <row r="531" spans="1:19" x14ac:dyDescent="0.3">
      <c r="A531">
        <v>38</v>
      </c>
      <c r="B531">
        <v>827</v>
      </c>
      <c r="C531" t="s">
        <v>17</v>
      </c>
      <c r="D531" t="s">
        <v>15</v>
      </c>
      <c r="E531">
        <v>33</v>
      </c>
      <c r="F531" t="s">
        <v>22</v>
      </c>
      <c r="G531">
        <v>7625</v>
      </c>
      <c r="H531">
        <v>19383</v>
      </c>
      <c r="I531">
        <v>13</v>
      </c>
      <c r="J531">
        <v>10</v>
      </c>
      <c r="K531">
        <v>9</v>
      </c>
      <c r="L531">
        <v>7</v>
      </c>
      <c r="M531">
        <v>1</v>
      </c>
      <c r="N531">
        <v>8</v>
      </c>
      <c r="P531">
        <f>G531*I531/100</f>
        <v>991.25</v>
      </c>
      <c r="Q531">
        <f t="shared" si="8"/>
        <v>91500</v>
      </c>
      <c r="R531">
        <f>K531/J531</f>
        <v>0.9</v>
      </c>
      <c r="S531">
        <v>2020</v>
      </c>
    </row>
    <row r="532" spans="1:19" x14ac:dyDescent="0.3">
      <c r="A532">
        <v>27</v>
      </c>
      <c r="B532">
        <v>608</v>
      </c>
      <c r="C532" t="s">
        <v>17</v>
      </c>
      <c r="D532" t="s">
        <v>15</v>
      </c>
      <c r="E532">
        <v>68</v>
      </c>
      <c r="F532" t="s">
        <v>21</v>
      </c>
      <c r="G532">
        <v>7412</v>
      </c>
      <c r="H532">
        <v>6009</v>
      </c>
      <c r="I532">
        <v>11</v>
      </c>
      <c r="J532">
        <v>9</v>
      </c>
      <c r="K532">
        <v>9</v>
      </c>
      <c r="L532">
        <v>7</v>
      </c>
      <c r="M532">
        <v>0</v>
      </c>
      <c r="N532">
        <v>7</v>
      </c>
      <c r="P532">
        <f>G532*I532/100</f>
        <v>815.32</v>
      </c>
      <c r="Q532">
        <f t="shared" si="8"/>
        <v>88944</v>
      </c>
      <c r="R532">
        <f>K532/J532</f>
        <v>1</v>
      </c>
      <c r="S532">
        <v>2020</v>
      </c>
    </row>
    <row r="533" spans="1:19" x14ac:dyDescent="0.3">
      <c r="A533">
        <v>32</v>
      </c>
      <c r="B533">
        <v>1018</v>
      </c>
      <c r="C533" t="s">
        <v>17</v>
      </c>
      <c r="D533" t="s">
        <v>15</v>
      </c>
      <c r="E533">
        <v>39</v>
      </c>
      <c r="F533" t="s">
        <v>25</v>
      </c>
      <c r="G533">
        <v>11159</v>
      </c>
      <c r="H533">
        <v>19373</v>
      </c>
      <c r="I533">
        <v>15</v>
      </c>
      <c r="J533">
        <v>10</v>
      </c>
      <c r="K533">
        <v>7</v>
      </c>
      <c r="L533">
        <v>7</v>
      </c>
      <c r="M533">
        <v>7</v>
      </c>
      <c r="N533">
        <v>7</v>
      </c>
      <c r="P533">
        <f>G533*I533/100</f>
        <v>1673.85</v>
      </c>
      <c r="Q533">
        <f t="shared" si="8"/>
        <v>133908</v>
      </c>
      <c r="R533">
        <f>K533/J533</f>
        <v>0.7</v>
      </c>
      <c r="S533">
        <v>2020</v>
      </c>
    </row>
    <row r="534" spans="1:19" x14ac:dyDescent="0.3">
      <c r="A534">
        <v>47</v>
      </c>
      <c r="B534">
        <v>703</v>
      </c>
      <c r="C534" t="s">
        <v>14</v>
      </c>
      <c r="D534" t="s">
        <v>18</v>
      </c>
      <c r="E534">
        <v>42</v>
      </c>
      <c r="F534" t="s">
        <v>16</v>
      </c>
      <c r="G534">
        <v>4960</v>
      </c>
      <c r="H534">
        <v>11825</v>
      </c>
      <c r="I534">
        <v>12</v>
      </c>
      <c r="J534">
        <v>20</v>
      </c>
      <c r="K534">
        <v>7</v>
      </c>
      <c r="L534">
        <v>7</v>
      </c>
      <c r="M534">
        <v>1</v>
      </c>
      <c r="N534">
        <v>7</v>
      </c>
      <c r="P534">
        <f>G534*I534/100</f>
        <v>595.20000000000005</v>
      </c>
      <c r="Q534">
        <f t="shared" si="8"/>
        <v>59520</v>
      </c>
      <c r="R534">
        <f>K534/J534</f>
        <v>0.35</v>
      </c>
      <c r="S534">
        <v>2020</v>
      </c>
    </row>
    <row r="535" spans="1:19" x14ac:dyDescent="0.3">
      <c r="A535">
        <v>40</v>
      </c>
      <c r="B535">
        <v>580</v>
      </c>
      <c r="C535" t="s">
        <v>14</v>
      </c>
      <c r="D535" t="s">
        <v>18</v>
      </c>
      <c r="E535">
        <v>48</v>
      </c>
      <c r="F535" t="s">
        <v>16</v>
      </c>
      <c r="G535">
        <v>10475</v>
      </c>
      <c r="H535">
        <v>23772</v>
      </c>
      <c r="I535">
        <v>21</v>
      </c>
      <c r="J535">
        <v>20</v>
      </c>
      <c r="K535">
        <v>18</v>
      </c>
      <c r="L535">
        <v>13</v>
      </c>
      <c r="M535">
        <v>1</v>
      </c>
      <c r="N535">
        <v>12</v>
      </c>
      <c r="P535">
        <f>G535*I535/100</f>
        <v>2199.75</v>
      </c>
      <c r="Q535">
        <f t="shared" si="8"/>
        <v>125700</v>
      </c>
      <c r="R535">
        <f>K535/J535</f>
        <v>0.9</v>
      </c>
      <c r="S535">
        <v>2020</v>
      </c>
    </row>
    <row r="536" spans="1:19" x14ac:dyDescent="0.3">
      <c r="A536">
        <v>53</v>
      </c>
      <c r="B536">
        <v>970</v>
      </c>
      <c r="C536" t="s">
        <v>17</v>
      </c>
      <c r="D536" t="s">
        <v>18</v>
      </c>
      <c r="E536">
        <v>59</v>
      </c>
      <c r="F536" t="s">
        <v>25</v>
      </c>
      <c r="G536">
        <v>14814</v>
      </c>
      <c r="H536">
        <v>13514</v>
      </c>
      <c r="I536">
        <v>19</v>
      </c>
      <c r="J536">
        <v>32</v>
      </c>
      <c r="K536">
        <v>5</v>
      </c>
      <c r="L536">
        <v>1</v>
      </c>
      <c r="M536">
        <v>1</v>
      </c>
      <c r="N536">
        <v>3</v>
      </c>
      <c r="P536">
        <f>G536*I536/100</f>
        <v>2814.66</v>
      </c>
      <c r="Q536">
        <f t="shared" si="8"/>
        <v>177768</v>
      </c>
      <c r="R536">
        <f>K536/J536</f>
        <v>0.15625</v>
      </c>
      <c r="S536">
        <v>2020</v>
      </c>
    </row>
    <row r="537" spans="1:19" x14ac:dyDescent="0.3">
      <c r="A537">
        <v>41</v>
      </c>
      <c r="B537">
        <v>427</v>
      </c>
      <c r="C537" t="s">
        <v>26</v>
      </c>
      <c r="D537" t="s">
        <v>18</v>
      </c>
      <c r="E537">
        <v>73</v>
      </c>
      <c r="F537" t="s">
        <v>23</v>
      </c>
      <c r="G537">
        <v>19141</v>
      </c>
      <c r="H537">
        <v>8861</v>
      </c>
      <c r="I537">
        <v>15</v>
      </c>
      <c r="J537">
        <v>23</v>
      </c>
      <c r="K537">
        <v>21</v>
      </c>
      <c r="L537">
        <v>6</v>
      </c>
      <c r="M537">
        <v>12</v>
      </c>
      <c r="N537">
        <v>6</v>
      </c>
      <c r="P537">
        <f>G537*I537/100</f>
        <v>2871.15</v>
      </c>
      <c r="Q537">
        <f t="shared" si="8"/>
        <v>229692</v>
      </c>
      <c r="R537">
        <f>K537/J537</f>
        <v>0.91304347826086951</v>
      </c>
      <c r="S537">
        <v>2020</v>
      </c>
    </row>
    <row r="538" spans="1:19" x14ac:dyDescent="0.3">
      <c r="A538">
        <v>60</v>
      </c>
      <c r="B538">
        <v>1179</v>
      </c>
      <c r="C538" t="s">
        <v>14</v>
      </c>
      <c r="D538" t="s">
        <v>18</v>
      </c>
      <c r="E538">
        <v>84</v>
      </c>
      <c r="F538" t="s">
        <v>16</v>
      </c>
      <c r="G538">
        <v>5405</v>
      </c>
      <c r="H538">
        <v>11924</v>
      </c>
      <c r="I538">
        <v>14</v>
      </c>
      <c r="J538">
        <v>10</v>
      </c>
      <c r="K538">
        <v>2</v>
      </c>
      <c r="L538">
        <v>2</v>
      </c>
      <c r="M538">
        <v>2</v>
      </c>
      <c r="N538">
        <v>2</v>
      </c>
      <c r="P538">
        <f>G538*I538/100</f>
        <v>756.7</v>
      </c>
      <c r="Q538">
        <f t="shared" si="8"/>
        <v>64860</v>
      </c>
      <c r="R538">
        <f>K538/J538</f>
        <v>0.2</v>
      </c>
      <c r="S538">
        <v>2020</v>
      </c>
    </row>
    <row r="539" spans="1:19" x14ac:dyDescent="0.3">
      <c r="A539">
        <v>27</v>
      </c>
      <c r="B539">
        <v>294</v>
      </c>
      <c r="C539" t="s">
        <v>17</v>
      </c>
      <c r="D539" t="s">
        <v>18</v>
      </c>
      <c r="E539">
        <v>32</v>
      </c>
      <c r="F539" t="s">
        <v>21</v>
      </c>
      <c r="G539">
        <v>8793</v>
      </c>
      <c r="H539">
        <v>4809</v>
      </c>
      <c r="I539">
        <v>21</v>
      </c>
      <c r="J539">
        <v>9</v>
      </c>
      <c r="K539">
        <v>9</v>
      </c>
      <c r="L539">
        <v>7</v>
      </c>
      <c r="M539">
        <v>1</v>
      </c>
      <c r="N539">
        <v>7</v>
      </c>
      <c r="P539">
        <f>G539*I539/100</f>
        <v>1846.53</v>
      </c>
      <c r="Q539">
        <f t="shared" si="8"/>
        <v>105516</v>
      </c>
      <c r="R539">
        <f>K539/J539</f>
        <v>1</v>
      </c>
      <c r="S539">
        <v>2020</v>
      </c>
    </row>
    <row r="540" spans="1:19" x14ac:dyDescent="0.3">
      <c r="A540">
        <v>41</v>
      </c>
      <c r="B540">
        <v>314</v>
      </c>
      <c r="C540" t="s">
        <v>26</v>
      </c>
      <c r="D540" t="s">
        <v>18</v>
      </c>
      <c r="E540">
        <v>59</v>
      </c>
      <c r="F540" t="s">
        <v>23</v>
      </c>
      <c r="G540">
        <v>19189</v>
      </c>
      <c r="H540">
        <v>19562</v>
      </c>
      <c r="I540">
        <v>12</v>
      </c>
      <c r="J540">
        <v>22</v>
      </c>
      <c r="K540">
        <v>22</v>
      </c>
      <c r="L540">
        <v>7</v>
      </c>
      <c r="M540">
        <v>2</v>
      </c>
      <c r="N540">
        <v>10</v>
      </c>
      <c r="P540">
        <f>G540*I540/100</f>
        <v>2302.6799999999998</v>
      </c>
      <c r="Q540">
        <f t="shared" si="8"/>
        <v>230268</v>
      </c>
      <c r="R540">
        <f>K540/J540</f>
        <v>1</v>
      </c>
      <c r="S540">
        <v>2020</v>
      </c>
    </row>
    <row r="541" spans="1:19" x14ac:dyDescent="0.3">
      <c r="A541">
        <v>50</v>
      </c>
      <c r="B541">
        <v>316</v>
      </c>
      <c r="C541" t="s">
        <v>14</v>
      </c>
      <c r="D541" t="s">
        <v>18</v>
      </c>
      <c r="E541">
        <v>54</v>
      </c>
      <c r="F541" t="s">
        <v>24</v>
      </c>
      <c r="G541">
        <v>3875</v>
      </c>
      <c r="H541">
        <v>9983</v>
      </c>
      <c r="I541">
        <v>15</v>
      </c>
      <c r="J541">
        <v>4</v>
      </c>
      <c r="K541">
        <v>2</v>
      </c>
      <c r="L541">
        <v>2</v>
      </c>
      <c r="M541">
        <v>2</v>
      </c>
      <c r="N541">
        <v>2</v>
      </c>
      <c r="P541">
        <f>G541*I541/100</f>
        <v>581.25</v>
      </c>
      <c r="Q541">
        <f t="shared" si="8"/>
        <v>46500</v>
      </c>
      <c r="R541">
        <f>K541/J541</f>
        <v>0.5</v>
      </c>
      <c r="S541">
        <v>2020</v>
      </c>
    </row>
    <row r="542" spans="1:19" x14ac:dyDescent="0.3">
      <c r="A542">
        <v>28</v>
      </c>
      <c r="B542">
        <v>654</v>
      </c>
      <c r="C542" t="s">
        <v>17</v>
      </c>
      <c r="D542" t="s">
        <v>15</v>
      </c>
      <c r="E542">
        <v>67</v>
      </c>
      <c r="F542" t="s">
        <v>19</v>
      </c>
      <c r="G542">
        <v>2216</v>
      </c>
      <c r="H542">
        <v>3872</v>
      </c>
      <c r="I542">
        <v>13</v>
      </c>
      <c r="J542">
        <v>10</v>
      </c>
      <c r="K542">
        <v>7</v>
      </c>
      <c r="L542">
        <v>7</v>
      </c>
      <c r="M542">
        <v>3</v>
      </c>
      <c r="N542">
        <v>7</v>
      </c>
      <c r="P542">
        <f>G542*I542/100</f>
        <v>288.08</v>
      </c>
      <c r="Q542">
        <f t="shared" si="8"/>
        <v>26592</v>
      </c>
      <c r="R542">
        <f>K542/J542</f>
        <v>0.7</v>
      </c>
      <c r="S542">
        <v>2020</v>
      </c>
    </row>
    <row r="543" spans="1:19" x14ac:dyDescent="0.3">
      <c r="A543">
        <v>36</v>
      </c>
      <c r="B543">
        <v>427</v>
      </c>
      <c r="C543" t="s">
        <v>17</v>
      </c>
      <c r="D543" t="s">
        <v>15</v>
      </c>
      <c r="E543">
        <v>63</v>
      </c>
      <c r="F543" t="s">
        <v>25</v>
      </c>
      <c r="G543">
        <v>11713</v>
      </c>
      <c r="H543">
        <v>20335</v>
      </c>
      <c r="I543">
        <v>14</v>
      </c>
      <c r="J543">
        <v>10</v>
      </c>
      <c r="K543">
        <v>8</v>
      </c>
      <c r="L543">
        <v>7</v>
      </c>
      <c r="M543">
        <v>0</v>
      </c>
      <c r="N543">
        <v>5</v>
      </c>
      <c r="P543">
        <f>G543*I543/100</f>
        <v>1639.82</v>
      </c>
      <c r="Q543">
        <f t="shared" si="8"/>
        <v>140556</v>
      </c>
      <c r="R543">
        <f>K543/J543</f>
        <v>0.8</v>
      </c>
      <c r="S543">
        <v>2020</v>
      </c>
    </row>
    <row r="544" spans="1:19" x14ac:dyDescent="0.3">
      <c r="A544">
        <v>38</v>
      </c>
      <c r="B544">
        <v>168</v>
      </c>
      <c r="C544" t="s">
        <v>17</v>
      </c>
      <c r="D544" t="s">
        <v>15</v>
      </c>
      <c r="E544">
        <v>81</v>
      </c>
      <c r="F544" t="s">
        <v>21</v>
      </c>
      <c r="G544">
        <v>7861</v>
      </c>
      <c r="H544">
        <v>15397</v>
      </c>
      <c r="I544">
        <v>14</v>
      </c>
      <c r="J544">
        <v>10</v>
      </c>
      <c r="K544">
        <v>1</v>
      </c>
      <c r="L544">
        <v>0</v>
      </c>
      <c r="M544">
        <v>0</v>
      </c>
      <c r="N544">
        <v>0</v>
      </c>
      <c r="P544">
        <f>G544*I544/100</f>
        <v>1100.54</v>
      </c>
      <c r="Q544">
        <f t="shared" si="8"/>
        <v>94332</v>
      </c>
      <c r="R544">
        <f>K544/J544</f>
        <v>0.1</v>
      </c>
      <c r="S544">
        <v>2020</v>
      </c>
    </row>
    <row r="545" spans="1:19" x14ac:dyDescent="0.3">
      <c r="A545">
        <v>44</v>
      </c>
      <c r="B545">
        <v>381</v>
      </c>
      <c r="C545" t="s">
        <v>17</v>
      </c>
      <c r="D545" t="s">
        <v>18</v>
      </c>
      <c r="E545">
        <v>49</v>
      </c>
      <c r="F545" t="s">
        <v>20</v>
      </c>
      <c r="G545">
        <v>3708</v>
      </c>
      <c r="H545">
        <v>2104</v>
      </c>
      <c r="I545">
        <v>14</v>
      </c>
      <c r="J545">
        <v>9</v>
      </c>
      <c r="K545">
        <v>5</v>
      </c>
      <c r="L545">
        <v>2</v>
      </c>
      <c r="M545">
        <v>1</v>
      </c>
      <c r="N545">
        <v>4</v>
      </c>
      <c r="P545">
        <f>G545*I545/100</f>
        <v>519.12</v>
      </c>
      <c r="Q545">
        <f t="shared" si="8"/>
        <v>44496</v>
      </c>
      <c r="R545">
        <f>K545/J545</f>
        <v>0.55555555555555558</v>
      </c>
      <c r="S545">
        <v>2020</v>
      </c>
    </row>
    <row r="546" spans="1:19" x14ac:dyDescent="0.3">
      <c r="A546">
        <v>47</v>
      </c>
      <c r="B546">
        <v>217</v>
      </c>
      <c r="C546" t="s">
        <v>14</v>
      </c>
      <c r="D546" t="s">
        <v>15</v>
      </c>
      <c r="E546">
        <v>49</v>
      </c>
      <c r="F546" t="s">
        <v>16</v>
      </c>
      <c r="G546">
        <v>13770</v>
      </c>
      <c r="H546">
        <v>10225</v>
      </c>
      <c r="I546">
        <v>12</v>
      </c>
      <c r="J546">
        <v>28</v>
      </c>
      <c r="K546">
        <v>22</v>
      </c>
      <c r="L546">
        <v>2</v>
      </c>
      <c r="M546">
        <v>11</v>
      </c>
      <c r="N546">
        <v>13</v>
      </c>
      <c r="P546">
        <f>G546*I546/100</f>
        <v>1652.4</v>
      </c>
      <c r="Q546">
        <f t="shared" si="8"/>
        <v>165240</v>
      </c>
      <c r="R546">
        <f>K546/J546</f>
        <v>0.7857142857142857</v>
      </c>
      <c r="S546">
        <v>2020</v>
      </c>
    </row>
    <row r="547" spans="1:19" x14ac:dyDescent="0.3">
      <c r="A547">
        <v>30</v>
      </c>
      <c r="B547">
        <v>501</v>
      </c>
      <c r="C547" t="s">
        <v>14</v>
      </c>
      <c r="D547" t="s">
        <v>18</v>
      </c>
      <c r="E547">
        <v>99</v>
      </c>
      <c r="F547" t="s">
        <v>16</v>
      </c>
      <c r="G547">
        <v>5304</v>
      </c>
      <c r="H547">
        <v>25275</v>
      </c>
      <c r="I547">
        <v>23</v>
      </c>
      <c r="J547">
        <v>10</v>
      </c>
      <c r="K547">
        <v>8</v>
      </c>
      <c r="L547">
        <v>7</v>
      </c>
      <c r="M547">
        <v>7</v>
      </c>
      <c r="N547">
        <v>7</v>
      </c>
      <c r="P547">
        <f>G547*I547/100</f>
        <v>1219.92</v>
      </c>
      <c r="Q547">
        <f t="shared" si="8"/>
        <v>63648</v>
      </c>
      <c r="R547">
        <f>K547/J547</f>
        <v>0.8</v>
      </c>
      <c r="S547">
        <v>2020</v>
      </c>
    </row>
    <row r="548" spans="1:19" x14ac:dyDescent="0.3">
      <c r="A548">
        <v>29</v>
      </c>
      <c r="B548">
        <v>1396</v>
      </c>
      <c r="C548" t="s">
        <v>14</v>
      </c>
      <c r="D548" t="s">
        <v>18</v>
      </c>
      <c r="E548">
        <v>99</v>
      </c>
      <c r="F548" t="s">
        <v>24</v>
      </c>
      <c r="G548">
        <v>2642</v>
      </c>
      <c r="H548">
        <v>2755</v>
      </c>
      <c r="I548">
        <v>11</v>
      </c>
      <c r="J548">
        <v>1</v>
      </c>
      <c r="K548">
        <v>1</v>
      </c>
      <c r="L548">
        <v>0</v>
      </c>
      <c r="M548">
        <v>0</v>
      </c>
      <c r="N548">
        <v>0</v>
      </c>
      <c r="P548">
        <f>G548*I548/100</f>
        <v>290.62</v>
      </c>
      <c r="Q548">
        <f t="shared" si="8"/>
        <v>31704</v>
      </c>
      <c r="R548">
        <f>K548/J548</f>
        <v>1</v>
      </c>
      <c r="S548">
        <v>2020</v>
      </c>
    </row>
    <row r="549" spans="1:19" x14ac:dyDescent="0.3">
      <c r="A549">
        <v>42</v>
      </c>
      <c r="B549">
        <v>933</v>
      </c>
      <c r="C549" t="s">
        <v>17</v>
      </c>
      <c r="D549" t="s">
        <v>18</v>
      </c>
      <c r="E549">
        <v>57</v>
      </c>
      <c r="F549" t="s">
        <v>19</v>
      </c>
      <c r="G549">
        <v>2759</v>
      </c>
      <c r="H549">
        <v>20366</v>
      </c>
      <c r="I549">
        <v>12</v>
      </c>
      <c r="J549">
        <v>7</v>
      </c>
      <c r="K549">
        <v>2</v>
      </c>
      <c r="L549">
        <v>2</v>
      </c>
      <c r="M549">
        <v>2</v>
      </c>
      <c r="N549">
        <v>2</v>
      </c>
      <c r="P549">
        <f>G549*I549/100</f>
        <v>331.08</v>
      </c>
      <c r="Q549">
        <f t="shared" si="8"/>
        <v>33108</v>
      </c>
      <c r="R549">
        <f>K549/J549</f>
        <v>0.2857142857142857</v>
      </c>
      <c r="S549">
        <v>2020</v>
      </c>
    </row>
    <row r="550" spans="1:19" x14ac:dyDescent="0.3">
      <c r="A550">
        <v>43</v>
      </c>
      <c r="B550">
        <v>775</v>
      </c>
      <c r="C550" t="s">
        <v>14</v>
      </c>
      <c r="D550" t="s">
        <v>18</v>
      </c>
      <c r="E550">
        <v>47</v>
      </c>
      <c r="F550" t="s">
        <v>16</v>
      </c>
      <c r="G550">
        <v>6804</v>
      </c>
      <c r="H550">
        <v>23683</v>
      </c>
      <c r="I550">
        <v>18</v>
      </c>
      <c r="J550">
        <v>7</v>
      </c>
      <c r="K550">
        <v>2</v>
      </c>
      <c r="L550">
        <v>2</v>
      </c>
      <c r="M550">
        <v>2</v>
      </c>
      <c r="N550">
        <v>2</v>
      </c>
      <c r="P550">
        <f>G550*I550/100</f>
        <v>1224.72</v>
      </c>
      <c r="Q550">
        <f t="shared" si="8"/>
        <v>81648</v>
      </c>
      <c r="R550">
        <f>K550/J550</f>
        <v>0.2857142857142857</v>
      </c>
      <c r="S550">
        <v>2020</v>
      </c>
    </row>
    <row r="551" spans="1:19" x14ac:dyDescent="0.3">
      <c r="A551">
        <v>34</v>
      </c>
      <c r="B551">
        <v>970</v>
      </c>
      <c r="C551" t="s">
        <v>17</v>
      </c>
      <c r="D551" t="s">
        <v>15</v>
      </c>
      <c r="E551">
        <v>96</v>
      </c>
      <c r="F551" t="s">
        <v>22</v>
      </c>
      <c r="G551">
        <v>6142</v>
      </c>
      <c r="H551">
        <v>7360</v>
      </c>
      <c r="I551">
        <v>11</v>
      </c>
      <c r="J551">
        <v>10</v>
      </c>
      <c r="K551">
        <v>5</v>
      </c>
      <c r="L551">
        <v>1</v>
      </c>
      <c r="M551">
        <v>4</v>
      </c>
      <c r="N551">
        <v>3</v>
      </c>
      <c r="P551">
        <f>G551*I551/100</f>
        <v>675.62</v>
      </c>
      <c r="Q551">
        <f t="shared" si="8"/>
        <v>73704</v>
      </c>
      <c r="R551">
        <f>K551/J551</f>
        <v>0.5</v>
      </c>
      <c r="S551">
        <v>2020</v>
      </c>
    </row>
    <row r="552" spans="1:19" x14ac:dyDescent="0.3">
      <c r="A552">
        <v>23</v>
      </c>
      <c r="B552">
        <v>650</v>
      </c>
      <c r="C552" t="s">
        <v>17</v>
      </c>
      <c r="D552" t="s">
        <v>18</v>
      </c>
      <c r="E552">
        <v>37</v>
      </c>
      <c r="F552" t="s">
        <v>20</v>
      </c>
      <c r="G552">
        <v>2500</v>
      </c>
      <c r="H552">
        <v>4344</v>
      </c>
      <c r="I552">
        <v>14</v>
      </c>
      <c r="J552">
        <v>5</v>
      </c>
      <c r="K552">
        <v>4</v>
      </c>
      <c r="L552">
        <v>3</v>
      </c>
      <c r="M552">
        <v>0</v>
      </c>
      <c r="N552">
        <v>2</v>
      </c>
      <c r="P552">
        <f>G552*I552/100</f>
        <v>350</v>
      </c>
      <c r="Q552">
        <f t="shared" si="8"/>
        <v>30000</v>
      </c>
      <c r="R552">
        <f>K552/J552</f>
        <v>0.8</v>
      </c>
      <c r="S552">
        <v>2020</v>
      </c>
    </row>
    <row r="553" spans="1:19" x14ac:dyDescent="0.3">
      <c r="A553">
        <v>39</v>
      </c>
      <c r="B553">
        <v>141</v>
      </c>
      <c r="C553" t="s">
        <v>26</v>
      </c>
      <c r="D553" t="s">
        <v>15</v>
      </c>
      <c r="E553">
        <v>44</v>
      </c>
      <c r="F553" t="s">
        <v>26</v>
      </c>
      <c r="G553">
        <v>6389</v>
      </c>
      <c r="H553">
        <v>18767</v>
      </c>
      <c r="I553">
        <v>15</v>
      </c>
      <c r="J553">
        <v>12</v>
      </c>
      <c r="K553">
        <v>8</v>
      </c>
      <c r="L553">
        <v>3</v>
      </c>
      <c r="M553">
        <v>3</v>
      </c>
      <c r="N553">
        <v>6</v>
      </c>
      <c r="P553">
        <f>G553*I553/100</f>
        <v>958.35</v>
      </c>
      <c r="Q553">
        <f t="shared" si="8"/>
        <v>76668</v>
      </c>
      <c r="R553">
        <f>K553/J553</f>
        <v>0.66666666666666663</v>
      </c>
      <c r="S553">
        <v>2020</v>
      </c>
    </row>
    <row r="554" spans="1:19" x14ac:dyDescent="0.3">
      <c r="A554">
        <v>56</v>
      </c>
      <c r="B554">
        <v>832</v>
      </c>
      <c r="C554" t="s">
        <v>17</v>
      </c>
      <c r="D554" t="s">
        <v>18</v>
      </c>
      <c r="E554">
        <v>81</v>
      </c>
      <c r="F554" t="s">
        <v>22</v>
      </c>
      <c r="G554">
        <v>11103</v>
      </c>
      <c r="H554">
        <v>20420</v>
      </c>
      <c r="I554">
        <v>11</v>
      </c>
      <c r="J554">
        <v>30</v>
      </c>
      <c r="K554">
        <v>10</v>
      </c>
      <c r="L554">
        <v>7</v>
      </c>
      <c r="M554">
        <v>1</v>
      </c>
      <c r="N554">
        <v>1</v>
      </c>
      <c r="P554">
        <f>G554*I554/100</f>
        <v>1221.33</v>
      </c>
      <c r="Q554">
        <f t="shared" si="8"/>
        <v>133236</v>
      </c>
      <c r="R554">
        <f>K554/J554</f>
        <v>0.33333333333333331</v>
      </c>
      <c r="S554">
        <v>2020</v>
      </c>
    </row>
    <row r="555" spans="1:19" x14ac:dyDescent="0.3">
      <c r="A555">
        <v>40</v>
      </c>
      <c r="B555">
        <v>804</v>
      </c>
      <c r="C555" t="s">
        <v>17</v>
      </c>
      <c r="D555" t="s">
        <v>15</v>
      </c>
      <c r="E555">
        <v>86</v>
      </c>
      <c r="F555" t="s">
        <v>19</v>
      </c>
      <c r="G555">
        <v>2342</v>
      </c>
      <c r="H555">
        <v>22929</v>
      </c>
      <c r="I555">
        <v>20</v>
      </c>
      <c r="J555">
        <v>5</v>
      </c>
      <c r="K555">
        <v>4</v>
      </c>
      <c r="L555">
        <v>2</v>
      </c>
      <c r="M555">
        <v>2</v>
      </c>
      <c r="N555">
        <v>3</v>
      </c>
      <c r="P555">
        <f>G555*I555/100</f>
        <v>468.4</v>
      </c>
      <c r="Q555">
        <f t="shared" si="8"/>
        <v>28104</v>
      </c>
      <c r="R555">
        <f>K555/J555</f>
        <v>0.8</v>
      </c>
      <c r="S555">
        <v>2020</v>
      </c>
    </row>
    <row r="556" spans="1:19" x14ac:dyDescent="0.3">
      <c r="A556">
        <v>27</v>
      </c>
      <c r="B556">
        <v>975</v>
      </c>
      <c r="C556" t="s">
        <v>17</v>
      </c>
      <c r="D556" t="s">
        <v>15</v>
      </c>
      <c r="E556">
        <v>55</v>
      </c>
      <c r="F556" t="s">
        <v>22</v>
      </c>
      <c r="G556">
        <v>6811</v>
      </c>
      <c r="H556">
        <v>23398</v>
      </c>
      <c r="I556">
        <v>19</v>
      </c>
      <c r="J556">
        <v>9</v>
      </c>
      <c r="K556">
        <v>7</v>
      </c>
      <c r="L556">
        <v>6</v>
      </c>
      <c r="M556">
        <v>0</v>
      </c>
      <c r="N556">
        <v>7</v>
      </c>
      <c r="P556">
        <f>G556*I556/100</f>
        <v>1294.0899999999999</v>
      </c>
      <c r="Q556">
        <f t="shared" si="8"/>
        <v>81732</v>
      </c>
      <c r="R556">
        <f>K556/J556</f>
        <v>0.77777777777777779</v>
      </c>
      <c r="S556">
        <v>2020</v>
      </c>
    </row>
    <row r="557" spans="1:19" x14ac:dyDescent="0.3">
      <c r="A557">
        <v>29</v>
      </c>
      <c r="B557">
        <v>1090</v>
      </c>
      <c r="C557" t="s">
        <v>14</v>
      </c>
      <c r="D557" t="s">
        <v>18</v>
      </c>
      <c r="E557">
        <v>83</v>
      </c>
      <c r="F557" t="s">
        <v>24</v>
      </c>
      <c r="G557">
        <v>2297</v>
      </c>
      <c r="H557">
        <v>17967</v>
      </c>
      <c r="I557">
        <v>14</v>
      </c>
      <c r="J557">
        <v>2</v>
      </c>
      <c r="K557">
        <v>2</v>
      </c>
      <c r="L557">
        <v>2</v>
      </c>
      <c r="M557">
        <v>2</v>
      </c>
      <c r="N557">
        <v>2</v>
      </c>
      <c r="P557">
        <f>G557*I557/100</f>
        <v>321.58</v>
      </c>
      <c r="Q557">
        <f t="shared" si="8"/>
        <v>27564</v>
      </c>
      <c r="R557">
        <f>K557/J557</f>
        <v>1</v>
      </c>
      <c r="S557">
        <v>2020</v>
      </c>
    </row>
    <row r="558" spans="1:19" x14ac:dyDescent="0.3">
      <c r="A558">
        <v>53</v>
      </c>
      <c r="B558">
        <v>346</v>
      </c>
      <c r="C558" t="s">
        <v>17</v>
      </c>
      <c r="D558" t="s">
        <v>18</v>
      </c>
      <c r="E558">
        <v>86</v>
      </c>
      <c r="F558" t="s">
        <v>20</v>
      </c>
      <c r="G558">
        <v>2450</v>
      </c>
      <c r="H558">
        <v>10919</v>
      </c>
      <c r="I558">
        <v>17</v>
      </c>
      <c r="J558">
        <v>19</v>
      </c>
      <c r="K558">
        <v>2</v>
      </c>
      <c r="L558">
        <v>2</v>
      </c>
      <c r="M558">
        <v>2</v>
      </c>
      <c r="N558">
        <v>2</v>
      </c>
      <c r="P558">
        <f>G558*I558/100</f>
        <v>416.5</v>
      </c>
      <c r="Q558">
        <f t="shared" si="8"/>
        <v>29400</v>
      </c>
      <c r="R558">
        <f>K558/J558</f>
        <v>0.10526315789473684</v>
      </c>
      <c r="S558">
        <v>2020</v>
      </c>
    </row>
    <row r="559" spans="1:19" x14ac:dyDescent="0.3">
      <c r="A559">
        <v>35</v>
      </c>
      <c r="B559">
        <v>1225</v>
      </c>
      <c r="C559" t="s">
        <v>17</v>
      </c>
      <c r="D559" t="s">
        <v>15</v>
      </c>
      <c r="E559">
        <v>61</v>
      </c>
      <c r="F559" t="s">
        <v>22</v>
      </c>
      <c r="G559">
        <v>5093</v>
      </c>
      <c r="H559">
        <v>4761</v>
      </c>
      <c r="I559">
        <v>11</v>
      </c>
      <c r="J559">
        <v>16</v>
      </c>
      <c r="K559">
        <v>1</v>
      </c>
      <c r="L559">
        <v>0</v>
      </c>
      <c r="M559">
        <v>0</v>
      </c>
      <c r="N559">
        <v>0</v>
      </c>
      <c r="P559">
        <f>G559*I559/100</f>
        <v>560.23</v>
      </c>
      <c r="Q559">
        <f t="shared" si="8"/>
        <v>61116</v>
      </c>
      <c r="R559">
        <f>K559/J559</f>
        <v>6.25E-2</v>
      </c>
      <c r="S559">
        <v>2020</v>
      </c>
    </row>
    <row r="560" spans="1:19" x14ac:dyDescent="0.3">
      <c r="A560">
        <v>32</v>
      </c>
      <c r="B560">
        <v>430</v>
      </c>
      <c r="C560" t="s">
        <v>17</v>
      </c>
      <c r="D560" t="s">
        <v>18</v>
      </c>
      <c r="E560">
        <v>80</v>
      </c>
      <c r="F560" t="s">
        <v>20</v>
      </c>
      <c r="G560">
        <v>5309</v>
      </c>
      <c r="H560">
        <v>21146</v>
      </c>
      <c r="I560">
        <v>15</v>
      </c>
      <c r="J560">
        <v>10</v>
      </c>
      <c r="K560">
        <v>10</v>
      </c>
      <c r="L560">
        <v>8</v>
      </c>
      <c r="M560">
        <v>4</v>
      </c>
      <c r="N560">
        <v>7</v>
      </c>
      <c r="P560">
        <f>G560*I560/100</f>
        <v>796.35</v>
      </c>
      <c r="Q560">
        <f t="shared" si="8"/>
        <v>63708</v>
      </c>
      <c r="R560">
        <f>K560/J560</f>
        <v>1</v>
      </c>
      <c r="S560">
        <v>2020</v>
      </c>
    </row>
    <row r="561" spans="1:19" x14ac:dyDescent="0.3">
      <c r="A561">
        <v>38</v>
      </c>
      <c r="B561">
        <v>268</v>
      </c>
      <c r="C561" t="s">
        <v>17</v>
      </c>
      <c r="D561" t="s">
        <v>18</v>
      </c>
      <c r="E561">
        <v>92</v>
      </c>
      <c r="F561" t="s">
        <v>19</v>
      </c>
      <c r="G561">
        <v>3057</v>
      </c>
      <c r="H561">
        <v>20471</v>
      </c>
      <c r="I561">
        <v>13</v>
      </c>
      <c r="J561">
        <v>6</v>
      </c>
      <c r="K561">
        <v>1</v>
      </c>
      <c r="L561">
        <v>0</v>
      </c>
      <c r="M561">
        <v>0</v>
      </c>
      <c r="N561">
        <v>1</v>
      </c>
      <c r="P561">
        <f>G561*I561/100</f>
        <v>397.41</v>
      </c>
      <c r="Q561">
        <f t="shared" si="8"/>
        <v>36684</v>
      </c>
      <c r="R561">
        <f>K561/J561</f>
        <v>0.16666666666666666</v>
      </c>
      <c r="S561">
        <v>2020</v>
      </c>
    </row>
    <row r="562" spans="1:19" x14ac:dyDescent="0.3">
      <c r="A562">
        <v>34</v>
      </c>
      <c r="B562">
        <v>167</v>
      </c>
      <c r="C562" t="s">
        <v>17</v>
      </c>
      <c r="D562" t="s">
        <v>15</v>
      </c>
      <c r="E562">
        <v>32</v>
      </c>
      <c r="F562" t="s">
        <v>21</v>
      </c>
      <c r="G562">
        <v>5121</v>
      </c>
      <c r="H562">
        <v>4187</v>
      </c>
      <c r="I562">
        <v>14</v>
      </c>
      <c r="J562">
        <v>7</v>
      </c>
      <c r="K562">
        <v>0</v>
      </c>
      <c r="L562">
        <v>0</v>
      </c>
      <c r="M562">
        <v>0</v>
      </c>
      <c r="N562">
        <v>0</v>
      </c>
      <c r="P562">
        <f>G562*I562/100</f>
        <v>716.94</v>
      </c>
      <c r="Q562">
        <f t="shared" si="8"/>
        <v>61452</v>
      </c>
      <c r="R562">
        <f>K562/J562</f>
        <v>0</v>
      </c>
      <c r="S562">
        <v>2020</v>
      </c>
    </row>
    <row r="563" spans="1:19" x14ac:dyDescent="0.3">
      <c r="A563">
        <v>52</v>
      </c>
      <c r="B563">
        <v>621</v>
      </c>
      <c r="C563" t="s">
        <v>14</v>
      </c>
      <c r="D563" t="s">
        <v>18</v>
      </c>
      <c r="E563">
        <v>31</v>
      </c>
      <c r="F563" t="s">
        <v>23</v>
      </c>
      <c r="G563">
        <v>16856</v>
      </c>
      <c r="H563">
        <v>10084</v>
      </c>
      <c r="I563">
        <v>11</v>
      </c>
      <c r="J563">
        <v>34</v>
      </c>
      <c r="K563">
        <v>34</v>
      </c>
      <c r="L563">
        <v>6</v>
      </c>
      <c r="M563">
        <v>1</v>
      </c>
      <c r="N563">
        <v>16</v>
      </c>
      <c r="P563">
        <f>G563*I563/100</f>
        <v>1854.16</v>
      </c>
      <c r="Q563">
        <f t="shared" si="8"/>
        <v>202272</v>
      </c>
      <c r="R563">
        <f>K563/J563</f>
        <v>1</v>
      </c>
      <c r="S563">
        <v>2020</v>
      </c>
    </row>
    <row r="564" spans="1:19" x14ac:dyDescent="0.3">
      <c r="A564">
        <v>33</v>
      </c>
      <c r="B564">
        <v>527</v>
      </c>
      <c r="C564" t="s">
        <v>17</v>
      </c>
      <c r="D564" t="s">
        <v>18</v>
      </c>
      <c r="E564">
        <v>63</v>
      </c>
      <c r="F564" t="s">
        <v>19</v>
      </c>
      <c r="G564">
        <v>2686</v>
      </c>
      <c r="H564">
        <v>5207</v>
      </c>
      <c r="I564">
        <v>13</v>
      </c>
      <c r="J564">
        <v>10</v>
      </c>
      <c r="K564">
        <v>10</v>
      </c>
      <c r="L564">
        <v>9</v>
      </c>
      <c r="M564">
        <v>7</v>
      </c>
      <c r="N564">
        <v>8</v>
      </c>
      <c r="P564">
        <f>G564*I564/100</f>
        <v>349.18</v>
      </c>
      <c r="Q564">
        <f t="shared" si="8"/>
        <v>32232</v>
      </c>
      <c r="R564">
        <f>K564/J564</f>
        <v>1</v>
      </c>
      <c r="S564">
        <v>2020</v>
      </c>
    </row>
    <row r="565" spans="1:19" x14ac:dyDescent="0.3">
      <c r="A565">
        <v>25</v>
      </c>
      <c r="B565">
        <v>883</v>
      </c>
      <c r="C565" t="s">
        <v>14</v>
      </c>
      <c r="D565" t="s">
        <v>15</v>
      </c>
      <c r="E565">
        <v>32</v>
      </c>
      <c r="F565" t="s">
        <v>16</v>
      </c>
      <c r="G565">
        <v>6180</v>
      </c>
      <c r="H565">
        <v>22807</v>
      </c>
      <c r="I565">
        <v>23</v>
      </c>
      <c r="J565">
        <v>6</v>
      </c>
      <c r="K565">
        <v>6</v>
      </c>
      <c r="L565">
        <v>5</v>
      </c>
      <c r="M565">
        <v>1</v>
      </c>
      <c r="N565">
        <v>4</v>
      </c>
      <c r="P565">
        <f>G565*I565/100</f>
        <v>1421.4</v>
      </c>
      <c r="Q565">
        <f t="shared" si="8"/>
        <v>74160</v>
      </c>
      <c r="R565">
        <f>K565/J565</f>
        <v>1</v>
      </c>
      <c r="S565">
        <v>2020</v>
      </c>
    </row>
    <row r="566" spans="1:19" x14ac:dyDescent="0.3">
      <c r="A566">
        <v>45</v>
      </c>
      <c r="B566">
        <v>954</v>
      </c>
      <c r="C566" t="s">
        <v>14</v>
      </c>
      <c r="D566" t="s">
        <v>18</v>
      </c>
      <c r="E566">
        <v>46</v>
      </c>
      <c r="F566" t="s">
        <v>24</v>
      </c>
      <c r="G566">
        <v>6632</v>
      </c>
      <c r="H566">
        <v>12388</v>
      </c>
      <c r="I566">
        <v>13</v>
      </c>
      <c r="J566">
        <v>9</v>
      </c>
      <c r="K566">
        <v>8</v>
      </c>
      <c r="L566">
        <v>7</v>
      </c>
      <c r="M566">
        <v>3</v>
      </c>
      <c r="N566">
        <v>1</v>
      </c>
      <c r="P566">
        <f>G566*I566/100</f>
        <v>862.16</v>
      </c>
      <c r="Q566">
        <f t="shared" si="8"/>
        <v>79584</v>
      </c>
      <c r="R566">
        <f>K566/J566</f>
        <v>0.88888888888888884</v>
      </c>
      <c r="S566">
        <v>2020</v>
      </c>
    </row>
    <row r="567" spans="1:19" x14ac:dyDescent="0.3">
      <c r="A567">
        <v>23</v>
      </c>
      <c r="B567">
        <v>310</v>
      </c>
      <c r="C567" t="s">
        <v>17</v>
      </c>
      <c r="D567" t="s">
        <v>18</v>
      </c>
      <c r="E567">
        <v>79</v>
      </c>
      <c r="F567" t="s">
        <v>19</v>
      </c>
      <c r="G567">
        <v>3505</v>
      </c>
      <c r="H567">
        <v>19630</v>
      </c>
      <c r="I567">
        <v>18</v>
      </c>
      <c r="J567">
        <v>2</v>
      </c>
      <c r="K567">
        <v>2</v>
      </c>
      <c r="L567">
        <v>2</v>
      </c>
      <c r="M567">
        <v>0</v>
      </c>
      <c r="N567">
        <v>2</v>
      </c>
      <c r="P567">
        <f>G567*I567/100</f>
        <v>630.9</v>
      </c>
      <c r="Q567">
        <f t="shared" si="8"/>
        <v>42060</v>
      </c>
      <c r="R567">
        <f>K567/J567</f>
        <v>1</v>
      </c>
      <c r="S567">
        <v>2020</v>
      </c>
    </row>
    <row r="568" spans="1:19" x14ac:dyDescent="0.3">
      <c r="A568">
        <v>47</v>
      </c>
      <c r="B568">
        <v>719</v>
      </c>
      <c r="C568" t="s">
        <v>14</v>
      </c>
      <c r="D568" t="s">
        <v>15</v>
      </c>
      <c r="E568">
        <v>77</v>
      </c>
      <c r="F568" t="s">
        <v>16</v>
      </c>
      <c r="G568">
        <v>6397</v>
      </c>
      <c r="H568">
        <v>10339</v>
      </c>
      <c r="I568">
        <v>12</v>
      </c>
      <c r="J568">
        <v>8</v>
      </c>
      <c r="K568">
        <v>5</v>
      </c>
      <c r="L568">
        <v>4</v>
      </c>
      <c r="M568">
        <v>1</v>
      </c>
      <c r="N568">
        <v>3</v>
      </c>
      <c r="P568">
        <f>G568*I568/100</f>
        <v>767.64</v>
      </c>
      <c r="Q568">
        <f t="shared" si="8"/>
        <v>76764</v>
      </c>
      <c r="R568">
        <f>K568/J568</f>
        <v>0.625</v>
      </c>
      <c r="S568">
        <v>2020</v>
      </c>
    </row>
    <row r="569" spans="1:19" x14ac:dyDescent="0.3">
      <c r="A569">
        <v>34</v>
      </c>
      <c r="B569">
        <v>304</v>
      </c>
      <c r="C569" t="s">
        <v>14</v>
      </c>
      <c r="D569" t="s">
        <v>18</v>
      </c>
      <c r="E569">
        <v>60</v>
      </c>
      <c r="F569" t="s">
        <v>16</v>
      </c>
      <c r="G569">
        <v>6274</v>
      </c>
      <c r="H569">
        <v>18686</v>
      </c>
      <c r="I569">
        <v>22</v>
      </c>
      <c r="J569">
        <v>6</v>
      </c>
      <c r="K569">
        <v>6</v>
      </c>
      <c r="L569">
        <v>5</v>
      </c>
      <c r="M569">
        <v>1</v>
      </c>
      <c r="N569">
        <v>4</v>
      </c>
      <c r="P569">
        <f>G569*I569/100</f>
        <v>1380.28</v>
      </c>
      <c r="Q569">
        <f t="shared" si="8"/>
        <v>75288</v>
      </c>
      <c r="R569">
        <f>K569/J569</f>
        <v>1</v>
      </c>
      <c r="S569">
        <v>2020</v>
      </c>
    </row>
    <row r="570" spans="1:19" x14ac:dyDescent="0.3">
      <c r="A570">
        <v>55</v>
      </c>
      <c r="B570">
        <v>725</v>
      </c>
      <c r="C570" t="s">
        <v>17</v>
      </c>
      <c r="D570" t="s">
        <v>18</v>
      </c>
      <c r="E570">
        <v>78</v>
      </c>
      <c r="F570" t="s">
        <v>23</v>
      </c>
      <c r="G570">
        <v>19859</v>
      </c>
      <c r="H570">
        <v>21199</v>
      </c>
      <c r="I570">
        <v>13</v>
      </c>
      <c r="J570">
        <v>24</v>
      </c>
      <c r="K570">
        <v>5</v>
      </c>
      <c r="L570">
        <v>2</v>
      </c>
      <c r="M570">
        <v>1</v>
      </c>
      <c r="N570">
        <v>4</v>
      </c>
      <c r="P570">
        <f>G570*I570/100</f>
        <v>2581.67</v>
      </c>
      <c r="Q570">
        <f t="shared" si="8"/>
        <v>238308</v>
      </c>
      <c r="R570">
        <f>K570/J570</f>
        <v>0.20833333333333334</v>
      </c>
      <c r="S570">
        <v>2020</v>
      </c>
    </row>
    <row r="571" spans="1:19" x14ac:dyDescent="0.3">
      <c r="A571">
        <v>36</v>
      </c>
      <c r="B571">
        <v>1434</v>
      </c>
      <c r="C571" t="s">
        <v>14</v>
      </c>
      <c r="D571" t="s">
        <v>18</v>
      </c>
      <c r="E571">
        <v>76</v>
      </c>
      <c r="F571" t="s">
        <v>16</v>
      </c>
      <c r="G571">
        <v>7587</v>
      </c>
      <c r="H571">
        <v>14229</v>
      </c>
      <c r="I571">
        <v>15</v>
      </c>
      <c r="J571">
        <v>10</v>
      </c>
      <c r="K571">
        <v>10</v>
      </c>
      <c r="L571">
        <v>7</v>
      </c>
      <c r="M571">
        <v>0</v>
      </c>
      <c r="N571">
        <v>9</v>
      </c>
      <c r="P571">
        <f>G571*I571/100</f>
        <v>1138.05</v>
      </c>
      <c r="Q571">
        <f t="shared" si="8"/>
        <v>91044</v>
      </c>
      <c r="R571">
        <f>K571/J571</f>
        <v>1</v>
      </c>
      <c r="S571">
        <v>2020</v>
      </c>
    </row>
    <row r="572" spans="1:19" x14ac:dyDescent="0.3">
      <c r="A572">
        <v>52</v>
      </c>
      <c r="B572">
        <v>715</v>
      </c>
      <c r="C572" t="s">
        <v>17</v>
      </c>
      <c r="D572" t="s">
        <v>18</v>
      </c>
      <c r="E572">
        <v>41</v>
      </c>
      <c r="F572" t="s">
        <v>19</v>
      </c>
      <c r="G572">
        <v>4258</v>
      </c>
      <c r="H572">
        <v>26589</v>
      </c>
      <c r="I572">
        <v>18</v>
      </c>
      <c r="J572">
        <v>5</v>
      </c>
      <c r="K572">
        <v>4</v>
      </c>
      <c r="L572">
        <v>3</v>
      </c>
      <c r="M572">
        <v>1</v>
      </c>
      <c r="N572">
        <v>2</v>
      </c>
      <c r="P572">
        <f>G572*I572/100</f>
        <v>766.44</v>
      </c>
      <c r="Q572">
        <f t="shared" si="8"/>
        <v>51096</v>
      </c>
      <c r="R572">
        <f>K572/J572</f>
        <v>0.8</v>
      </c>
      <c r="S572">
        <v>2020</v>
      </c>
    </row>
    <row r="573" spans="1:19" x14ac:dyDescent="0.3">
      <c r="A573">
        <v>26</v>
      </c>
      <c r="B573">
        <v>575</v>
      </c>
      <c r="C573" t="s">
        <v>17</v>
      </c>
      <c r="D573" t="s">
        <v>15</v>
      </c>
      <c r="E573">
        <v>71</v>
      </c>
      <c r="F573" t="s">
        <v>20</v>
      </c>
      <c r="G573">
        <v>4364</v>
      </c>
      <c r="H573">
        <v>5288</v>
      </c>
      <c r="I573">
        <v>14</v>
      </c>
      <c r="J573">
        <v>5</v>
      </c>
      <c r="K573">
        <v>2</v>
      </c>
      <c r="L573">
        <v>2</v>
      </c>
      <c r="M573">
        <v>2</v>
      </c>
      <c r="N573">
        <v>0</v>
      </c>
      <c r="P573">
        <f>G573*I573/100</f>
        <v>610.96</v>
      </c>
      <c r="Q573">
        <f t="shared" si="8"/>
        <v>52368</v>
      </c>
      <c r="R573">
        <f>K573/J573</f>
        <v>0.4</v>
      </c>
      <c r="S573">
        <v>2020</v>
      </c>
    </row>
    <row r="574" spans="1:19" x14ac:dyDescent="0.3">
      <c r="A574">
        <v>29</v>
      </c>
      <c r="B574">
        <v>657</v>
      </c>
      <c r="C574" t="s">
        <v>17</v>
      </c>
      <c r="D574" t="s">
        <v>15</v>
      </c>
      <c r="E574">
        <v>66</v>
      </c>
      <c r="F574" t="s">
        <v>22</v>
      </c>
      <c r="G574">
        <v>4335</v>
      </c>
      <c r="H574">
        <v>25549</v>
      </c>
      <c r="I574">
        <v>12</v>
      </c>
      <c r="J574">
        <v>11</v>
      </c>
      <c r="K574">
        <v>8</v>
      </c>
      <c r="L574">
        <v>7</v>
      </c>
      <c r="M574">
        <v>1</v>
      </c>
      <c r="N574">
        <v>1</v>
      </c>
      <c r="P574">
        <f>G574*I574/100</f>
        <v>520.20000000000005</v>
      </c>
      <c r="Q574">
        <f t="shared" si="8"/>
        <v>52020</v>
      </c>
      <c r="R574">
        <f>K574/J574</f>
        <v>0.72727272727272729</v>
      </c>
      <c r="S574">
        <v>2020</v>
      </c>
    </row>
    <row r="575" spans="1:19" x14ac:dyDescent="0.3">
      <c r="A575">
        <v>26</v>
      </c>
      <c r="B575">
        <v>1146</v>
      </c>
      <c r="C575" t="s">
        <v>14</v>
      </c>
      <c r="D575" t="s">
        <v>18</v>
      </c>
      <c r="E575">
        <v>38</v>
      </c>
      <c r="F575" t="s">
        <v>16</v>
      </c>
      <c r="G575">
        <v>5326</v>
      </c>
      <c r="H575">
        <v>3064</v>
      </c>
      <c r="I575">
        <v>17</v>
      </c>
      <c r="J575">
        <v>6</v>
      </c>
      <c r="K575">
        <v>4</v>
      </c>
      <c r="L575">
        <v>3</v>
      </c>
      <c r="M575">
        <v>1</v>
      </c>
      <c r="N575">
        <v>2</v>
      </c>
      <c r="P575">
        <f>G575*I575/100</f>
        <v>905.42</v>
      </c>
      <c r="Q575">
        <f t="shared" si="8"/>
        <v>63912</v>
      </c>
      <c r="R575">
        <f>K575/J575</f>
        <v>0.66666666666666663</v>
      </c>
      <c r="S575">
        <v>2020</v>
      </c>
    </row>
    <row r="576" spans="1:19" x14ac:dyDescent="0.3">
      <c r="A576">
        <v>34</v>
      </c>
      <c r="B576">
        <v>182</v>
      </c>
      <c r="C576" t="s">
        <v>17</v>
      </c>
      <c r="D576" t="s">
        <v>15</v>
      </c>
      <c r="E576">
        <v>72</v>
      </c>
      <c r="F576" t="s">
        <v>19</v>
      </c>
      <c r="G576">
        <v>3280</v>
      </c>
      <c r="H576">
        <v>13551</v>
      </c>
      <c r="I576">
        <v>16</v>
      </c>
      <c r="J576">
        <v>10</v>
      </c>
      <c r="K576">
        <v>4</v>
      </c>
      <c r="L576">
        <v>2</v>
      </c>
      <c r="M576">
        <v>1</v>
      </c>
      <c r="N576">
        <v>3</v>
      </c>
      <c r="P576">
        <f>G576*I576/100</f>
        <v>524.79999999999995</v>
      </c>
      <c r="Q576">
        <f t="shared" si="8"/>
        <v>39360</v>
      </c>
      <c r="R576">
        <f>K576/J576</f>
        <v>0.4</v>
      </c>
      <c r="S576">
        <v>2020</v>
      </c>
    </row>
    <row r="577" spans="1:19" x14ac:dyDescent="0.3">
      <c r="A577">
        <v>54</v>
      </c>
      <c r="B577">
        <v>376</v>
      </c>
      <c r="C577" t="s">
        <v>17</v>
      </c>
      <c r="D577" t="s">
        <v>15</v>
      </c>
      <c r="E577">
        <v>95</v>
      </c>
      <c r="F577" t="s">
        <v>21</v>
      </c>
      <c r="G577">
        <v>5485</v>
      </c>
      <c r="H577">
        <v>22670</v>
      </c>
      <c r="I577">
        <v>11</v>
      </c>
      <c r="J577">
        <v>9</v>
      </c>
      <c r="K577">
        <v>5</v>
      </c>
      <c r="L577">
        <v>3</v>
      </c>
      <c r="M577">
        <v>1</v>
      </c>
      <c r="N577">
        <v>4</v>
      </c>
      <c r="P577">
        <f>G577*I577/100</f>
        <v>603.35</v>
      </c>
      <c r="Q577">
        <f t="shared" si="8"/>
        <v>65820</v>
      </c>
      <c r="R577">
        <f>K577/J577</f>
        <v>0.55555555555555558</v>
      </c>
      <c r="S577">
        <v>2020</v>
      </c>
    </row>
    <row r="578" spans="1:19" x14ac:dyDescent="0.3">
      <c r="A578">
        <v>27</v>
      </c>
      <c r="B578">
        <v>829</v>
      </c>
      <c r="C578" t="s">
        <v>14</v>
      </c>
      <c r="D578" t="s">
        <v>18</v>
      </c>
      <c r="E578">
        <v>84</v>
      </c>
      <c r="F578" t="s">
        <v>16</v>
      </c>
      <c r="G578">
        <v>4342</v>
      </c>
      <c r="H578">
        <v>24008</v>
      </c>
      <c r="I578">
        <v>19</v>
      </c>
      <c r="J578">
        <v>5</v>
      </c>
      <c r="K578">
        <v>4</v>
      </c>
      <c r="L578">
        <v>2</v>
      </c>
      <c r="M578">
        <v>1</v>
      </c>
      <c r="N578">
        <v>1</v>
      </c>
      <c r="P578">
        <f>G578*I578/100</f>
        <v>824.98</v>
      </c>
      <c r="Q578">
        <f t="shared" si="8"/>
        <v>52104</v>
      </c>
      <c r="R578">
        <f>K578/J578</f>
        <v>0.8</v>
      </c>
      <c r="S578">
        <v>2020</v>
      </c>
    </row>
    <row r="579" spans="1:19" x14ac:dyDescent="0.3">
      <c r="A579">
        <v>37</v>
      </c>
      <c r="B579">
        <v>571</v>
      </c>
      <c r="C579" t="s">
        <v>17</v>
      </c>
      <c r="D579" t="s">
        <v>15</v>
      </c>
      <c r="E579">
        <v>82</v>
      </c>
      <c r="F579" t="s">
        <v>19</v>
      </c>
      <c r="G579">
        <v>2782</v>
      </c>
      <c r="H579">
        <v>19905</v>
      </c>
      <c r="I579">
        <v>13</v>
      </c>
      <c r="J579">
        <v>6</v>
      </c>
      <c r="K579">
        <v>5</v>
      </c>
      <c r="L579">
        <v>3</v>
      </c>
      <c r="M579">
        <v>4</v>
      </c>
      <c r="N579">
        <v>3</v>
      </c>
      <c r="P579">
        <f>G579*I579/100</f>
        <v>361.66</v>
      </c>
      <c r="Q579">
        <f t="shared" ref="Q579:Q642" si="9">G579*12</f>
        <v>33384</v>
      </c>
      <c r="R579">
        <f>K579/J579</f>
        <v>0.83333333333333337</v>
      </c>
      <c r="S579">
        <v>2020</v>
      </c>
    </row>
    <row r="580" spans="1:19" x14ac:dyDescent="0.3">
      <c r="A580">
        <v>38</v>
      </c>
      <c r="B580">
        <v>240</v>
      </c>
      <c r="C580" t="s">
        <v>17</v>
      </c>
      <c r="D580" t="s">
        <v>15</v>
      </c>
      <c r="E580">
        <v>75</v>
      </c>
      <c r="F580" t="s">
        <v>21</v>
      </c>
      <c r="G580">
        <v>5980</v>
      </c>
      <c r="H580">
        <v>26085</v>
      </c>
      <c r="I580">
        <v>12</v>
      </c>
      <c r="J580">
        <v>17</v>
      </c>
      <c r="K580">
        <v>15</v>
      </c>
      <c r="L580">
        <v>7</v>
      </c>
      <c r="M580">
        <v>4</v>
      </c>
      <c r="N580">
        <v>12</v>
      </c>
      <c r="P580">
        <f>G580*I580/100</f>
        <v>717.6</v>
      </c>
      <c r="Q580">
        <f t="shared" si="9"/>
        <v>71760</v>
      </c>
      <c r="R580">
        <f>K580/J580</f>
        <v>0.88235294117647056</v>
      </c>
      <c r="S580">
        <v>2020</v>
      </c>
    </row>
    <row r="581" spans="1:19" x14ac:dyDescent="0.3">
      <c r="A581">
        <v>34</v>
      </c>
      <c r="B581">
        <v>121</v>
      </c>
      <c r="C581" t="s">
        <v>17</v>
      </c>
      <c r="D581" t="s">
        <v>15</v>
      </c>
      <c r="E581">
        <v>86</v>
      </c>
      <c r="F581" t="s">
        <v>19</v>
      </c>
      <c r="G581">
        <v>4381</v>
      </c>
      <c r="H581">
        <v>7530</v>
      </c>
      <c r="I581">
        <v>11</v>
      </c>
      <c r="J581">
        <v>6</v>
      </c>
      <c r="K581">
        <v>6</v>
      </c>
      <c r="L581">
        <v>5</v>
      </c>
      <c r="M581">
        <v>1</v>
      </c>
      <c r="N581">
        <v>3</v>
      </c>
      <c r="P581">
        <f>G581*I581/100</f>
        <v>481.91</v>
      </c>
      <c r="Q581">
        <f t="shared" si="9"/>
        <v>52572</v>
      </c>
      <c r="R581">
        <f>K581/J581</f>
        <v>1</v>
      </c>
      <c r="S581">
        <v>2020</v>
      </c>
    </row>
    <row r="582" spans="1:19" x14ac:dyDescent="0.3">
      <c r="A582">
        <v>35</v>
      </c>
      <c r="B582">
        <v>384</v>
      </c>
      <c r="C582" t="s">
        <v>14</v>
      </c>
      <c r="D582" t="s">
        <v>15</v>
      </c>
      <c r="E582">
        <v>72</v>
      </c>
      <c r="F582" t="s">
        <v>24</v>
      </c>
      <c r="G582">
        <v>2572</v>
      </c>
      <c r="H582">
        <v>20317</v>
      </c>
      <c r="I582">
        <v>16</v>
      </c>
      <c r="J582">
        <v>3</v>
      </c>
      <c r="K582">
        <v>3</v>
      </c>
      <c r="L582">
        <v>2</v>
      </c>
      <c r="M582">
        <v>0</v>
      </c>
      <c r="N582">
        <v>2</v>
      </c>
      <c r="P582">
        <f>G582*I582/100</f>
        <v>411.52</v>
      </c>
      <c r="Q582">
        <f t="shared" si="9"/>
        <v>30864</v>
      </c>
      <c r="R582">
        <f>K582/J582</f>
        <v>1</v>
      </c>
      <c r="S582">
        <v>2020</v>
      </c>
    </row>
    <row r="583" spans="1:19" x14ac:dyDescent="0.3">
      <c r="A583">
        <v>30</v>
      </c>
      <c r="B583">
        <v>921</v>
      </c>
      <c r="C583" t="s">
        <v>17</v>
      </c>
      <c r="D583" t="s">
        <v>18</v>
      </c>
      <c r="E583">
        <v>38</v>
      </c>
      <c r="F583" t="s">
        <v>20</v>
      </c>
      <c r="G583">
        <v>3833</v>
      </c>
      <c r="H583">
        <v>24375</v>
      </c>
      <c r="I583">
        <v>21</v>
      </c>
      <c r="J583">
        <v>7</v>
      </c>
      <c r="K583">
        <v>2</v>
      </c>
      <c r="L583">
        <v>2</v>
      </c>
      <c r="M583">
        <v>0</v>
      </c>
      <c r="N583">
        <v>2</v>
      </c>
      <c r="P583">
        <f>G583*I583/100</f>
        <v>804.93</v>
      </c>
      <c r="Q583">
        <f t="shared" si="9"/>
        <v>45996</v>
      </c>
      <c r="R583">
        <f>K583/J583</f>
        <v>0.2857142857142857</v>
      </c>
      <c r="S583">
        <v>2020</v>
      </c>
    </row>
    <row r="584" spans="1:19" x14ac:dyDescent="0.3">
      <c r="A584">
        <v>40</v>
      </c>
      <c r="B584">
        <v>791</v>
      </c>
      <c r="C584" t="s">
        <v>17</v>
      </c>
      <c r="D584" t="s">
        <v>15</v>
      </c>
      <c r="E584">
        <v>38</v>
      </c>
      <c r="F584" t="s">
        <v>22</v>
      </c>
      <c r="G584">
        <v>4244</v>
      </c>
      <c r="H584">
        <v>9931</v>
      </c>
      <c r="I584">
        <v>24</v>
      </c>
      <c r="J584">
        <v>8</v>
      </c>
      <c r="K584">
        <v>8</v>
      </c>
      <c r="L584">
        <v>7</v>
      </c>
      <c r="M584">
        <v>3</v>
      </c>
      <c r="N584">
        <v>7</v>
      </c>
      <c r="P584">
        <f>G584*I584/100</f>
        <v>1018.56</v>
      </c>
      <c r="Q584">
        <f t="shared" si="9"/>
        <v>50928</v>
      </c>
      <c r="R584">
        <f>K584/J584</f>
        <v>1</v>
      </c>
      <c r="S584">
        <v>2020</v>
      </c>
    </row>
    <row r="585" spans="1:19" x14ac:dyDescent="0.3">
      <c r="A585">
        <v>34</v>
      </c>
      <c r="B585">
        <v>1111</v>
      </c>
      <c r="C585" t="s">
        <v>14</v>
      </c>
      <c r="D585" t="s">
        <v>15</v>
      </c>
      <c r="E585">
        <v>93</v>
      </c>
      <c r="F585" t="s">
        <v>16</v>
      </c>
      <c r="G585">
        <v>6500</v>
      </c>
      <c r="H585">
        <v>13305</v>
      </c>
      <c r="I585">
        <v>17</v>
      </c>
      <c r="J585">
        <v>6</v>
      </c>
      <c r="K585">
        <v>3</v>
      </c>
      <c r="L585">
        <v>2</v>
      </c>
      <c r="M585">
        <v>1</v>
      </c>
      <c r="N585">
        <v>2</v>
      </c>
      <c r="P585">
        <f>G585*I585/100</f>
        <v>1105</v>
      </c>
      <c r="Q585">
        <f t="shared" si="9"/>
        <v>78000</v>
      </c>
      <c r="R585">
        <f>K585/J585</f>
        <v>0.5</v>
      </c>
      <c r="S585">
        <v>2020</v>
      </c>
    </row>
    <row r="586" spans="1:19" x14ac:dyDescent="0.3">
      <c r="A586">
        <v>42</v>
      </c>
      <c r="B586">
        <v>570</v>
      </c>
      <c r="C586" t="s">
        <v>17</v>
      </c>
      <c r="D586" t="s">
        <v>18</v>
      </c>
      <c r="E586">
        <v>66</v>
      </c>
      <c r="F586" t="s">
        <v>23</v>
      </c>
      <c r="G586">
        <v>18430</v>
      </c>
      <c r="H586">
        <v>16225</v>
      </c>
      <c r="I586">
        <v>13</v>
      </c>
      <c r="J586">
        <v>24</v>
      </c>
      <c r="K586">
        <v>24</v>
      </c>
      <c r="L586">
        <v>7</v>
      </c>
      <c r="M586">
        <v>14</v>
      </c>
      <c r="N586">
        <v>9</v>
      </c>
      <c r="P586">
        <f>G586*I586/100</f>
        <v>2395.9</v>
      </c>
      <c r="Q586">
        <f t="shared" si="9"/>
        <v>221160</v>
      </c>
      <c r="R586">
        <f>K586/J586</f>
        <v>1</v>
      </c>
      <c r="S586">
        <v>2020</v>
      </c>
    </row>
    <row r="587" spans="1:19" x14ac:dyDescent="0.3">
      <c r="A587">
        <v>23</v>
      </c>
      <c r="B587">
        <v>1243</v>
      </c>
      <c r="C587" t="s">
        <v>17</v>
      </c>
      <c r="D587" t="s">
        <v>18</v>
      </c>
      <c r="E587">
        <v>63</v>
      </c>
      <c r="F587" t="s">
        <v>20</v>
      </c>
      <c r="G587">
        <v>1601</v>
      </c>
      <c r="H587">
        <v>3445</v>
      </c>
      <c r="I587">
        <v>21</v>
      </c>
      <c r="J587">
        <v>1</v>
      </c>
      <c r="K587">
        <v>0</v>
      </c>
      <c r="L587">
        <v>0</v>
      </c>
      <c r="M587">
        <v>0</v>
      </c>
      <c r="N587">
        <v>0</v>
      </c>
      <c r="P587">
        <f>G587*I587/100</f>
        <v>336.21</v>
      </c>
      <c r="Q587">
        <f t="shared" si="9"/>
        <v>19212</v>
      </c>
      <c r="R587">
        <f>K587/J587</f>
        <v>0</v>
      </c>
      <c r="S587">
        <v>2020</v>
      </c>
    </row>
    <row r="588" spans="1:19" x14ac:dyDescent="0.3">
      <c r="A588">
        <v>24</v>
      </c>
      <c r="B588">
        <v>1092</v>
      </c>
      <c r="C588" t="s">
        <v>17</v>
      </c>
      <c r="D588" t="s">
        <v>18</v>
      </c>
      <c r="E588">
        <v>60</v>
      </c>
      <c r="F588" t="s">
        <v>20</v>
      </c>
      <c r="G588">
        <v>2694</v>
      </c>
      <c r="H588">
        <v>26551</v>
      </c>
      <c r="I588">
        <v>11</v>
      </c>
      <c r="J588">
        <v>1</v>
      </c>
      <c r="K588">
        <v>1</v>
      </c>
      <c r="L588">
        <v>0</v>
      </c>
      <c r="M588">
        <v>0</v>
      </c>
      <c r="N588">
        <v>0</v>
      </c>
      <c r="P588">
        <f>G588*I588/100</f>
        <v>296.33999999999997</v>
      </c>
      <c r="Q588">
        <f t="shared" si="9"/>
        <v>32328</v>
      </c>
      <c r="R588">
        <f>K588/J588</f>
        <v>1</v>
      </c>
      <c r="S588">
        <v>2020</v>
      </c>
    </row>
    <row r="589" spans="1:19" x14ac:dyDescent="0.3">
      <c r="A589">
        <v>52</v>
      </c>
      <c r="B589">
        <v>1325</v>
      </c>
      <c r="C589" t="s">
        <v>17</v>
      </c>
      <c r="D589" t="s">
        <v>15</v>
      </c>
      <c r="E589">
        <v>82</v>
      </c>
      <c r="F589" t="s">
        <v>20</v>
      </c>
      <c r="G589">
        <v>3149</v>
      </c>
      <c r="H589">
        <v>21821</v>
      </c>
      <c r="I589">
        <v>20</v>
      </c>
      <c r="J589">
        <v>9</v>
      </c>
      <c r="K589">
        <v>5</v>
      </c>
      <c r="L589">
        <v>2</v>
      </c>
      <c r="M589">
        <v>1</v>
      </c>
      <c r="N589">
        <v>4</v>
      </c>
      <c r="P589">
        <f>G589*I589/100</f>
        <v>629.79999999999995</v>
      </c>
      <c r="Q589">
        <f t="shared" si="9"/>
        <v>37788</v>
      </c>
      <c r="R589">
        <f>K589/J589</f>
        <v>0.55555555555555558</v>
      </c>
      <c r="S589">
        <v>2020</v>
      </c>
    </row>
    <row r="590" spans="1:19" x14ac:dyDescent="0.3">
      <c r="A590">
        <v>50</v>
      </c>
      <c r="B590">
        <v>691</v>
      </c>
      <c r="C590" t="s">
        <v>17</v>
      </c>
      <c r="D590" t="s">
        <v>18</v>
      </c>
      <c r="E590">
        <v>64</v>
      </c>
      <c r="F590" t="s">
        <v>25</v>
      </c>
      <c r="G590">
        <v>17639</v>
      </c>
      <c r="H590">
        <v>6881</v>
      </c>
      <c r="I590">
        <v>16</v>
      </c>
      <c r="J590">
        <v>30</v>
      </c>
      <c r="K590">
        <v>4</v>
      </c>
      <c r="L590">
        <v>3</v>
      </c>
      <c r="M590">
        <v>0</v>
      </c>
      <c r="N590">
        <v>3</v>
      </c>
      <c r="P590">
        <f>G590*I590/100</f>
        <v>2822.24</v>
      </c>
      <c r="Q590">
        <f t="shared" si="9"/>
        <v>211668</v>
      </c>
      <c r="R590">
        <f>K590/J590</f>
        <v>0.13333333333333333</v>
      </c>
      <c r="S590">
        <v>2020</v>
      </c>
    </row>
    <row r="591" spans="1:19" x14ac:dyDescent="0.3">
      <c r="A591">
        <v>29</v>
      </c>
      <c r="B591">
        <v>805</v>
      </c>
      <c r="C591" t="s">
        <v>17</v>
      </c>
      <c r="D591" t="s">
        <v>15</v>
      </c>
      <c r="E591">
        <v>36</v>
      </c>
      <c r="F591" t="s">
        <v>20</v>
      </c>
      <c r="G591">
        <v>2319</v>
      </c>
      <c r="H591">
        <v>6689</v>
      </c>
      <c r="I591">
        <v>11</v>
      </c>
      <c r="J591">
        <v>1</v>
      </c>
      <c r="K591">
        <v>1</v>
      </c>
      <c r="L591">
        <v>0</v>
      </c>
      <c r="M591">
        <v>0</v>
      </c>
      <c r="N591">
        <v>0</v>
      </c>
      <c r="P591">
        <f>G591*I591/100</f>
        <v>255.09</v>
      </c>
      <c r="Q591">
        <f t="shared" si="9"/>
        <v>27828</v>
      </c>
      <c r="R591">
        <f>K591/J591</f>
        <v>1</v>
      </c>
      <c r="S591">
        <v>2020</v>
      </c>
    </row>
    <row r="592" spans="1:19" x14ac:dyDescent="0.3">
      <c r="A592">
        <v>33</v>
      </c>
      <c r="B592">
        <v>213</v>
      </c>
      <c r="C592" t="s">
        <v>17</v>
      </c>
      <c r="D592" t="s">
        <v>18</v>
      </c>
      <c r="E592">
        <v>49</v>
      </c>
      <c r="F592" t="s">
        <v>25</v>
      </c>
      <c r="G592">
        <v>11691</v>
      </c>
      <c r="H592">
        <v>25995</v>
      </c>
      <c r="I592">
        <v>11</v>
      </c>
      <c r="J592">
        <v>14</v>
      </c>
      <c r="K592">
        <v>13</v>
      </c>
      <c r="L592">
        <v>9</v>
      </c>
      <c r="M592">
        <v>3</v>
      </c>
      <c r="N592">
        <v>7</v>
      </c>
      <c r="P592">
        <f>G592*I592/100</f>
        <v>1286.01</v>
      </c>
      <c r="Q592">
        <f t="shared" si="9"/>
        <v>140292</v>
      </c>
      <c r="R592">
        <f>K592/J592</f>
        <v>0.9285714285714286</v>
      </c>
      <c r="S592">
        <v>2020</v>
      </c>
    </row>
    <row r="593" spans="1:19" x14ac:dyDescent="0.3">
      <c r="A593">
        <v>33</v>
      </c>
      <c r="B593">
        <v>118</v>
      </c>
      <c r="C593" t="s">
        <v>14</v>
      </c>
      <c r="D593" t="s">
        <v>15</v>
      </c>
      <c r="E593">
        <v>69</v>
      </c>
      <c r="F593" t="s">
        <v>16</v>
      </c>
      <c r="G593">
        <v>5324</v>
      </c>
      <c r="H593">
        <v>26507</v>
      </c>
      <c r="I593">
        <v>15</v>
      </c>
      <c r="J593">
        <v>6</v>
      </c>
      <c r="K593">
        <v>3</v>
      </c>
      <c r="L593">
        <v>2</v>
      </c>
      <c r="M593">
        <v>0</v>
      </c>
      <c r="N593">
        <v>2</v>
      </c>
      <c r="P593">
        <f>G593*I593/100</f>
        <v>798.6</v>
      </c>
      <c r="Q593">
        <f t="shared" si="9"/>
        <v>63888</v>
      </c>
      <c r="R593">
        <f>K593/J593</f>
        <v>0.5</v>
      </c>
      <c r="S593">
        <v>2020</v>
      </c>
    </row>
    <row r="594" spans="1:19" x14ac:dyDescent="0.3">
      <c r="A594">
        <v>47</v>
      </c>
      <c r="B594">
        <v>202</v>
      </c>
      <c r="C594" t="s">
        <v>17</v>
      </c>
      <c r="D594" t="s">
        <v>15</v>
      </c>
      <c r="E594">
        <v>33</v>
      </c>
      <c r="F594" t="s">
        <v>23</v>
      </c>
      <c r="G594">
        <v>16752</v>
      </c>
      <c r="H594">
        <v>12982</v>
      </c>
      <c r="I594">
        <v>11</v>
      </c>
      <c r="J594">
        <v>26</v>
      </c>
      <c r="K594">
        <v>26</v>
      </c>
      <c r="L594">
        <v>14</v>
      </c>
      <c r="M594">
        <v>3</v>
      </c>
      <c r="N594">
        <v>0</v>
      </c>
      <c r="P594">
        <f>G594*I594/100</f>
        <v>1842.72</v>
      </c>
      <c r="Q594">
        <f t="shared" si="9"/>
        <v>201024</v>
      </c>
      <c r="R594">
        <f>K594/J594</f>
        <v>1</v>
      </c>
      <c r="S594">
        <v>2020</v>
      </c>
    </row>
    <row r="595" spans="1:19" x14ac:dyDescent="0.3">
      <c r="A595">
        <v>36</v>
      </c>
      <c r="B595">
        <v>676</v>
      </c>
      <c r="C595" t="s">
        <v>17</v>
      </c>
      <c r="D595" t="s">
        <v>15</v>
      </c>
      <c r="E595">
        <v>35</v>
      </c>
      <c r="F595" t="s">
        <v>21</v>
      </c>
      <c r="G595">
        <v>5228</v>
      </c>
      <c r="H595">
        <v>23361</v>
      </c>
      <c r="I595">
        <v>15</v>
      </c>
      <c r="J595">
        <v>10</v>
      </c>
      <c r="K595">
        <v>9</v>
      </c>
      <c r="L595">
        <v>7</v>
      </c>
      <c r="M595">
        <v>0</v>
      </c>
      <c r="N595">
        <v>5</v>
      </c>
      <c r="P595">
        <f>G595*I595/100</f>
        <v>784.2</v>
      </c>
      <c r="Q595">
        <f t="shared" si="9"/>
        <v>62736</v>
      </c>
      <c r="R595">
        <f>K595/J595</f>
        <v>0.9</v>
      </c>
      <c r="S595">
        <v>2020</v>
      </c>
    </row>
    <row r="596" spans="1:19" x14ac:dyDescent="0.3">
      <c r="A596">
        <v>29</v>
      </c>
      <c r="B596">
        <v>1252</v>
      </c>
      <c r="C596" t="s">
        <v>17</v>
      </c>
      <c r="D596" t="s">
        <v>18</v>
      </c>
      <c r="E596">
        <v>81</v>
      </c>
      <c r="F596" t="s">
        <v>19</v>
      </c>
      <c r="G596">
        <v>2700</v>
      </c>
      <c r="H596">
        <v>23779</v>
      </c>
      <c r="I596">
        <v>24</v>
      </c>
      <c r="J596">
        <v>10</v>
      </c>
      <c r="K596">
        <v>10</v>
      </c>
      <c r="L596">
        <v>7</v>
      </c>
      <c r="M596">
        <v>0</v>
      </c>
      <c r="N596">
        <v>7</v>
      </c>
      <c r="P596">
        <f>G596*I596/100</f>
        <v>648</v>
      </c>
      <c r="Q596">
        <f t="shared" si="9"/>
        <v>32400</v>
      </c>
      <c r="R596">
        <f>K596/J596</f>
        <v>1</v>
      </c>
      <c r="S596">
        <v>2020</v>
      </c>
    </row>
    <row r="597" spans="1:19" x14ac:dyDescent="0.3">
      <c r="A597">
        <v>58</v>
      </c>
      <c r="B597">
        <v>286</v>
      </c>
      <c r="C597" t="s">
        <v>17</v>
      </c>
      <c r="D597" t="s">
        <v>18</v>
      </c>
      <c r="E597">
        <v>31</v>
      </c>
      <c r="F597" t="s">
        <v>25</v>
      </c>
      <c r="G597">
        <v>19246</v>
      </c>
      <c r="H597">
        <v>25761</v>
      </c>
      <c r="I597">
        <v>12</v>
      </c>
      <c r="J597">
        <v>40</v>
      </c>
      <c r="K597">
        <v>31</v>
      </c>
      <c r="L597">
        <v>15</v>
      </c>
      <c r="M597">
        <v>13</v>
      </c>
      <c r="N597">
        <v>8</v>
      </c>
      <c r="P597">
        <f>G597*I597/100</f>
        <v>2309.52</v>
      </c>
      <c r="Q597">
        <f t="shared" si="9"/>
        <v>230952</v>
      </c>
      <c r="R597">
        <f>K597/J597</f>
        <v>0.77500000000000002</v>
      </c>
      <c r="S597">
        <v>2020</v>
      </c>
    </row>
    <row r="598" spans="1:19" x14ac:dyDescent="0.3">
      <c r="A598">
        <v>35</v>
      </c>
      <c r="B598">
        <v>1258</v>
      </c>
      <c r="C598" t="s">
        <v>17</v>
      </c>
      <c r="D598" t="s">
        <v>15</v>
      </c>
      <c r="E598">
        <v>40</v>
      </c>
      <c r="F598" t="s">
        <v>19</v>
      </c>
      <c r="G598">
        <v>2506</v>
      </c>
      <c r="H598">
        <v>13301</v>
      </c>
      <c r="I598">
        <v>13</v>
      </c>
      <c r="J598">
        <v>7</v>
      </c>
      <c r="K598">
        <v>2</v>
      </c>
      <c r="L598">
        <v>2</v>
      </c>
      <c r="M598">
        <v>2</v>
      </c>
      <c r="N598">
        <v>2</v>
      </c>
      <c r="P598">
        <f>G598*I598/100</f>
        <v>325.77999999999997</v>
      </c>
      <c r="Q598">
        <f t="shared" si="9"/>
        <v>30072</v>
      </c>
      <c r="R598">
        <f>K598/J598</f>
        <v>0.2857142857142857</v>
      </c>
      <c r="S598">
        <v>2020</v>
      </c>
    </row>
    <row r="599" spans="1:19" x14ac:dyDescent="0.3">
      <c r="A599">
        <v>42</v>
      </c>
      <c r="B599">
        <v>932</v>
      </c>
      <c r="C599" t="s">
        <v>17</v>
      </c>
      <c r="D599" t="s">
        <v>15</v>
      </c>
      <c r="E599">
        <v>43</v>
      </c>
      <c r="F599" t="s">
        <v>21</v>
      </c>
      <c r="G599">
        <v>6062</v>
      </c>
      <c r="H599">
        <v>4051</v>
      </c>
      <c r="I599">
        <v>13</v>
      </c>
      <c r="J599">
        <v>8</v>
      </c>
      <c r="K599">
        <v>4</v>
      </c>
      <c r="L599">
        <v>3</v>
      </c>
      <c r="M599">
        <v>0</v>
      </c>
      <c r="N599">
        <v>2</v>
      </c>
      <c r="P599">
        <f>G599*I599/100</f>
        <v>788.06</v>
      </c>
      <c r="Q599">
        <f t="shared" si="9"/>
        <v>72744</v>
      </c>
      <c r="R599">
        <f>K599/J599</f>
        <v>0.5</v>
      </c>
      <c r="S599">
        <v>2020</v>
      </c>
    </row>
    <row r="600" spans="1:19" x14ac:dyDescent="0.3">
      <c r="A600">
        <v>28</v>
      </c>
      <c r="B600">
        <v>890</v>
      </c>
      <c r="C600" t="s">
        <v>17</v>
      </c>
      <c r="D600" t="s">
        <v>18</v>
      </c>
      <c r="E600">
        <v>46</v>
      </c>
      <c r="F600" t="s">
        <v>19</v>
      </c>
      <c r="G600">
        <v>4382</v>
      </c>
      <c r="H600">
        <v>16374</v>
      </c>
      <c r="I600">
        <v>17</v>
      </c>
      <c r="J600">
        <v>5</v>
      </c>
      <c r="K600">
        <v>2</v>
      </c>
      <c r="L600">
        <v>2</v>
      </c>
      <c r="M600">
        <v>2</v>
      </c>
      <c r="N600">
        <v>1</v>
      </c>
      <c r="P600">
        <f>G600*I600/100</f>
        <v>744.94</v>
      </c>
      <c r="Q600">
        <f t="shared" si="9"/>
        <v>52584</v>
      </c>
      <c r="R600">
        <f>K600/J600</f>
        <v>0.4</v>
      </c>
      <c r="S600">
        <v>2020</v>
      </c>
    </row>
    <row r="601" spans="1:19" x14ac:dyDescent="0.3">
      <c r="A601">
        <v>36</v>
      </c>
      <c r="B601">
        <v>1041</v>
      </c>
      <c r="C601" t="s">
        <v>26</v>
      </c>
      <c r="D601" t="s">
        <v>18</v>
      </c>
      <c r="E601">
        <v>36</v>
      </c>
      <c r="F601" t="s">
        <v>26</v>
      </c>
      <c r="G601">
        <v>2143</v>
      </c>
      <c r="H601">
        <v>25527</v>
      </c>
      <c r="I601">
        <v>13</v>
      </c>
      <c r="J601">
        <v>8</v>
      </c>
      <c r="K601">
        <v>5</v>
      </c>
      <c r="L601">
        <v>2</v>
      </c>
      <c r="M601">
        <v>0</v>
      </c>
      <c r="N601">
        <v>4</v>
      </c>
      <c r="P601">
        <f>G601*I601/100</f>
        <v>278.58999999999997</v>
      </c>
      <c r="Q601">
        <f t="shared" si="9"/>
        <v>25716</v>
      </c>
      <c r="R601">
        <f>K601/J601</f>
        <v>0.625</v>
      </c>
      <c r="S601">
        <v>2020</v>
      </c>
    </row>
    <row r="602" spans="1:19" x14ac:dyDescent="0.3">
      <c r="A602">
        <v>32</v>
      </c>
      <c r="B602">
        <v>859</v>
      </c>
      <c r="C602" t="s">
        <v>17</v>
      </c>
      <c r="D602" t="s">
        <v>15</v>
      </c>
      <c r="E602">
        <v>98</v>
      </c>
      <c r="F602" t="s">
        <v>21</v>
      </c>
      <c r="G602">
        <v>6162</v>
      </c>
      <c r="H602">
        <v>19124</v>
      </c>
      <c r="I602">
        <v>12</v>
      </c>
      <c r="J602">
        <v>14</v>
      </c>
      <c r="K602">
        <v>14</v>
      </c>
      <c r="L602">
        <v>13</v>
      </c>
      <c r="M602">
        <v>6</v>
      </c>
      <c r="N602">
        <v>8</v>
      </c>
      <c r="P602">
        <f>G602*I602/100</f>
        <v>739.44</v>
      </c>
      <c r="Q602">
        <f t="shared" si="9"/>
        <v>73944</v>
      </c>
      <c r="R602">
        <f>K602/J602</f>
        <v>1</v>
      </c>
      <c r="S602">
        <v>2020</v>
      </c>
    </row>
    <row r="603" spans="1:19" x14ac:dyDescent="0.3">
      <c r="A603">
        <v>40</v>
      </c>
      <c r="B603">
        <v>720</v>
      </c>
      <c r="C603" t="s">
        <v>17</v>
      </c>
      <c r="D603" t="s">
        <v>18</v>
      </c>
      <c r="E603">
        <v>51</v>
      </c>
      <c r="F603" t="s">
        <v>20</v>
      </c>
      <c r="G603">
        <v>5094</v>
      </c>
      <c r="H603">
        <v>11983</v>
      </c>
      <c r="I603">
        <v>14</v>
      </c>
      <c r="J603">
        <v>10</v>
      </c>
      <c r="K603">
        <v>1</v>
      </c>
      <c r="L603">
        <v>0</v>
      </c>
      <c r="M603">
        <v>0</v>
      </c>
      <c r="N603">
        <v>0</v>
      </c>
      <c r="P603">
        <f>G603*I603/100</f>
        <v>713.16</v>
      </c>
      <c r="Q603">
        <f t="shared" si="9"/>
        <v>61128</v>
      </c>
      <c r="R603">
        <f>K603/J603</f>
        <v>0.1</v>
      </c>
      <c r="S603">
        <v>2020</v>
      </c>
    </row>
    <row r="604" spans="1:19" x14ac:dyDescent="0.3">
      <c r="A604">
        <v>30</v>
      </c>
      <c r="B604">
        <v>946</v>
      </c>
      <c r="C604" t="s">
        <v>17</v>
      </c>
      <c r="D604" t="s">
        <v>15</v>
      </c>
      <c r="E604">
        <v>52</v>
      </c>
      <c r="F604" t="s">
        <v>21</v>
      </c>
      <c r="G604">
        <v>6877</v>
      </c>
      <c r="H604">
        <v>20234</v>
      </c>
      <c r="I604">
        <v>24</v>
      </c>
      <c r="J604">
        <v>12</v>
      </c>
      <c r="K604">
        <v>0</v>
      </c>
      <c r="L604">
        <v>0</v>
      </c>
      <c r="M604">
        <v>0</v>
      </c>
      <c r="N604">
        <v>0</v>
      </c>
      <c r="P604">
        <f>G604*I604/100</f>
        <v>1650.48</v>
      </c>
      <c r="Q604">
        <f t="shared" si="9"/>
        <v>82524</v>
      </c>
      <c r="R604">
        <f>K604/J604</f>
        <v>0</v>
      </c>
      <c r="S604">
        <v>2020</v>
      </c>
    </row>
    <row r="605" spans="1:19" x14ac:dyDescent="0.3">
      <c r="A605">
        <v>45</v>
      </c>
      <c r="B605">
        <v>252</v>
      </c>
      <c r="C605" t="s">
        <v>17</v>
      </c>
      <c r="D605" t="s">
        <v>15</v>
      </c>
      <c r="E605">
        <v>95</v>
      </c>
      <c r="F605" t="s">
        <v>19</v>
      </c>
      <c r="G605">
        <v>2274</v>
      </c>
      <c r="H605">
        <v>6153</v>
      </c>
      <c r="I605">
        <v>14</v>
      </c>
      <c r="J605">
        <v>1</v>
      </c>
      <c r="K605">
        <v>1</v>
      </c>
      <c r="L605">
        <v>0</v>
      </c>
      <c r="M605">
        <v>0</v>
      </c>
      <c r="N605">
        <v>0</v>
      </c>
      <c r="P605">
        <f>G605*I605/100</f>
        <v>318.36</v>
      </c>
      <c r="Q605">
        <f t="shared" si="9"/>
        <v>27288</v>
      </c>
      <c r="R605">
        <f>K605/J605</f>
        <v>1</v>
      </c>
      <c r="S605">
        <v>2020</v>
      </c>
    </row>
    <row r="606" spans="1:19" x14ac:dyDescent="0.3">
      <c r="A606">
        <v>42</v>
      </c>
      <c r="B606">
        <v>933</v>
      </c>
      <c r="C606" t="s">
        <v>17</v>
      </c>
      <c r="D606" t="s">
        <v>18</v>
      </c>
      <c r="E606">
        <v>98</v>
      </c>
      <c r="F606" t="s">
        <v>21</v>
      </c>
      <c r="G606">
        <v>4434</v>
      </c>
      <c r="H606">
        <v>11806</v>
      </c>
      <c r="I606">
        <v>13</v>
      </c>
      <c r="J606">
        <v>10</v>
      </c>
      <c r="K606">
        <v>9</v>
      </c>
      <c r="L606">
        <v>8</v>
      </c>
      <c r="M606">
        <v>7</v>
      </c>
      <c r="N606">
        <v>8</v>
      </c>
      <c r="P606">
        <f>G606*I606/100</f>
        <v>576.41999999999996</v>
      </c>
      <c r="Q606">
        <f t="shared" si="9"/>
        <v>53208</v>
      </c>
      <c r="R606">
        <f>K606/J606</f>
        <v>0.9</v>
      </c>
      <c r="S606">
        <v>2020</v>
      </c>
    </row>
    <row r="607" spans="1:19" x14ac:dyDescent="0.3">
      <c r="A607">
        <v>38</v>
      </c>
      <c r="B607">
        <v>471</v>
      </c>
      <c r="C607" t="s">
        <v>17</v>
      </c>
      <c r="D607" t="s">
        <v>18</v>
      </c>
      <c r="E607">
        <v>45</v>
      </c>
      <c r="F607" t="s">
        <v>22</v>
      </c>
      <c r="G607">
        <v>6288</v>
      </c>
      <c r="H607">
        <v>4284</v>
      </c>
      <c r="I607">
        <v>15</v>
      </c>
      <c r="J607">
        <v>13</v>
      </c>
      <c r="K607">
        <v>4</v>
      </c>
      <c r="L607">
        <v>3</v>
      </c>
      <c r="M607">
        <v>1</v>
      </c>
      <c r="N607">
        <v>2</v>
      </c>
      <c r="P607">
        <f>G607*I607/100</f>
        <v>943.2</v>
      </c>
      <c r="Q607">
        <f t="shared" si="9"/>
        <v>75456</v>
      </c>
      <c r="R607">
        <f>K607/J607</f>
        <v>0.30769230769230771</v>
      </c>
      <c r="S607">
        <v>2020</v>
      </c>
    </row>
    <row r="608" spans="1:19" x14ac:dyDescent="0.3">
      <c r="A608">
        <v>34</v>
      </c>
      <c r="B608">
        <v>702</v>
      </c>
      <c r="C608" t="s">
        <v>17</v>
      </c>
      <c r="D608" t="s">
        <v>15</v>
      </c>
      <c r="E608">
        <v>100</v>
      </c>
      <c r="F608" t="s">
        <v>19</v>
      </c>
      <c r="G608">
        <v>2553</v>
      </c>
      <c r="H608">
        <v>8306</v>
      </c>
      <c r="I608">
        <v>16</v>
      </c>
      <c r="J608">
        <v>6</v>
      </c>
      <c r="K608">
        <v>5</v>
      </c>
      <c r="L608">
        <v>2</v>
      </c>
      <c r="M608">
        <v>1</v>
      </c>
      <c r="N608">
        <v>3</v>
      </c>
      <c r="P608">
        <f>G608*I608/100</f>
        <v>408.48</v>
      </c>
      <c r="Q608">
        <f t="shared" si="9"/>
        <v>30636</v>
      </c>
      <c r="R608">
        <f>K608/J608</f>
        <v>0.83333333333333337</v>
      </c>
      <c r="S608">
        <v>2020</v>
      </c>
    </row>
    <row r="609" spans="1:19" x14ac:dyDescent="0.3">
      <c r="A609">
        <v>49</v>
      </c>
      <c r="B609">
        <v>1184</v>
      </c>
      <c r="C609" t="s">
        <v>14</v>
      </c>
      <c r="D609" t="s">
        <v>15</v>
      </c>
      <c r="E609">
        <v>43</v>
      </c>
      <c r="F609" t="s">
        <v>16</v>
      </c>
      <c r="G609">
        <v>7654</v>
      </c>
      <c r="H609">
        <v>5860</v>
      </c>
      <c r="I609">
        <v>18</v>
      </c>
      <c r="J609">
        <v>9</v>
      </c>
      <c r="K609">
        <v>9</v>
      </c>
      <c r="L609">
        <v>8</v>
      </c>
      <c r="M609">
        <v>7</v>
      </c>
      <c r="N609">
        <v>7</v>
      </c>
      <c r="P609">
        <f>G609*I609/100</f>
        <v>1377.72</v>
      </c>
      <c r="Q609">
        <f t="shared" si="9"/>
        <v>91848</v>
      </c>
      <c r="R609">
        <f>K609/J609</f>
        <v>1</v>
      </c>
      <c r="S609">
        <v>2020</v>
      </c>
    </row>
    <row r="610" spans="1:19" x14ac:dyDescent="0.3">
      <c r="A610">
        <v>55</v>
      </c>
      <c r="B610">
        <v>436</v>
      </c>
      <c r="C610" t="s">
        <v>14</v>
      </c>
      <c r="D610" t="s">
        <v>18</v>
      </c>
      <c r="E610">
        <v>37</v>
      </c>
      <c r="F610" t="s">
        <v>16</v>
      </c>
      <c r="G610">
        <v>5160</v>
      </c>
      <c r="H610">
        <v>21519</v>
      </c>
      <c r="I610">
        <v>16</v>
      </c>
      <c r="J610">
        <v>12</v>
      </c>
      <c r="K610">
        <v>9</v>
      </c>
      <c r="L610">
        <v>7</v>
      </c>
      <c r="M610">
        <v>7</v>
      </c>
      <c r="N610">
        <v>3</v>
      </c>
      <c r="P610">
        <f>G610*I610/100</f>
        <v>825.6</v>
      </c>
      <c r="Q610">
        <f t="shared" si="9"/>
        <v>61920</v>
      </c>
      <c r="R610">
        <f>K610/J610</f>
        <v>0.75</v>
      </c>
      <c r="S610">
        <v>2020</v>
      </c>
    </row>
    <row r="611" spans="1:19" x14ac:dyDescent="0.3">
      <c r="A611">
        <v>43</v>
      </c>
      <c r="B611">
        <v>589</v>
      </c>
      <c r="C611" t="s">
        <v>17</v>
      </c>
      <c r="D611" t="s">
        <v>18</v>
      </c>
      <c r="E611">
        <v>94</v>
      </c>
      <c r="F611" t="s">
        <v>25</v>
      </c>
      <c r="G611">
        <v>17159</v>
      </c>
      <c r="H611">
        <v>5200</v>
      </c>
      <c r="I611">
        <v>24</v>
      </c>
      <c r="J611">
        <v>22</v>
      </c>
      <c r="K611">
        <v>4</v>
      </c>
      <c r="L611">
        <v>1</v>
      </c>
      <c r="M611">
        <v>1</v>
      </c>
      <c r="N611">
        <v>0</v>
      </c>
      <c r="P611">
        <f>G611*I611/100</f>
        <v>4118.16</v>
      </c>
      <c r="Q611">
        <f t="shared" si="9"/>
        <v>205908</v>
      </c>
      <c r="R611">
        <f>K611/J611</f>
        <v>0.18181818181818182</v>
      </c>
      <c r="S611">
        <v>2020</v>
      </c>
    </row>
    <row r="612" spans="1:19" x14ac:dyDescent="0.3">
      <c r="A612">
        <v>27</v>
      </c>
      <c r="B612">
        <v>269</v>
      </c>
      <c r="C612" t="s">
        <v>17</v>
      </c>
      <c r="D612" t="s">
        <v>18</v>
      </c>
      <c r="E612">
        <v>42</v>
      </c>
      <c r="F612" t="s">
        <v>25</v>
      </c>
      <c r="G612">
        <v>12808</v>
      </c>
      <c r="H612">
        <v>8842</v>
      </c>
      <c r="I612">
        <v>16</v>
      </c>
      <c r="J612">
        <v>9</v>
      </c>
      <c r="K612">
        <v>9</v>
      </c>
      <c r="L612">
        <v>8</v>
      </c>
      <c r="M612">
        <v>0</v>
      </c>
      <c r="N612">
        <v>8</v>
      </c>
      <c r="P612">
        <f>G612*I612/100</f>
        <v>2049.2800000000002</v>
      </c>
      <c r="Q612">
        <f t="shared" si="9"/>
        <v>153696</v>
      </c>
      <c r="R612">
        <f>K612/J612</f>
        <v>1</v>
      </c>
      <c r="S612">
        <v>2020</v>
      </c>
    </row>
    <row r="613" spans="1:19" x14ac:dyDescent="0.3">
      <c r="A613">
        <v>35</v>
      </c>
      <c r="B613">
        <v>950</v>
      </c>
      <c r="C613" t="s">
        <v>17</v>
      </c>
      <c r="D613" t="s">
        <v>18</v>
      </c>
      <c r="E613">
        <v>59</v>
      </c>
      <c r="F613" t="s">
        <v>21</v>
      </c>
      <c r="G613">
        <v>10221</v>
      </c>
      <c r="H613">
        <v>18869</v>
      </c>
      <c r="I613">
        <v>21</v>
      </c>
      <c r="J613">
        <v>17</v>
      </c>
      <c r="K613">
        <v>8</v>
      </c>
      <c r="L613">
        <v>5</v>
      </c>
      <c r="M613">
        <v>1</v>
      </c>
      <c r="N613">
        <v>6</v>
      </c>
      <c r="P613">
        <f>G613*I613/100</f>
        <v>2146.41</v>
      </c>
      <c r="Q613">
        <f t="shared" si="9"/>
        <v>122652</v>
      </c>
      <c r="R613">
        <f>K613/J613</f>
        <v>0.47058823529411764</v>
      </c>
      <c r="S613">
        <v>2020</v>
      </c>
    </row>
    <row r="614" spans="1:19" x14ac:dyDescent="0.3">
      <c r="A614">
        <v>28</v>
      </c>
      <c r="B614">
        <v>760</v>
      </c>
      <c r="C614" t="s">
        <v>14</v>
      </c>
      <c r="D614" t="s">
        <v>15</v>
      </c>
      <c r="E614">
        <v>81</v>
      </c>
      <c r="F614" t="s">
        <v>16</v>
      </c>
      <c r="G614">
        <v>4779</v>
      </c>
      <c r="H614">
        <v>3698</v>
      </c>
      <c r="I614">
        <v>20</v>
      </c>
      <c r="J614">
        <v>8</v>
      </c>
      <c r="K614">
        <v>8</v>
      </c>
      <c r="L614">
        <v>7</v>
      </c>
      <c r="M614">
        <v>7</v>
      </c>
      <c r="N614">
        <v>5</v>
      </c>
      <c r="P614">
        <f>G614*I614/100</f>
        <v>955.8</v>
      </c>
      <c r="Q614">
        <f t="shared" si="9"/>
        <v>57348</v>
      </c>
      <c r="R614">
        <f>K614/J614</f>
        <v>1</v>
      </c>
      <c r="S614">
        <v>2020</v>
      </c>
    </row>
    <row r="615" spans="1:19" x14ac:dyDescent="0.3">
      <c r="A615">
        <v>34</v>
      </c>
      <c r="B615">
        <v>829</v>
      </c>
      <c r="C615" t="s">
        <v>26</v>
      </c>
      <c r="D615" t="s">
        <v>18</v>
      </c>
      <c r="E615">
        <v>88</v>
      </c>
      <c r="F615" t="s">
        <v>26</v>
      </c>
      <c r="G615">
        <v>3737</v>
      </c>
      <c r="H615">
        <v>2243</v>
      </c>
      <c r="I615">
        <v>19</v>
      </c>
      <c r="J615">
        <v>4</v>
      </c>
      <c r="K615">
        <v>3</v>
      </c>
      <c r="L615">
        <v>2</v>
      </c>
      <c r="M615">
        <v>0</v>
      </c>
      <c r="N615">
        <v>2</v>
      </c>
      <c r="P615">
        <f>G615*I615/100</f>
        <v>710.03</v>
      </c>
      <c r="Q615">
        <f t="shared" si="9"/>
        <v>44844</v>
      </c>
      <c r="R615">
        <f>K615/J615</f>
        <v>0.75</v>
      </c>
      <c r="S615">
        <v>2020</v>
      </c>
    </row>
    <row r="616" spans="1:19" x14ac:dyDescent="0.3">
      <c r="A616">
        <v>26</v>
      </c>
      <c r="B616">
        <v>887</v>
      </c>
      <c r="C616" t="s">
        <v>17</v>
      </c>
      <c r="D616" t="s">
        <v>15</v>
      </c>
      <c r="E616">
        <v>88</v>
      </c>
      <c r="F616" t="s">
        <v>19</v>
      </c>
      <c r="G616">
        <v>2366</v>
      </c>
      <c r="H616">
        <v>20898</v>
      </c>
      <c r="I616">
        <v>14</v>
      </c>
      <c r="J616">
        <v>8</v>
      </c>
      <c r="K616">
        <v>8</v>
      </c>
      <c r="L616">
        <v>7</v>
      </c>
      <c r="M616">
        <v>1</v>
      </c>
      <c r="N616">
        <v>7</v>
      </c>
      <c r="P616">
        <f>G616*I616/100</f>
        <v>331.24</v>
      </c>
      <c r="Q616">
        <f t="shared" si="9"/>
        <v>28392</v>
      </c>
      <c r="R616">
        <f>K616/J616</f>
        <v>1</v>
      </c>
      <c r="S616">
        <v>2020</v>
      </c>
    </row>
    <row r="617" spans="1:19" x14ac:dyDescent="0.3">
      <c r="A617">
        <v>27</v>
      </c>
      <c r="B617">
        <v>443</v>
      </c>
      <c r="C617" t="s">
        <v>17</v>
      </c>
      <c r="D617" t="s">
        <v>18</v>
      </c>
      <c r="E617">
        <v>50</v>
      </c>
      <c r="F617" t="s">
        <v>19</v>
      </c>
      <c r="G617">
        <v>1706</v>
      </c>
      <c r="H617">
        <v>16571</v>
      </c>
      <c r="I617">
        <v>11</v>
      </c>
      <c r="J617">
        <v>0</v>
      </c>
      <c r="K617">
        <v>0</v>
      </c>
      <c r="L617">
        <v>0</v>
      </c>
      <c r="M617">
        <v>0</v>
      </c>
      <c r="N617">
        <v>0</v>
      </c>
      <c r="P617">
        <f>G617*I617/100</f>
        <v>187.66</v>
      </c>
      <c r="Q617">
        <f t="shared" si="9"/>
        <v>20472</v>
      </c>
      <c r="R617" t="e">
        <f>K617/J617</f>
        <v>#DIV/0!</v>
      </c>
      <c r="S617">
        <v>2020</v>
      </c>
    </row>
    <row r="618" spans="1:19" x14ac:dyDescent="0.3">
      <c r="A618">
        <v>51</v>
      </c>
      <c r="B618">
        <v>1318</v>
      </c>
      <c r="C618" t="s">
        <v>14</v>
      </c>
      <c r="D618" t="s">
        <v>15</v>
      </c>
      <c r="E618">
        <v>66</v>
      </c>
      <c r="F618" t="s">
        <v>23</v>
      </c>
      <c r="G618">
        <v>16307</v>
      </c>
      <c r="H618">
        <v>5594</v>
      </c>
      <c r="I618">
        <v>14</v>
      </c>
      <c r="J618">
        <v>29</v>
      </c>
      <c r="K618">
        <v>20</v>
      </c>
      <c r="L618">
        <v>6</v>
      </c>
      <c r="M618">
        <v>4</v>
      </c>
      <c r="N618">
        <v>17</v>
      </c>
      <c r="P618">
        <f>G618*I618/100</f>
        <v>2282.98</v>
      </c>
      <c r="Q618">
        <f t="shared" si="9"/>
        <v>195684</v>
      </c>
      <c r="R618">
        <f>K618/J618</f>
        <v>0.68965517241379315</v>
      </c>
      <c r="S618">
        <v>2020</v>
      </c>
    </row>
    <row r="619" spans="1:19" x14ac:dyDescent="0.3">
      <c r="A619">
        <v>44</v>
      </c>
      <c r="B619">
        <v>625</v>
      </c>
      <c r="C619" t="s">
        <v>17</v>
      </c>
      <c r="D619" t="s">
        <v>18</v>
      </c>
      <c r="E619">
        <v>50</v>
      </c>
      <c r="F619" t="s">
        <v>22</v>
      </c>
      <c r="G619">
        <v>5933</v>
      </c>
      <c r="H619">
        <v>5197</v>
      </c>
      <c r="I619">
        <v>12</v>
      </c>
      <c r="J619">
        <v>10</v>
      </c>
      <c r="K619">
        <v>5</v>
      </c>
      <c r="L619">
        <v>2</v>
      </c>
      <c r="M619">
        <v>2</v>
      </c>
      <c r="N619">
        <v>3</v>
      </c>
      <c r="P619">
        <f>G619*I619/100</f>
        <v>711.96</v>
      </c>
      <c r="Q619">
        <f t="shared" si="9"/>
        <v>71196</v>
      </c>
      <c r="R619">
        <f>K619/J619</f>
        <v>0.5</v>
      </c>
      <c r="S619">
        <v>2020</v>
      </c>
    </row>
    <row r="620" spans="1:19" x14ac:dyDescent="0.3">
      <c r="A620">
        <v>25</v>
      </c>
      <c r="B620">
        <v>180</v>
      </c>
      <c r="C620" t="s">
        <v>17</v>
      </c>
      <c r="D620" t="s">
        <v>18</v>
      </c>
      <c r="E620">
        <v>65</v>
      </c>
      <c r="F620" t="s">
        <v>19</v>
      </c>
      <c r="G620">
        <v>3424</v>
      </c>
      <c r="H620">
        <v>21632</v>
      </c>
      <c r="I620">
        <v>13</v>
      </c>
      <c r="J620">
        <v>6</v>
      </c>
      <c r="K620">
        <v>4</v>
      </c>
      <c r="L620">
        <v>3</v>
      </c>
      <c r="M620">
        <v>0</v>
      </c>
      <c r="N620">
        <v>1</v>
      </c>
      <c r="P620">
        <f>G620*I620/100</f>
        <v>445.12</v>
      </c>
      <c r="Q620">
        <f t="shared" si="9"/>
        <v>41088</v>
      </c>
      <c r="R620">
        <f>K620/J620</f>
        <v>0.66666666666666663</v>
      </c>
      <c r="S620">
        <v>2020</v>
      </c>
    </row>
    <row r="621" spans="1:19" x14ac:dyDescent="0.3">
      <c r="A621">
        <v>33</v>
      </c>
      <c r="B621">
        <v>586</v>
      </c>
      <c r="C621" t="s">
        <v>14</v>
      </c>
      <c r="D621" t="s">
        <v>18</v>
      </c>
      <c r="E621">
        <v>48</v>
      </c>
      <c r="F621" t="s">
        <v>16</v>
      </c>
      <c r="G621">
        <v>4037</v>
      </c>
      <c r="H621">
        <v>21816</v>
      </c>
      <c r="I621">
        <v>22</v>
      </c>
      <c r="J621">
        <v>9</v>
      </c>
      <c r="K621">
        <v>9</v>
      </c>
      <c r="L621">
        <v>8</v>
      </c>
      <c r="M621">
        <v>0</v>
      </c>
      <c r="N621">
        <v>8</v>
      </c>
      <c r="P621">
        <f>G621*I621/100</f>
        <v>888.14</v>
      </c>
      <c r="Q621">
        <f t="shared" si="9"/>
        <v>48444</v>
      </c>
      <c r="R621">
        <f>K621/J621</f>
        <v>1</v>
      </c>
      <c r="S621">
        <v>2020</v>
      </c>
    </row>
    <row r="622" spans="1:19" x14ac:dyDescent="0.3">
      <c r="A622">
        <v>35</v>
      </c>
      <c r="B622">
        <v>1343</v>
      </c>
      <c r="C622" t="s">
        <v>17</v>
      </c>
      <c r="D622" t="s">
        <v>15</v>
      </c>
      <c r="E622">
        <v>53</v>
      </c>
      <c r="F622" t="s">
        <v>19</v>
      </c>
      <c r="G622">
        <v>2559</v>
      </c>
      <c r="H622">
        <v>17852</v>
      </c>
      <c r="I622">
        <v>11</v>
      </c>
      <c r="J622">
        <v>6</v>
      </c>
      <c r="K622">
        <v>6</v>
      </c>
      <c r="L622">
        <v>5</v>
      </c>
      <c r="M622">
        <v>1</v>
      </c>
      <c r="N622">
        <v>1</v>
      </c>
      <c r="P622">
        <f>G622*I622/100</f>
        <v>281.49</v>
      </c>
      <c r="Q622">
        <f t="shared" si="9"/>
        <v>30708</v>
      </c>
      <c r="R622">
        <f>K622/J622</f>
        <v>1</v>
      </c>
      <c r="S622">
        <v>2020</v>
      </c>
    </row>
    <row r="623" spans="1:19" x14ac:dyDescent="0.3">
      <c r="A623">
        <v>36</v>
      </c>
      <c r="B623">
        <v>928</v>
      </c>
      <c r="C623" t="s">
        <v>14</v>
      </c>
      <c r="D623" t="s">
        <v>18</v>
      </c>
      <c r="E623">
        <v>56</v>
      </c>
      <c r="F623" t="s">
        <v>16</v>
      </c>
      <c r="G623">
        <v>6201</v>
      </c>
      <c r="H623">
        <v>2823</v>
      </c>
      <c r="I623">
        <v>14</v>
      </c>
      <c r="J623">
        <v>18</v>
      </c>
      <c r="K623">
        <v>18</v>
      </c>
      <c r="L623">
        <v>14</v>
      </c>
      <c r="M623">
        <v>4</v>
      </c>
      <c r="N623">
        <v>11</v>
      </c>
      <c r="P623">
        <f>G623*I623/100</f>
        <v>868.14</v>
      </c>
      <c r="Q623">
        <f t="shared" si="9"/>
        <v>74412</v>
      </c>
      <c r="R623">
        <f>K623/J623</f>
        <v>1</v>
      </c>
      <c r="S623">
        <v>2020</v>
      </c>
    </row>
    <row r="624" spans="1:19" x14ac:dyDescent="0.3">
      <c r="A624">
        <v>32</v>
      </c>
      <c r="B624">
        <v>117</v>
      </c>
      <c r="C624" t="s">
        <v>14</v>
      </c>
      <c r="D624" t="s">
        <v>18</v>
      </c>
      <c r="E624">
        <v>73</v>
      </c>
      <c r="F624" t="s">
        <v>16</v>
      </c>
      <c r="G624">
        <v>4403</v>
      </c>
      <c r="H624">
        <v>9250</v>
      </c>
      <c r="I624">
        <v>11</v>
      </c>
      <c r="J624">
        <v>8</v>
      </c>
      <c r="K624">
        <v>5</v>
      </c>
      <c r="L624">
        <v>2</v>
      </c>
      <c r="M624">
        <v>0</v>
      </c>
      <c r="N624">
        <v>3</v>
      </c>
      <c r="P624">
        <f>G624*I624/100</f>
        <v>484.33</v>
      </c>
      <c r="Q624">
        <f t="shared" si="9"/>
        <v>52836</v>
      </c>
      <c r="R624">
        <f>K624/J624</f>
        <v>0.625</v>
      </c>
      <c r="S624">
        <v>2020</v>
      </c>
    </row>
    <row r="625" spans="1:19" x14ac:dyDescent="0.3">
      <c r="A625">
        <v>30</v>
      </c>
      <c r="B625">
        <v>1012</v>
      </c>
      <c r="C625" t="s">
        <v>17</v>
      </c>
      <c r="D625" t="s">
        <v>18</v>
      </c>
      <c r="E625">
        <v>75</v>
      </c>
      <c r="F625" t="s">
        <v>19</v>
      </c>
      <c r="G625">
        <v>3761</v>
      </c>
      <c r="H625">
        <v>2373</v>
      </c>
      <c r="I625">
        <v>12</v>
      </c>
      <c r="J625">
        <v>10</v>
      </c>
      <c r="K625">
        <v>5</v>
      </c>
      <c r="L625">
        <v>4</v>
      </c>
      <c r="M625">
        <v>0</v>
      </c>
      <c r="N625">
        <v>3</v>
      </c>
      <c r="P625">
        <f>G625*I625/100</f>
        <v>451.32</v>
      </c>
      <c r="Q625">
        <f t="shared" si="9"/>
        <v>45132</v>
      </c>
      <c r="R625">
        <f>K625/J625</f>
        <v>0.5</v>
      </c>
      <c r="S625">
        <v>2020</v>
      </c>
    </row>
    <row r="626" spans="1:19" x14ac:dyDescent="0.3">
      <c r="A626">
        <v>53</v>
      </c>
      <c r="B626">
        <v>661</v>
      </c>
      <c r="C626" t="s">
        <v>14</v>
      </c>
      <c r="D626" t="s">
        <v>15</v>
      </c>
      <c r="E626">
        <v>78</v>
      </c>
      <c r="F626" t="s">
        <v>16</v>
      </c>
      <c r="G626">
        <v>10934</v>
      </c>
      <c r="H626">
        <v>20715</v>
      </c>
      <c r="I626">
        <v>18</v>
      </c>
      <c r="J626">
        <v>35</v>
      </c>
      <c r="K626">
        <v>5</v>
      </c>
      <c r="L626">
        <v>2</v>
      </c>
      <c r="M626">
        <v>0</v>
      </c>
      <c r="N626">
        <v>4</v>
      </c>
      <c r="P626">
        <f>G626*I626/100</f>
        <v>1968.12</v>
      </c>
      <c r="Q626">
        <f t="shared" si="9"/>
        <v>131208</v>
      </c>
      <c r="R626">
        <f>K626/J626</f>
        <v>0.14285714285714285</v>
      </c>
      <c r="S626">
        <v>2020</v>
      </c>
    </row>
    <row r="627" spans="1:19" x14ac:dyDescent="0.3">
      <c r="A627">
        <v>45</v>
      </c>
      <c r="B627">
        <v>930</v>
      </c>
      <c r="C627" t="s">
        <v>14</v>
      </c>
      <c r="D627" t="s">
        <v>18</v>
      </c>
      <c r="E627">
        <v>74</v>
      </c>
      <c r="F627" t="s">
        <v>16</v>
      </c>
      <c r="G627">
        <v>10761</v>
      </c>
      <c r="H627">
        <v>19239</v>
      </c>
      <c r="I627">
        <v>12</v>
      </c>
      <c r="J627">
        <v>18</v>
      </c>
      <c r="K627">
        <v>5</v>
      </c>
      <c r="L627">
        <v>4</v>
      </c>
      <c r="M627">
        <v>0</v>
      </c>
      <c r="N627">
        <v>2</v>
      </c>
      <c r="P627">
        <f>G627*I627/100</f>
        <v>1291.32</v>
      </c>
      <c r="Q627">
        <f t="shared" si="9"/>
        <v>129132</v>
      </c>
      <c r="R627">
        <f>K627/J627</f>
        <v>0.27777777777777779</v>
      </c>
      <c r="S627">
        <v>2020</v>
      </c>
    </row>
    <row r="628" spans="1:19" x14ac:dyDescent="0.3">
      <c r="A628">
        <v>32</v>
      </c>
      <c r="B628">
        <v>638</v>
      </c>
      <c r="C628" t="s">
        <v>17</v>
      </c>
      <c r="D628" t="s">
        <v>15</v>
      </c>
      <c r="E628">
        <v>91</v>
      </c>
      <c r="F628" t="s">
        <v>19</v>
      </c>
      <c r="G628">
        <v>5175</v>
      </c>
      <c r="H628">
        <v>22162</v>
      </c>
      <c r="I628">
        <v>12</v>
      </c>
      <c r="J628">
        <v>9</v>
      </c>
      <c r="K628">
        <v>5</v>
      </c>
      <c r="L628">
        <v>3</v>
      </c>
      <c r="M628">
        <v>1</v>
      </c>
      <c r="N628">
        <v>3</v>
      </c>
      <c r="P628">
        <f>G628*I628/100</f>
        <v>621</v>
      </c>
      <c r="Q628">
        <f t="shared" si="9"/>
        <v>62100</v>
      </c>
      <c r="R628">
        <f>K628/J628</f>
        <v>0.55555555555555558</v>
      </c>
      <c r="S628">
        <v>2020</v>
      </c>
    </row>
    <row r="629" spans="1:19" x14ac:dyDescent="0.3">
      <c r="A629">
        <v>52</v>
      </c>
      <c r="B629">
        <v>890</v>
      </c>
      <c r="C629" t="s">
        <v>17</v>
      </c>
      <c r="D629" t="s">
        <v>15</v>
      </c>
      <c r="E629">
        <v>81</v>
      </c>
      <c r="F629" t="s">
        <v>21</v>
      </c>
      <c r="G629">
        <v>13826</v>
      </c>
      <c r="H629">
        <v>19028</v>
      </c>
      <c r="I629">
        <v>22</v>
      </c>
      <c r="J629">
        <v>31</v>
      </c>
      <c r="K629">
        <v>9</v>
      </c>
      <c r="L629">
        <v>8</v>
      </c>
      <c r="M629">
        <v>0</v>
      </c>
      <c r="N629">
        <v>0</v>
      </c>
      <c r="P629">
        <f>G629*I629/100</f>
        <v>3041.72</v>
      </c>
      <c r="Q629">
        <f t="shared" si="9"/>
        <v>165912</v>
      </c>
      <c r="R629">
        <f>K629/J629</f>
        <v>0.29032258064516131</v>
      </c>
      <c r="S629">
        <v>2020</v>
      </c>
    </row>
    <row r="630" spans="1:19" x14ac:dyDescent="0.3">
      <c r="A630">
        <v>37</v>
      </c>
      <c r="B630">
        <v>342</v>
      </c>
      <c r="C630" t="s">
        <v>14</v>
      </c>
      <c r="D630" t="s">
        <v>18</v>
      </c>
      <c r="E630">
        <v>66</v>
      </c>
      <c r="F630" t="s">
        <v>16</v>
      </c>
      <c r="G630">
        <v>6334</v>
      </c>
      <c r="H630">
        <v>24558</v>
      </c>
      <c r="I630">
        <v>19</v>
      </c>
      <c r="J630">
        <v>9</v>
      </c>
      <c r="K630">
        <v>1</v>
      </c>
      <c r="L630">
        <v>0</v>
      </c>
      <c r="M630">
        <v>0</v>
      </c>
      <c r="N630">
        <v>0</v>
      </c>
      <c r="P630">
        <f>G630*I630/100</f>
        <v>1203.46</v>
      </c>
      <c r="Q630">
        <f t="shared" si="9"/>
        <v>76008</v>
      </c>
      <c r="R630">
        <f>K630/J630</f>
        <v>0.1111111111111111</v>
      </c>
      <c r="S630">
        <v>2020</v>
      </c>
    </row>
    <row r="631" spans="1:19" x14ac:dyDescent="0.3">
      <c r="A631">
        <v>28</v>
      </c>
      <c r="B631">
        <v>1169</v>
      </c>
      <c r="C631" t="s">
        <v>26</v>
      </c>
      <c r="D631" t="s">
        <v>18</v>
      </c>
      <c r="E631">
        <v>63</v>
      </c>
      <c r="F631" t="s">
        <v>26</v>
      </c>
      <c r="G631">
        <v>4936</v>
      </c>
      <c r="H631">
        <v>23965</v>
      </c>
      <c r="I631">
        <v>13</v>
      </c>
      <c r="J631">
        <v>6</v>
      </c>
      <c r="K631">
        <v>5</v>
      </c>
      <c r="L631">
        <v>1</v>
      </c>
      <c r="M631">
        <v>0</v>
      </c>
      <c r="N631">
        <v>4</v>
      </c>
      <c r="P631">
        <f>G631*I631/100</f>
        <v>641.67999999999995</v>
      </c>
      <c r="Q631">
        <f t="shared" si="9"/>
        <v>59232</v>
      </c>
      <c r="R631">
        <f>K631/J631</f>
        <v>0.83333333333333337</v>
      </c>
      <c r="S631">
        <v>2020</v>
      </c>
    </row>
    <row r="632" spans="1:19" x14ac:dyDescent="0.3">
      <c r="A632">
        <v>22</v>
      </c>
      <c r="B632">
        <v>1230</v>
      </c>
      <c r="C632" t="s">
        <v>17</v>
      </c>
      <c r="D632" t="s">
        <v>18</v>
      </c>
      <c r="E632">
        <v>33</v>
      </c>
      <c r="F632" t="s">
        <v>21</v>
      </c>
      <c r="G632">
        <v>4775</v>
      </c>
      <c r="H632">
        <v>19146</v>
      </c>
      <c r="I632">
        <v>22</v>
      </c>
      <c r="J632">
        <v>4</v>
      </c>
      <c r="K632">
        <v>2</v>
      </c>
      <c r="L632">
        <v>2</v>
      </c>
      <c r="M632">
        <v>2</v>
      </c>
      <c r="N632">
        <v>2</v>
      </c>
      <c r="P632">
        <f>G632*I632/100</f>
        <v>1050.5</v>
      </c>
      <c r="Q632">
        <f t="shared" si="9"/>
        <v>57300</v>
      </c>
      <c r="R632">
        <f>K632/J632</f>
        <v>0.5</v>
      </c>
      <c r="S632">
        <v>2020</v>
      </c>
    </row>
    <row r="633" spans="1:19" x14ac:dyDescent="0.3">
      <c r="A633">
        <v>44</v>
      </c>
      <c r="B633">
        <v>986</v>
      </c>
      <c r="C633" t="s">
        <v>17</v>
      </c>
      <c r="D633" t="s">
        <v>18</v>
      </c>
      <c r="E633">
        <v>62</v>
      </c>
      <c r="F633" t="s">
        <v>20</v>
      </c>
      <c r="G633">
        <v>2818</v>
      </c>
      <c r="H633">
        <v>5044</v>
      </c>
      <c r="I633">
        <v>24</v>
      </c>
      <c r="J633">
        <v>10</v>
      </c>
      <c r="K633">
        <v>3</v>
      </c>
      <c r="L633">
        <v>2</v>
      </c>
      <c r="M633">
        <v>0</v>
      </c>
      <c r="N633">
        <v>2</v>
      </c>
      <c r="P633">
        <f>G633*I633/100</f>
        <v>676.32</v>
      </c>
      <c r="Q633">
        <f t="shared" si="9"/>
        <v>33816</v>
      </c>
      <c r="R633">
        <f>K633/J633</f>
        <v>0.3</v>
      </c>
      <c r="S633">
        <v>2020</v>
      </c>
    </row>
    <row r="634" spans="1:19" x14ac:dyDescent="0.3">
      <c r="A634">
        <v>42</v>
      </c>
      <c r="B634">
        <v>1271</v>
      </c>
      <c r="C634" t="s">
        <v>17</v>
      </c>
      <c r="D634" t="s">
        <v>18</v>
      </c>
      <c r="E634">
        <v>35</v>
      </c>
      <c r="F634" t="s">
        <v>19</v>
      </c>
      <c r="G634">
        <v>2515</v>
      </c>
      <c r="H634">
        <v>9068</v>
      </c>
      <c r="I634">
        <v>14</v>
      </c>
      <c r="J634">
        <v>8</v>
      </c>
      <c r="K634">
        <v>2</v>
      </c>
      <c r="L634">
        <v>1</v>
      </c>
      <c r="M634">
        <v>2</v>
      </c>
      <c r="N634">
        <v>2</v>
      </c>
      <c r="P634">
        <f>G634*I634/100</f>
        <v>352.1</v>
      </c>
      <c r="Q634">
        <f t="shared" si="9"/>
        <v>30180</v>
      </c>
      <c r="R634">
        <f>K634/J634</f>
        <v>0.25</v>
      </c>
      <c r="S634">
        <v>2020</v>
      </c>
    </row>
    <row r="635" spans="1:19" x14ac:dyDescent="0.3">
      <c r="A635">
        <v>36</v>
      </c>
      <c r="B635">
        <v>1278</v>
      </c>
      <c r="C635" t="s">
        <v>26</v>
      </c>
      <c r="D635" t="s">
        <v>18</v>
      </c>
      <c r="E635">
        <v>77</v>
      </c>
      <c r="F635" t="s">
        <v>26</v>
      </c>
      <c r="G635">
        <v>2342</v>
      </c>
      <c r="H635">
        <v>8635</v>
      </c>
      <c r="I635">
        <v>21</v>
      </c>
      <c r="J635">
        <v>6</v>
      </c>
      <c r="K635">
        <v>5</v>
      </c>
      <c r="L635">
        <v>4</v>
      </c>
      <c r="M635">
        <v>0</v>
      </c>
      <c r="N635">
        <v>3</v>
      </c>
      <c r="P635">
        <f>G635*I635/100</f>
        <v>491.82</v>
      </c>
      <c r="Q635">
        <f t="shared" si="9"/>
        <v>28104</v>
      </c>
      <c r="R635">
        <f>K635/J635</f>
        <v>0.83333333333333337</v>
      </c>
      <c r="S635">
        <v>2020</v>
      </c>
    </row>
    <row r="636" spans="1:19" x14ac:dyDescent="0.3">
      <c r="A636">
        <v>25</v>
      </c>
      <c r="B636">
        <v>141</v>
      </c>
      <c r="C636" t="s">
        <v>14</v>
      </c>
      <c r="D636" t="s">
        <v>18</v>
      </c>
      <c r="E636">
        <v>98</v>
      </c>
      <c r="F636" t="s">
        <v>16</v>
      </c>
      <c r="G636">
        <v>4194</v>
      </c>
      <c r="H636">
        <v>14363</v>
      </c>
      <c r="I636">
        <v>18</v>
      </c>
      <c r="J636">
        <v>5</v>
      </c>
      <c r="K636">
        <v>5</v>
      </c>
      <c r="L636">
        <v>3</v>
      </c>
      <c r="M636">
        <v>0</v>
      </c>
      <c r="N636">
        <v>3</v>
      </c>
      <c r="P636">
        <f>G636*I636/100</f>
        <v>754.92</v>
      </c>
      <c r="Q636">
        <f t="shared" si="9"/>
        <v>50328</v>
      </c>
      <c r="R636">
        <f>K636/J636</f>
        <v>1</v>
      </c>
      <c r="S636">
        <v>2020</v>
      </c>
    </row>
    <row r="637" spans="1:19" x14ac:dyDescent="0.3">
      <c r="A637">
        <v>35</v>
      </c>
      <c r="B637">
        <v>607</v>
      </c>
      <c r="C637" t="s">
        <v>17</v>
      </c>
      <c r="D637" t="s">
        <v>15</v>
      </c>
      <c r="E637">
        <v>66</v>
      </c>
      <c r="F637" t="s">
        <v>21</v>
      </c>
      <c r="G637">
        <v>10685</v>
      </c>
      <c r="H637">
        <v>23457</v>
      </c>
      <c r="I637">
        <v>20</v>
      </c>
      <c r="J637">
        <v>17</v>
      </c>
      <c r="K637">
        <v>17</v>
      </c>
      <c r="L637">
        <v>14</v>
      </c>
      <c r="M637">
        <v>5</v>
      </c>
      <c r="N637">
        <v>15</v>
      </c>
      <c r="P637">
        <f>G637*I637/100</f>
        <v>2137</v>
      </c>
      <c r="Q637">
        <f t="shared" si="9"/>
        <v>128220</v>
      </c>
      <c r="R637">
        <f>K637/J637</f>
        <v>1</v>
      </c>
      <c r="S637">
        <v>2020</v>
      </c>
    </row>
    <row r="638" spans="1:19" x14ac:dyDescent="0.3">
      <c r="A638">
        <v>35</v>
      </c>
      <c r="B638">
        <v>130</v>
      </c>
      <c r="C638" t="s">
        <v>17</v>
      </c>
      <c r="D638" t="s">
        <v>15</v>
      </c>
      <c r="E638">
        <v>96</v>
      </c>
      <c r="F638" t="s">
        <v>19</v>
      </c>
      <c r="G638">
        <v>2022</v>
      </c>
      <c r="H638">
        <v>16612</v>
      </c>
      <c r="I638">
        <v>19</v>
      </c>
      <c r="J638">
        <v>10</v>
      </c>
      <c r="K638">
        <v>10</v>
      </c>
      <c r="L638">
        <v>2</v>
      </c>
      <c r="M638">
        <v>7</v>
      </c>
      <c r="N638">
        <v>8</v>
      </c>
      <c r="P638">
        <f>G638*I638/100</f>
        <v>384.18</v>
      </c>
      <c r="Q638">
        <f t="shared" si="9"/>
        <v>24264</v>
      </c>
      <c r="R638">
        <f>K638/J638</f>
        <v>1</v>
      </c>
      <c r="S638">
        <v>2020</v>
      </c>
    </row>
    <row r="639" spans="1:19" x14ac:dyDescent="0.3">
      <c r="A639">
        <v>32</v>
      </c>
      <c r="B639">
        <v>300</v>
      </c>
      <c r="C639" t="s">
        <v>17</v>
      </c>
      <c r="D639" t="s">
        <v>18</v>
      </c>
      <c r="E639">
        <v>61</v>
      </c>
      <c r="F639" t="s">
        <v>20</v>
      </c>
      <c r="G639">
        <v>2314</v>
      </c>
      <c r="H639">
        <v>9148</v>
      </c>
      <c r="I639">
        <v>12</v>
      </c>
      <c r="J639">
        <v>4</v>
      </c>
      <c r="K639">
        <v>3</v>
      </c>
      <c r="L639">
        <v>0</v>
      </c>
      <c r="M639">
        <v>0</v>
      </c>
      <c r="N639">
        <v>2</v>
      </c>
      <c r="P639">
        <f>G639*I639/100</f>
        <v>277.68</v>
      </c>
      <c r="Q639">
        <f t="shared" si="9"/>
        <v>27768</v>
      </c>
      <c r="R639">
        <f>K639/J639</f>
        <v>0.75</v>
      </c>
      <c r="S639">
        <v>2020</v>
      </c>
    </row>
    <row r="640" spans="1:19" x14ac:dyDescent="0.3">
      <c r="A640">
        <v>25</v>
      </c>
      <c r="B640">
        <v>583</v>
      </c>
      <c r="C640" t="s">
        <v>14</v>
      </c>
      <c r="D640" t="s">
        <v>18</v>
      </c>
      <c r="E640">
        <v>87</v>
      </c>
      <c r="F640" t="s">
        <v>16</v>
      </c>
      <c r="G640">
        <v>4256</v>
      </c>
      <c r="H640">
        <v>18154</v>
      </c>
      <c r="I640">
        <v>12</v>
      </c>
      <c r="J640">
        <v>5</v>
      </c>
      <c r="K640">
        <v>5</v>
      </c>
      <c r="L640">
        <v>2</v>
      </c>
      <c r="M640">
        <v>0</v>
      </c>
      <c r="N640">
        <v>3</v>
      </c>
      <c r="P640">
        <f>G640*I640/100</f>
        <v>510.72</v>
      </c>
      <c r="Q640">
        <f t="shared" si="9"/>
        <v>51072</v>
      </c>
      <c r="R640">
        <f>K640/J640</f>
        <v>1</v>
      </c>
      <c r="S640">
        <v>2020</v>
      </c>
    </row>
    <row r="641" spans="1:19" x14ac:dyDescent="0.3">
      <c r="A641">
        <v>49</v>
      </c>
      <c r="B641">
        <v>1418</v>
      </c>
      <c r="C641" t="s">
        <v>17</v>
      </c>
      <c r="D641" t="s">
        <v>15</v>
      </c>
      <c r="E641">
        <v>36</v>
      </c>
      <c r="F641" t="s">
        <v>19</v>
      </c>
      <c r="G641">
        <v>3580</v>
      </c>
      <c r="H641">
        <v>10554</v>
      </c>
      <c r="I641">
        <v>16</v>
      </c>
      <c r="J641">
        <v>7</v>
      </c>
      <c r="K641">
        <v>4</v>
      </c>
      <c r="L641">
        <v>2</v>
      </c>
      <c r="M641">
        <v>0</v>
      </c>
      <c r="N641">
        <v>2</v>
      </c>
      <c r="P641">
        <f>G641*I641/100</f>
        <v>572.79999999999995</v>
      </c>
      <c r="Q641">
        <f t="shared" si="9"/>
        <v>42960</v>
      </c>
      <c r="R641">
        <f>K641/J641</f>
        <v>0.5714285714285714</v>
      </c>
      <c r="S641">
        <v>2020</v>
      </c>
    </row>
    <row r="642" spans="1:19" x14ac:dyDescent="0.3">
      <c r="A642">
        <v>24</v>
      </c>
      <c r="B642">
        <v>1269</v>
      </c>
      <c r="C642" t="s">
        <v>17</v>
      </c>
      <c r="D642" t="s">
        <v>18</v>
      </c>
      <c r="E642">
        <v>46</v>
      </c>
      <c r="F642" t="s">
        <v>20</v>
      </c>
      <c r="G642">
        <v>3162</v>
      </c>
      <c r="H642">
        <v>10778</v>
      </c>
      <c r="I642">
        <v>17</v>
      </c>
      <c r="J642">
        <v>6</v>
      </c>
      <c r="K642">
        <v>5</v>
      </c>
      <c r="L642">
        <v>2</v>
      </c>
      <c r="M642">
        <v>3</v>
      </c>
      <c r="N642">
        <v>4</v>
      </c>
      <c r="P642">
        <f>G642*I642/100</f>
        <v>537.54</v>
      </c>
      <c r="Q642">
        <f t="shared" si="9"/>
        <v>37944</v>
      </c>
      <c r="R642">
        <f>K642/J642</f>
        <v>0.83333333333333337</v>
      </c>
      <c r="S642">
        <v>2020</v>
      </c>
    </row>
    <row r="643" spans="1:19" x14ac:dyDescent="0.3">
      <c r="A643">
        <v>32</v>
      </c>
      <c r="B643">
        <v>379</v>
      </c>
      <c r="C643" t="s">
        <v>14</v>
      </c>
      <c r="D643" t="s">
        <v>18</v>
      </c>
      <c r="E643">
        <v>48</v>
      </c>
      <c r="F643" t="s">
        <v>16</v>
      </c>
      <c r="G643">
        <v>6524</v>
      </c>
      <c r="H643">
        <v>8891</v>
      </c>
      <c r="I643">
        <v>14</v>
      </c>
      <c r="J643">
        <v>10</v>
      </c>
      <c r="K643">
        <v>10</v>
      </c>
      <c r="L643">
        <v>8</v>
      </c>
      <c r="M643">
        <v>5</v>
      </c>
      <c r="N643">
        <v>3</v>
      </c>
      <c r="P643">
        <f>G643*I643/100</f>
        <v>913.36</v>
      </c>
      <c r="Q643">
        <f t="shared" ref="Q643:Q706" si="10">G643*12</f>
        <v>78288</v>
      </c>
      <c r="R643">
        <f>K643/J643</f>
        <v>1</v>
      </c>
      <c r="S643">
        <v>2020</v>
      </c>
    </row>
    <row r="644" spans="1:19" x14ac:dyDescent="0.3">
      <c r="A644">
        <v>38</v>
      </c>
      <c r="B644">
        <v>395</v>
      </c>
      <c r="C644" t="s">
        <v>14</v>
      </c>
      <c r="D644" t="s">
        <v>18</v>
      </c>
      <c r="E644">
        <v>98</v>
      </c>
      <c r="F644" t="s">
        <v>24</v>
      </c>
      <c r="G644">
        <v>2899</v>
      </c>
      <c r="H644">
        <v>12102</v>
      </c>
      <c r="I644">
        <v>19</v>
      </c>
      <c r="J644">
        <v>3</v>
      </c>
      <c r="K644">
        <v>2</v>
      </c>
      <c r="L644">
        <v>2</v>
      </c>
      <c r="M644">
        <v>1</v>
      </c>
      <c r="N644">
        <v>2</v>
      </c>
      <c r="P644">
        <f>G644*I644/100</f>
        <v>550.80999999999995</v>
      </c>
      <c r="Q644">
        <f t="shared" si="10"/>
        <v>34788</v>
      </c>
      <c r="R644">
        <f>K644/J644</f>
        <v>0.66666666666666663</v>
      </c>
      <c r="S644">
        <v>2020</v>
      </c>
    </row>
    <row r="645" spans="1:19" x14ac:dyDescent="0.3">
      <c r="A645">
        <v>42</v>
      </c>
      <c r="B645">
        <v>1265</v>
      </c>
      <c r="C645" t="s">
        <v>17</v>
      </c>
      <c r="D645" t="s">
        <v>15</v>
      </c>
      <c r="E645">
        <v>95</v>
      </c>
      <c r="F645" t="s">
        <v>20</v>
      </c>
      <c r="G645">
        <v>5231</v>
      </c>
      <c r="H645">
        <v>23726</v>
      </c>
      <c r="I645">
        <v>13</v>
      </c>
      <c r="J645">
        <v>17</v>
      </c>
      <c r="K645">
        <v>5</v>
      </c>
      <c r="L645">
        <v>3</v>
      </c>
      <c r="M645">
        <v>1</v>
      </c>
      <c r="N645">
        <v>3</v>
      </c>
      <c r="P645">
        <f>G645*I645/100</f>
        <v>680.03</v>
      </c>
      <c r="Q645">
        <f t="shared" si="10"/>
        <v>62772</v>
      </c>
      <c r="R645">
        <f>K645/J645</f>
        <v>0.29411764705882354</v>
      </c>
      <c r="S645">
        <v>2020</v>
      </c>
    </row>
    <row r="646" spans="1:19" x14ac:dyDescent="0.3">
      <c r="A646">
        <v>31</v>
      </c>
      <c r="B646">
        <v>1222</v>
      </c>
      <c r="C646" t="s">
        <v>17</v>
      </c>
      <c r="D646" t="s">
        <v>18</v>
      </c>
      <c r="E646">
        <v>48</v>
      </c>
      <c r="F646" t="s">
        <v>19</v>
      </c>
      <c r="G646">
        <v>2356</v>
      </c>
      <c r="H646">
        <v>14871</v>
      </c>
      <c r="I646">
        <v>19</v>
      </c>
      <c r="J646">
        <v>8</v>
      </c>
      <c r="K646">
        <v>6</v>
      </c>
      <c r="L646">
        <v>4</v>
      </c>
      <c r="M646">
        <v>0</v>
      </c>
      <c r="N646">
        <v>2</v>
      </c>
      <c r="P646">
        <f>G646*I646/100</f>
        <v>447.64</v>
      </c>
      <c r="Q646">
        <f t="shared" si="10"/>
        <v>28272</v>
      </c>
      <c r="R646">
        <f>K646/J646</f>
        <v>0.75</v>
      </c>
      <c r="S646">
        <v>2020</v>
      </c>
    </row>
    <row r="647" spans="1:19" x14ac:dyDescent="0.3">
      <c r="A647">
        <v>29</v>
      </c>
      <c r="B647">
        <v>341</v>
      </c>
      <c r="C647" t="s">
        <v>14</v>
      </c>
      <c r="D647" t="s">
        <v>15</v>
      </c>
      <c r="E647">
        <v>48</v>
      </c>
      <c r="F647" t="s">
        <v>24</v>
      </c>
      <c r="G647">
        <v>2800</v>
      </c>
      <c r="H647">
        <v>23522</v>
      </c>
      <c r="I647">
        <v>19</v>
      </c>
      <c r="J647">
        <v>5</v>
      </c>
      <c r="K647">
        <v>3</v>
      </c>
      <c r="L647">
        <v>2</v>
      </c>
      <c r="M647">
        <v>0</v>
      </c>
      <c r="N647">
        <v>2</v>
      </c>
      <c r="P647">
        <f>G647*I647/100</f>
        <v>532</v>
      </c>
      <c r="Q647">
        <f t="shared" si="10"/>
        <v>33600</v>
      </c>
      <c r="R647">
        <f>K647/J647</f>
        <v>0.6</v>
      </c>
      <c r="S647">
        <v>2020</v>
      </c>
    </row>
    <row r="648" spans="1:19" x14ac:dyDescent="0.3">
      <c r="A648">
        <v>53</v>
      </c>
      <c r="B648">
        <v>868</v>
      </c>
      <c r="C648" t="s">
        <v>14</v>
      </c>
      <c r="D648" t="s">
        <v>18</v>
      </c>
      <c r="E648">
        <v>73</v>
      </c>
      <c r="F648" t="s">
        <v>16</v>
      </c>
      <c r="G648">
        <v>11836</v>
      </c>
      <c r="H648">
        <v>22789</v>
      </c>
      <c r="I648">
        <v>14</v>
      </c>
      <c r="J648">
        <v>28</v>
      </c>
      <c r="K648">
        <v>2</v>
      </c>
      <c r="L648">
        <v>0</v>
      </c>
      <c r="M648">
        <v>2</v>
      </c>
      <c r="N648">
        <v>2</v>
      </c>
      <c r="P648">
        <f>G648*I648/100</f>
        <v>1657.04</v>
      </c>
      <c r="Q648">
        <f t="shared" si="10"/>
        <v>142032</v>
      </c>
      <c r="R648">
        <f>K648/J648</f>
        <v>7.1428571428571425E-2</v>
      </c>
      <c r="S648">
        <v>2020</v>
      </c>
    </row>
    <row r="649" spans="1:19" x14ac:dyDescent="0.3">
      <c r="A649">
        <v>35</v>
      </c>
      <c r="B649">
        <v>672</v>
      </c>
      <c r="C649" t="s">
        <v>17</v>
      </c>
      <c r="D649" t="s">
        <v>18</v>
      </c>
      <c r="E649">
        <v>78</v>
      </c>
      <c r="F649" t="s">
        <v>21</v>
      </c>
      <c r="G649">
        <v>10903</v>
      </c>
      <c r="H649">
        <v>9129</v>
      </c>
      <c r="I649">
        <v>16</v>
      </c>
      <c r="J649">
        <v>16</v>
      </c>
      <c r="K649">
        <v>13</v>
      </c>
      <c r="L649">
        <v>10</v>
      </c>
      <c r="M649">
        <v>4</v>
      </c>
      <c r="N649">
        <v>8</v>
      </c>
      <c r="P649">
        <f>G649*I649/100</f>
        <v>1744.48</v>
      </c>
      <c r="Q649">
        <f t="shared" si="10"/>
        <v>130836</v>
      </c>
      <c r="R649">
        <f>K649/J649</f>
        <v>0.8125</v>
      </c>
      <c r="S649">
        <v>2020</v>
      </c>
    </row>
    <row r="650" spans="1:19" x14ac:dyDescent="0.3">
      <c r="A650">
        <v>37</v>
      </c>
      <c r="B650">
        <v>1231</v>
      </c>
      <c r="C650" t="s">
        <v>14</v>
      </c>
      <c r="D650" t="s">
        <v>15</v>
      </c>
      <c r="E650">
        <v>54</v>
      </c>
      <c r="F650" t="s">
        <v>24</v>
      </c>
      <c r="G650">
        <v>2973</v>
      </c>
      <c r="H650">
        <v>21222</v>
      </c>
      <c r="I650">
        <v>15</v>
      </c>
      <c r="J650">
        <v>10</v>
      </c>
      <c r="K650">
        <v>5</v>
      </c>
      <c r="L650">
        <v>4</v>
      </c>
      <c r="M650">
        <v>0</v>
      </c>
      <c r="N650">
        <v>0</v>
      </c>
      <c r="P650">
        <f>G650*I650/100</f>
        <v>445.95</v>
      </c>
      <c r="Q650">
        <f t="shared" si="10"/>
        <v>35676</v>
      </c>
      <c r="R650">
        <f>K650/J650</f>
        <v>0.5</v>
      </c>
      <c r="S650">
        <v>2020</v>
      </c>
    </row>
    <row r="651" spans="1:19" x14ac:dyDescent="0.3">
      <c r="A651">
        <v>53</v>
      </c>
      <c r="B651">
        <v>102</v>
      </c>
      <c r="C651" t="s">
        <v>17</v>
      </c>
      <c r="D651" t="s">
        <v>15</v>
      </c>
      <c r="E651">
        <v>72</v>
      </c>
      <c r="F651" t="s">
        <v>25</v>
      </c>
      <c r="G651">
        <v>14275</v>
      </c>
      <c r="H651">
        <v>20206</v>
      </c>
      <c r="I651">
        <v>18</v>
      </c>
      <c r="J651">
        <v>33</v>
      </c>
      <c r="K651">
        <v>12</v>
      </c>
      <c r="L651">
        <v>9</v>
      </c>
      <c r="M651">
        <v>3</v>
      </c>
      <c r="N651">
        <v>8</v>
      </c>
      <c r="P651">
        <f>G651*I651/100</f>
        <v>2569.5</v>
      </c>
      <c r="Q651">
        <f t="shared" si="10"/>
        <v>171300</v>
      </c>
      <c r="R651">
        <f>K651/J651</f>
        <v>0.36363636363636365</v>
      </c>
      <c r="S651">
        <v>2020</v>
      </c>
    </row>
    <row r="652" spans="1:19" x14ac:dyDescent="0.3">
      <c r="A652">
        <v>43</v>
      </c>
      <c r="B652">
        <v>422</v>
      </c>
      <c r="C652" t="s">
        <v>17</v>
      </c>
      <c r="D652" t="s">
        <v>15</v>
      </c>
      <c r="E652">
        <v>33</v>
      </c>
      <c r="F652" t="s">
        <v>22</v>
      </c>
      <c r="G652">
        <v>5562</v>
      </c>
      <c r="H652">
        <v>21782</v>
      </c>
      <c r="I652">
        <v>13</v>
      </c>
      <c r="J652">
        <v>12</v>
      </c>
      <c r="K652">
        <v>5</v>
      </c>
      <c r="L652">
        <v>2</v>
      </c>
      <c r="M652">
        <v>2</v>
      </c>
      <c r="N652">
        <v>2</v>
      </c>
      <c r="P652">
        <f>G652*I652/100</f>
        <v>723.06</v>
      </c>
      <c r="Q652">
        <f t="shared" si="10"/>
        <v>66744</v>
      </c>
      <c r="R652">
        <f>K652/J652</f>
        <v>0.41666666666666669</v>
      </c>
      <c r="S652">
        <v>2020</v>
      </c>
    </row>
    <row r="653" spans="1:19" x14ac:dyDescent="0.3">
      <c r="A653">
        <v>47</v>
      </c>
      <c r="B653">
        <v>249</v>
      </c>
      <c r="C653" t="s">
        <v>14</v>
      </c>
      <c r="D653" t="s">
        <v>15</v>
      </c>
      <c r="E653">
        <v>35</v>
      </c>
      <c r="F653" t="s">
        <v>16</v>
      </c>
      <c r="G653">
        <v>4537</v>
      </c>
      <c r="H653">
        <v>17783</v>
      </c>
      <c r="I653">
        <v>22</v>
      </c>
      <c r="J653">
        <v>8</v>
      </c>
      <c r="K653">
        <v>7</v>
      </c>
      <c r="L653">
        <v>6</v>
      </c>
      <c r="M653">
        <v>7</v>
      </c>
      <c r="N653">
        <v>7</v>
      </c>
      <c r="P653">
        <f>G653*I653/100</f>
        <v>998.14</v>
      </c>
      <c r="Q653">
        <f t="shared" si="10"/>
        <v>54444</v>
      </c>
      <c r="R653">
        <f>K653/J653</f>
        <v>0.875</v>
      </c>
      <c r="S653">
        <v>2020</v>
      </c>
    </row>
    <row r="654" spans="1:19" x14ac:dyDescent="0.3">
      <c r="A654">
        <v>37</v>
      </c>
      <c r="B654">
        <v>1252</v>
      </c>
      <c r="C654" t="s">
        <v>14</v>
      </c>
      <c r="D654" t="s">
        <v>18</v>
      </c>
      <c r="E654">
        <v>32</v>
      </c>
      <c r="F654" t="s">
        <v>16</v>
      </c>
      <c r="G654">
        <v>7642</v>
      </c>
      <c r="H654">
        <v>4814</v>
      </c>
      <c r="I654">
        <v>13</v>
      </c>
      <c r="J654">
        <v>10</v>
      </c>
      <c r="K654">
        <v>10</v>
      </c>
      <c r="L654">
        <v>0</v>
      </c>
      <c r="M654">
        <v>0</v>
      </c>
      <c r="N654">
        <v>9</v>
      </c>
      <c r="P654">
        <f>G654*I654/100</f>
        <v>993.46</v>
      </c>
      <c r="Q654">
        <f t="shared" si="10"/>
        <v>91704</v>
      </c>
      <c r="R654">
        <f>K654/J654</f>
        <v>1</v>
      </c>
      <c r="S654">
        <v>2020</v>
      </c>
    </row>
    <row r="655" spans="1:19" x14ac:dyDescent="0.3">
      <c r="A655">
        <v>50</v>
      </c>
      <c r="B655">
        <v>881</v>
      </c>
      <c r="C655" t="s">
        <v>17</v>
      </c>
      <c r="D655" t="s">
        <v>18</v>
      </c>
      <c r="E655">
        <v>98</v>
      </c>
      <c r="F655" t="s">
        <v>23</v>
      </c>
      <c r="G655">
        <v>17924</v>
      </c>
      <c r="H655">
        <v>4544</v>
      </c>
      <c r="I655">
        <v>11</v>
      </c>
      <c r="J655">
        <v>31</v>
      </c>
      <c r="K655">
        <v>31</v>
      </c>
      <c r="L655">
        <v>6</v>
      </c>
      <c r="M655">
        <v>14</v>
      </c>
      <c r="N655">
        <v>7</v>
      </c>
      <c r="P655">
        <f>G655*I655/100</f>
        <v>1971.64</v>
      </c>
      <c r="Q655">
        <f t="shared" si="10"/>
        <v>215088</v>
      </c>
      <c r="R655">
        <f>K655/J655</f>
        <v>1</v>
      </c>
      <c r="S655">
        <v>2020</v>
      </c>
    </row>
    <row r="656" spans="1:19" x14ac:dyDescent="0.3">
      <c r="A656">
        <v>39</v>
      </c>
      <c r="B656">
        <v>1383</v>
      </c>
      <c r="C656" t="s">
        <v>26</v>
      </c>
      <c r="D656" t="s">
        <v>15</v>
      </c>
      <c r="E656">
        <v>42</v>
      </c>
      <c r="F656" t="s">
        <v>26</v>
      </c>
      <c r="G656">
        <v>5204</v>
      </c>
      <c r="H656">
        <v>7790</v>
      </c>
      <c r="I656">
        <v>11</v>
      </c>
      <c r="J656">
        <v>13</v>
      </c>
      <c r="K656">
        <v>5</v>
      </c>
      <c r="L656">
        <v>4</v>
      </c>
      <c r="M656">
        <v>0</v>
      </c>
      <c r="N656">
        <v>4</v>
      </c>
      <c r="P656">
        <f>G656*I656/100</f>
        <v>572.44000000000005</v>
      </c>
      <c r="Q656">
        <f t="shared" si="10"/>
        <v>62448</v>
      </c>
      <c r="R656">
        <f>K656/J656</f>
        <v>0.38461538461538464</v>
      </c>
      <c r="S656">
        <v>2020</v>
      </c>
    </row>
    <row r="657" spans="1:19" x14ac:dyDescent="0.3">
      <c r="A657">
        <v>33</v>
      </c>
      <c r="B657">
        <v>1075</v>
      </c>
      <c r="C657" t="s">
        <v>26</v>
      </c>
      <c r="D657" t="s">
        <v>18</v>
      </c>
      <c r="E657">
        <v>57</v>
      </c>
      <c r="F657" t="s">
        <v>26</v>
      </c>
      <c r="G657">
        <v>2277</v>
      </c>
      <c r="H657">
        <v>22650</v>
      </c>
      <c r="I657">
        <v>11</v>
      </c>
      <c r="J657">
        <v>7</v>
      </c>
      <c r="K657">
        <v>4</v>
      </c>
      <c r="L657">
        <v>3</v>
      </c>
      <c r="M657">
        <v>0</v>
      </c>
      <c r="N657">
        <v>3</v>
      </c>
      <c r="P657">
        <f>G657*I657/100</f>
        <v>250.47</v>
      </c>
      <c r="Q657">
        <f t="shared" si="10"/>
        <v>27324</v>
      </c>
      <c r="R657">
        <f>K657/J657</f>
        <v>0.5714285714285714</v>
      </c>
      <c r="S657">
        <v>2020</v>
      </c>
    </row>
    <row r="658" spans="1:19" x14ac:dyDescent="0.3">
      <c r="A658">
        <v>32</v>
      </c>
      <c r="B658">
        <v>374</v>
      </c>
      <c r="C658" t="s">
        <v>17</v>
      </c>
      <c r="D658" t="s">
        <v>18</v>
      </c>
      <c r="E658">
        <v>87</v>
      </c>
      <c r="F658" t="s">
        <v>20</v>
      </c>
      <c r="G658">
        <v>2795</v>
      </c>
      <c r="H658">
        <v>18016</v>
      </c>
      <c r="I658">
        <v>24</v>
      </c>
      <c r="J658">
        <v>1</v>
      </c>
      <c r="K658">
        <v>1</v>
      </c>
      <c r="L658">
        <v>0</v>
      </c>
      <c r="M658">
        <v>0</v>
      </c>
      <c r="N658">
        <v>1</v>
      </c>
      <c r="P658">
        <f>G658*I658/100</f>
        <v>670.8</v>
      </c>
      <c r="Q658">
        <f t="shared" si="10"/>
        <v>33540</v>
      </c>
      <c r="R658">
        <f>K658/J658</f>
        <v>1</v>
      </c>
      <c r="S658">
        <v>2020</v>
      </c>
    </row>
    <row r="659" spans="1:19" x14ac:dyDescent="0.3">
      <c r="A659">
        <v>29</v>
      </c>
      <c r="B659">
        <v>1086</v>
      </c>
      <c r="C659" t="s">
        <v>17</v>
      </c>
      <c r="D659" t="s">
        <v>15</v>
      </c>
      <c r="E659">
        <v>62</v>
      </c>
      <c r="F659" t="s">
        <v>20</v>
      </c>
      <c r="G659">
        <v>2532</v>
      </c>
      <c r="H659">
        <v>6054</v>
      </c>
      <c r="I659">
        <v>14</v>
      </c>
      <c r="J659">
        <v>8</v>
      </c>
      <c r="K659">
        <v>4</v>
      </c>
      <c r="L659">
        <v>3</v>
      </c>
      <c r="M659">
        <v>0</v>
      </c>
      <c r="N659">
        <v>3</v>
      </c>
      <c r="P659">
        <f>G659*I659/100</f>
        <v>354.48</v>
      </c>
      <c r="Q659">
        <f t="shared" si="10"/>
        <v>30384</v>
      </c>
      <c r="R659">
        <f>K659/J659</f>
        <v>0.5</v>
      </c>
      <c r="S659">
        <v>2020</v>
      </c>
    </row>
    <row r="660" spans="1:19" x14ac:dyDescent="0.3">
      <c r="A660">
        <v>44</v>
      </c>
      <c r="B660">
        <v>661</v>
      </c>
      <c r="C660" t="s">
        <v>17</v>
      </c>
      <c r="D660" t="s">
        <v>18</v>
      </c>
      <c r="E660">
        <v>61</v>
      </c>
      <c r="F660" t="s">
        <v>19</v>
      </c>
      <c r="G660">
        <v>2559</v>
      </c>
      <c r="H660">
        <v>7508</v>
      </c>
      <c r="I660">
        <v>13</v>
      </c>
      <c r="J660">
        <v>8</v>
      </c>
      <c r="K660">
        <v>8</v>
      </c>
      <c r="L660">
        <v>7</v>
      </c>
      <c r="M660">
        <v>7</v>
      </c>
      <c r="N660">
        <v>1</v>
      </c>
      <c r="P660">
        <f>G660*I660/100</f>
        <v>332.67</v>
      </c>
      <c r="Q660">
        <f t="shared" si="10"/>
        <v>30708</v>
      </c>
      <c r="R660">
        <f>K660/J660</f>
        <v>1</v>
      </c>
      <c r="S660">
        <v>2020</v>
      </c>
    </row>
    <row r="661" spans="1:19" x14ac:dyDescent="0.3">
      <c r="A661">
        <v>28</v>
      </c>
      <c r="B661">
        <v>821</v>
      </c>
      <c r="C661" t="s">
        <v>14</v>
      </c>
      <c r="D661" t="s">
        <v>18</v>
      </c>
      <c r="E661">
        <v>98</v>
      </c>
      <c r="F661" t="s">
        <v>16</v>
      </c>
      <c r="G661">
        <v>4908</v>
      </c>
      <c r="H661">
        <v>24252</v>
      </c>
      <c r="I661">
        <v>14</v>
      </c>
      <c r="J661">
        <v>4</v>
      </c>
      <c r="K661">
        <v>4</v>
      </c>
      <c r="L661">
        <v>2</v>
      </c>
      <c r="M661">
        <v>0</v>
      </c>
      <c r="N661">
        <v>2</v>
      </c>
      <c r="P661">
        <f>G661*I661/100</f>
        <v>687.12</v>
      </c>
      <c r="Q661">
        <f t="shared" si="10"/>
        <v>58896</v>
      </c>
      <c r="R661">
        <f>K661/J661</f>
        <v>1</v>
      </c>
      <c r="S661">
        <v>2020</v>
      </c>
    </row>
    <row r="662" spans="1:19" x14ac:dyDescent="0.3">
      <c r="A662">
        <v>58</v>
      </c>
      <c r="B662">
        <v>781</v>
      </c>
      <c r="C662" t="s">
        <v>17</v>
      </c>
      <c r="D662" t="s">
        <v>18</v>
      </c>
      <c r="E662">
        <v>57</v>
      </c>
      <c r="F662" t="s">
        <v>20</v>
      </c>
      <c r="G662">
        <v>2380</v>
      </c>
      <c r="H662">
        <v>13384</v>
      </c>
      <c r="I662">
        <v>14</v>
      </c>
      <c r="J662">
        <v>3</v>
      </c>
      <c r="K662">
        <v>1</v>
      </c>
      <c r="L662">
        <v>0</v>
      </c>
      <c r="M662">
        <v>0</v>
      </c>
      <c r="N662">
        <v>0</v>
      </c>
      <c r="P662">
        <f>G662*I662/100</f>
        <v>333.2</v>
      </c>
      <c r="Q662">
        <f t="shared" si="10"/>
        <v>28560</v>
      </c>
      <c r="R662">
        <f>K662/J662</f>
        <v>0.33333333333333331</v>
      </c>
      <c r="S662">
        <v>2020</v>
      </c>
    </row>
    <row r="663" spans="1:19" x14ac:dyDescent="0.3">
      <c r="A663">
        <v>43</v>
      </c>
      <c r="B663">
        <v>177</v>
      </c>
      <c r="C663" t="s">
        <v>17</v>
      </c>
      <c r="D663" t="s">
        <v>15</v>
      </c>
      <c r="E663">
        <v>55</v>
      </c>
      <c r="F663" t="s">
        <v>21</v>
      </c>
      <c r="G663">
        <v>4765</v>
      </c>
      <c r="H663">
        <v>23814</v>
      </c>
      <c r="I663">
        <v>21</v>
      </c>
      <c r="J663">
        <v>4</v>
      </c>
      <c r="K663">
        <v>1</v>
      </c>
      <c r="L663">
        <v>0</v>
      </c>
      <c r="M663">
        <v>0</v>
      </c>
      <c r="N663">
        <v>0</v>
      </c>
      <c r="P663">
        <f>G663*I663/100</f>
        <v>1000.65</v>
      </c>
      <c r="Q663">
        <f t="shared" si="10"/>
        <v>57180</v>
      </c>
      <c r="R663">
        <f>K663/J663</f>
        <v>0.25</v>
      </c>
      <c r="S663">
        <v>2020</v>
      </c>
    </row>
    <row r="664" spans="1:19" x14ac:dyDescent="0.3">
      <c r="A664">
        <v>20</v>
      </c>
      <c r="B664">
        <v>500</v>
      </c>
      <c r="C664" t="s">
        <v>14</v>
      </c>
      <c r="D664" t="s">
        <v>15</v>
      </c>
      <c r="E664">
        <v>49</v>
      </c>
      <c r="F664" t="s">
        <v>24</v>
      </c>
      <c r="G664">
        <v>2044</v>
      </c>
      <c r="H664">
        <v>22052</v>
      </c>
      <c r="I664">
        <v>13</v>
      </c>
      <c r="J664">
        <v>2</v>
      </c>
      <c r="K664">
        <v>2</v>
      </c>
      <c r="L664">
        <v>2</v>
      </c>
      <c r="M664">
        <v>0</v>
      </c>
      <c r="N664">
        <v>2</v>
      </c>
      <c r="P664">
        <f>G664*I664/100</f>
        <v>265.72000000000003</v>
      </c>
      <c r="Q664">
        <f t="shared" si="10"/>
        <v>24528</v>
      </c>
      <c r="R664">
        <f>K664/J664</f>
        <v>1</v>
      </c>
      <c r="S664">
        <v>2020</v>
      </c>
    </row>
    <row r="665" spans="1:19" x14ac:dyDescent="0.3">
      <c r="A665">
        <v>21</v>
      </c>
      <c r="B665">
        <v>1427</v>
      </c>
      <c r="C665" t="s">
        <v>17</v>
      </c>
      <c r="D665" t="s">
        <v>15</v>
      </c>
      <c r="E665">
        <v>65</v>
      </c>
      <c r="F665" t="s">
        <v>19</v>
      </c>
      <c r="G665">
        <v>2693</v>
      </c>
      <c r="H665">
        <v>8870</v>
      </c>
      <c r="I665">
        <v>19</v>
      </c>
      <c r="J665">
        <v>1</v>
      </c>
      <c r="K665">
        <v>1</v>
      </c>
      <c r="L665">
        <v>0</v>
      </c>
      <c r="M665">
        <v>0</v>
      </c>
      <c r="N665">
        <v>0</v>
      </c>
      <c r="P665">
        <f>G665*I665/100</f>
        <v>511.67</v>
      </c>
      <c r="Q665">
        <f t="shared" si="10"/>
        <v>32316</v>
      </c>
      <c r="R665">
        <f>K665/J665</f>
        <v>1</v>
      </c>
      <c r="S665">
        <v>2020</v>
      </c>
    </row>
    <row r="666" spans="1:19" x14ac:dyDescent="0.3">
      <c r="A666">
        <v>36</v>
      </c>
      <c r="B666">
        <v>1425</v>
      </c>
      <c r="C666" t="s">
        <v>17</v>
      </c>
      <c r="D666" t="s">
        <v>18</v>
      </c>
      <c r="E666">
        <v>68</v>
      </c>
      <c r="F666" t="s">
        <v>22</v>
      </c>
      <c r="G666">
        <v>6586</v>
      </c>
      <c r="H666">
        <v>4821</v>
      </c>
      <c r="I666">
        <v>17</v>
      </c>
      <c r="J666">
        <v>17</v>
      </c>
      <c r="K666">
        <v>16</v>
      </c>
      <c r="L666">
        <v>8</v>
      </c>
      <c r="M666">
        <v>4</v>
      </c>
      <c r="N666">
        <v>11</v>
      </c>
      <c r="P666">
        <f>G666*I666/100</f>
        <v>1119.6199999999999</v>
      </c>
      <c r="Q666">
        <f t="shared" si="10"/>
        <v>79032</v>
      </c>
      <c r="R666">
        <f>K666/J666</f>
        <v>0.94117647058823528</v>
      </c>
      <c r="S666">
        <v>2020</v>
      </c>
    </row>
    <row r="667" spans="1:19" x14ac:dyDescent="0.3">
      <c r="A667">
        <v>47</v>
      </c>
      <c r="B667">
        <v>1454</v>
      </c>
      <c r="C667" t="s">
        <v>14</v>
      </c>
      <c r="D667" t="s">
        <v>15</v>
      </c>
      <c r="E667">
        <v>65</v>
      </c>
      <c r="F667" t="s">
        <v>24</v>
      </c>
      <c r="G667">
        <v>3294</v>
      </c>
      <c r="H667">
        <v>13137</v>
      </c>
      <c r="I667">
        <v>18</v>
      </c>
      <c r="J667">
        <v>3</v>
      </c>
      <c r="K667">
        <v>3</v>
      </c>
      <c r="L667">
        <v>2</v>
      </c>
      <c r="M667">
        <v>1</v>
      </c>
      <c r="N667">
        <v>2</v>
      </c>
      <c r="P667">
        <f>G667*I667/100</f>
        <v>592.91999999999996</v>
      </c>
      <c r="Q667">
        <f t="shared" si="10"/>
        <v>39528</v>
      </c>
      <c r="R667">
        <f>K667/J667</f>
        <v>1</v>
      </c>
      <c r="S667">
        <v>2020</v>
      </c>
    </row>
    <row r="668" spans="1:19" x14ac:dyDescent="0.3">
      <c r="A668">
        <v>22</v>
      </c>
      <c r="B668">
        <v>617</v>
      </c>
      <c r="C668" t="s">
        <v>17</v>
      </c>
      <c r="D668" t="s">
        <v>15</v>
      </c>
      <c r="E668">
        <v>34</v>
      </c>
      <c r="F668" t="s">
        <v>21</v>
      </c>
      <c r="G668">
        <v>4171</v>
      </c>
      <c r="H668">
        <v>10022</v>
      </c>
      <c r="I668">
        <v>19</v>
      </c>
      <c r="J668">
        <v>4</v>
      </c>
      <c r="K668">
        <v>3</v>
      </c>
      <c r="L668">
        <v>2</v>
      </c>
      <c r="M668">
        <v>0</v>
      </c>
      <c r="N668">
        <v>2</v>
      </c>
      <c r="P668">
        <f>G668*I668/100</f>
        <v>792.49</v>
      </c>
      <c r="Q668">
        <f t="shared" si="10"/>
        <v>50052</v>
      </c>
      <c r="R668">
        <f>K668/J668</f>
        <v>0.75</v>
      </c>
      <c r="S668">
        <v>2020</v>
      </c>
    </row>
    <row r="669" spans="1:19" x14ac:dyDescent="0.3">
      <c r="A669">
        <v>41</v>
      </c>
      <c r="B669">
        <v>1085</v>
      </c>
      <c r="C669" t="s">
        <v>17</v>
      </c>
      <c r="D669" t="s">
        <v>15</v>
      </c>
      <c r="E669">
        <v>57</v>
      </c>
      <c r="F669" t="s">
        <v>20</v>
      </c>
      <c r="G669">
        <v>2778</v>
      </c>
      <c r="H669">
        <v>17725</v>
      </c>
      <c r="I669">
        <v>13</v>
      </c>
      <c r="J669">
        <v>10</v>
      </c>
      <c r="K669">
        <v>7</v>
      </c>
      <c r="L669">
        <v>7</v>
      </c>
      <c r="M669">
        <v>1</v>
      </c>
      <c r="N669">
        <v>0</v>
      </c>
      <c r="P669">
        <f>G669*I669/100</f>
        <v>361.14</v>
      </c>
      <c r="Q669">
        <f t="shared" si="10"/>
        <v>33336</v>
      </c>
      <c r="R669">
        <f>K669/J669</f>
        <v>0.7</v>
      </c>
      <c r="S669">
        <v>2020</v>
      </c>
    </row>
    <row r="670" spans="1:19" x14ac:dyDescent="0.3">
      <c r="A670">
        <v>28</v>
      </c>
      <c r="B670">
        <v>995</v>
      </c>
      <c r="C670" t="s">
        <v>17</v>
      </c>
      <c r="D670" t="s">
        <v>15</v>
      </c>
      <c r="E670">
        <v>77</v>
      </c>
      <c r="F670" t="s">
        <v>19</v>
      </c>
      <c r="G670">
        <v>2377</v>
      </c>
      <c r="H670">
        <v>9834</v>
      </c>
      <c r="I670">
        <v>18</v>
      </c>
      <c r="J670">
        <v>6</v>
      </c>
      <c r="K670">
        <v>2</v>
      </c>
      <c r="L670">
        <v>2</v>
      </c>
      <c r="M670">
        <v>2</v>
      </c>
      <c r="N670">
        <v>2</v>
      </c>
      <c r="P670">
        <f>G670*I670/100</f>
        <v>427.86</v>
      </c>
      <c r="Q670">
        <f t="shared" si="10"/>
        <v>28524</v>
      </c>
      <c r="R670">
        <f>K670/J670</f>
        <v>0.33333333333333331</v>
      </c>
      <c r="S670">
        <v>2020</v>
      </c>
    </row>
    <row r="671" spans="1:19" x14ac:dyDescent="0.3">
      <c r="A671">
        <v>39</v>
      </c>
      <c r="B671">
        <v>1122</v>
      </c>
      <c r="C671" t="s">
        <v>17</v>
      </c>
      <c r="D671" t="s">
        <v>18</v>
      </c>
      <c r="E671">
        <v>70</v>
      </c>
      <c r="F671" t="s">
        <v>20</v>
      </c>
      <c r="G671">
        <v>2404</v>
      </c>
      <c r="H671">
        <v>4303</v>
      </c>
      <c r="I671">
        <v>21</v>
      </c>
      <c r="J671">
        <v>8</v>
      </c>
      <c r="K671">
        <v>2</v>
      </c>
      <c r="L671">
        <v>2</v>
      </c>
      <c r="M671">
        <v>2</v>
      </c>
      <c r="N671">
        <v>2</v>
      </c>
      <c r="P671">
        <f>G671*I671/100</f>
        <v>504.84</v>
      </c>
      <c r="Q671">
        <f t="shared" si="10"/>
        <v>28848</v>
      </c>
      <c r="R671">
        <f>K671/J671</f>
        <v>0.25</v>
      </c>
      <c r="S671">
        <v>2020</v>
      </c>
    </row>
    <row r="672" spans="1:19" x14ac:dyDescent="0.3">
      <c r="A672">
        <v>27</v>
      </c>
      <c r="B672">
        <v>618</v>
      </c>
      <c r="C672" t="s">
        <v>17</v>
      </c>
      <c r="D672" t="s">
        <v>15</v>
      </c>
      <c r="E672">
        <v>76</v>
      </c>
      <c r="F672" t="s">
        <v>19</v>
      </c>
      <c r="G672">
        <v>2318</v>
      </c>
      <c r="H672">
        <v>17808</v>
      </c>
      <c r="I672">
        <v>19</v>
      </c>
      <c r="J672">
        <v>1</v>
      </c>
      <c r="K672">
        <v>1</v>
      </c>
      <c r="L672">
        <v>1</v>
      </c>
      <c r="M672">
        <v>0</v>
      </c>
      <c r="N672">
        <v>0</v>
      </c>
      <c r="P672">
        <f>G672*I672/100</f>
        <v>440.42</v>
      </c>
      <c r="Q672">
        <f t="shared" si="10"/>
        <v>27816</v>
      </c>
      <c r="R672">
        <f>K672/J672</f>
        <v>1</v>
      </c>
      <c r="S672">
        <v>2020</v>
      </c>
    </row>
    <row r="673" spans="1:19" x14ac:dyDescent="0.3">
      <c r="A673">
        <v>34</v>
      </c>
      <c r="B673">
        <v>546</v>
      </c>
      <c r="C673" t="s">
        <v>17</v>
      </c>
      <c r="D673" t="s">
        <v>18</v>
      </c>
      <c r="E673">
        <v>83</v>
      </c>
      <c r="F673" t="s">
        <v>20</v>
      </c>
      <c r="G673">
        <v>2008</v>
      </c>
      <c r="H673">
        <v>6896</v>
      </c>
      <c r="I673">
        <v>14</v>
      </c>
      <c r="J673">
        <v>1</v>
      </c>
      <c r="K673">
        <v>1</v>
      </c>
      <c r="L673">
        <v>0</v>
      </c>
      <c r="M673">
        <v>1</v>
      </c>
      <c r="N673">
        <v>0</v>
      </c>
      <c r="P673">
        <f>G673*I673/100</f>
        <v>281.12</v>
      </c>
      <c r="Q673">
        <f t="shared" si="10"/>
        <v>24096</v>
      </c>
      <c r="R673">
        <f>K673/J673</f>
        <v>1</v>
      </c>
      <c r="S673">
        <v>2020</v>
      </c>
    </row>
    <row r="674" spans="1:19" x14ac:dyDescent="0.3">
      <c r="A674">
        <v>42</v>
      </c>
      <c r="B674">
        <v>462</v>
      </c>
      <c r="C674" t="s">
        <v>14</v>
      </c>
      <c r="D674" t="s">
        <v>15</v>
      </c>
      <c r="E674">
        <v>68</v>
      </c>
      <c r="F674" t="s">
        <v>16</v>
      </c>
      <c r="G674">
        <v>6244</v>
      </c>
      <c r="H674">
        <v>7824</v>
      </c>
      <c r="I674">
        <v>17</v>
      </c>
      <c r="J674">
        <v>10</v>
      </c>
      <c r="K674">
        <v>5</v>
      </c>
      <c r="L674">
        <v>4</v>
      </c>
      <c r="M674">
        <v>0</v>
      </c>
      <c r="N674">
        <v>3</v>
      </c>
      <c r="P674">
        <f>G674*I674/100</f>
        <v>1061.48</v>
      </c>
      <c r="Q674">
        <f t="shared" si="10"/>
        <v>74928</v>
      </c>
      <c r="R674">
        <f>K674/J674</f>
        <v>0.5</v>
      </c>
      <c r="S674">
        <v>2020</v>
      </c>
    </row>
    <row r="675" spans="1:19" x14ac:dyDescent="0.3">
      <c r="A675">
        <v>33</v>
      </c>
      <c r="B675">
        <v>1198</v>
      </c>
      <c r="C675" t="s">
        <v>17</v>
      </c>
      <c r="D675" t="s">
        <v>18</v>
      </c>
      <c r="E675">
        <v>100</v>
      </c>
      <c r="F675" t="s">
        <v>19</v>
      </c>
      <c r="G675">
        <v>2799</v>
      </c>
      <c r="H675">
        <v>3339</v>
      </c>
      <c r="I675">
        <v>11</v>
      </c>
      <c r="J675">
        <v>6</v>
      </c>
      <c r="K675">
        <v>3</v>
      </c>
      <c r="L675">
        <v>2</v>
      </c>
      <c r="M675">
        <v>0</v>
      </c>
      <c r="N675">
        <v>2</v>
      </c>
      <c r="P675">
        <f>G675*I675/100</f>
        <v>307.89</v>
      </c>
      <c r="Q675">
        <f t="shared" si="10"/>
        <v>33588</v>
      </c>
      <c r="R675">
        <f>K675/J675</f>
        <v>0.5</v>
      </c>
      <c r="S675">
        <v>2020</v>
      </c>
    </row>
    <row r="676" spans="1:19" x14ac:dyDescent="0.3">
      <c r="A676">
        <v>58</v>
      </c>
      <c r="B676">
        <v>1272</v>
      </c>
      <c r="C676" t="s">
        <v>17</v>
      </c>
      <c r="D676" t="s">
        <v>15</v>
      </c>
      <c r="E676">
        <v>37</v>
      </c>
      <c r="F676" t="s">
        <v>22</v>
      </c>
      <c r="G676">
        <v>10552</v>
      </c>
      <c r="H676">
        <v>9255</v>
      </c>
      <c r="I676">
        <v>13</v>
      </c>
      <c r="J676">
        <v>24</v>
      </c>
      <c r="K676">
        <v>6</v>
      </c>
      <c r="L676">
        <v>0</v>
      </c>
      <c r="M676">
        <v>0</v>
      </c>
      <c r="N676">
        <v>4</v>
      </c>
      <c r="P676">
        <f>G676*I676/100</f>
        <v>1371.76</v>
      </c>
      <c r="Q676">
        <f t="shared" si="10"/>
        <v>126624</v>
      </c>
      <c r="R676">
        <f>K676/J676</f>
        <v>0.25</v>
      </c>
      <c r="S676">
        <v>2020</v>
      </c>
    </row>
    <row r="677" spans="1:19" x14ac:dyDescent="0.3">
      <c r="A677">
        <v>31</v>
      </c>
      <c r="B677">
        <v>154</v>
      </c>
      <c r="C677" t="s">
        <v>14</v>
      </c>
      <c r="D677" t="s">
        <v>18</v>
      </c>
      <c r="E677">
        <v>41</v>
      </c>
      <c r="F677" t="s">
        <v>24</v>
      </c>
      <c r="G677">
        <v>2329</v>
      </c>
      <c r="H677">
        <v>11737</v>
      </c>
      <c r="I677">
        <v>15</v>
      </c>
      <c r="J677">
        <v>13</v>
      </c>
      <c r="K677">
        <v>7</v>
      </c>
      <c r="L677">
        <v>7</v>
      </c>
      <c r="M677">
        <v>5</v>
      </c>
      <c r="N677">
        <v>2</v>
      </c>
      <c r="P677">
        <f>G677*I677/100</f>
        <v>349.35</v>
      </c>
      <c r="Q677">
        <f t="shared" si="10"/>
        <v>27948</v>
      </c>
      <c r="R677">
        <f>K677/J677</f>
        <v>0.53846153846153844</v>
      </c>
      <c r="S677">
        <v>2020</v>
      </c>
    </row>
    <row r="678" spans="1:19" x14ac:dyDescent="0.3">
      <c r="A678">
        <v>35</v>
      </c>
      <c r="B678">
        <v>1137</v>
      </c>
      <c r="C678" t="s">
        <v>17</v>
      </c>
      <c r="D678" t="s">
        <v>15</v>
      </c>
      <c r="E678">
        <v>51</v>
      </c>
      <c r="F678" t="s">
        <v>22</v>
      </c>
      <c r="G678">
        <v>4014</v>
      </c>
      <c r="H678">
        <v>19170</v>
      </c>
      <c r="I678">
        <v>25</v>
      </c>
      <c r="J678">
        <v>10</v>
      </c>
      <c r="K678">
        <v>10</v>
      </c>
      <c r="L678">
        <v>6</v>
      </c>
      <c r="M678">
        <v>0</v>
      </c>
      <c r="N678">
        <v>7</v>
      </c>
      <c r="P678">
        <f>G678*I678/100</f>
        <v>1003.5</v>
      </c>
      <c r="Q678">
        <f t="shared" si="10"/>
        <v>48168</v>
      </c>
      <c r="R678">
        <f>K678/J678</f>
        <v>1</v>
      </c>
      <c r="S678">
        <v>2020</v>
      </c>
    </row>
    <row r="679" spans="1:19" x14ac:dyDescent="0.3">
      <c r="A679">
        <v>49</v>
      </c>
      <c r="B679">
        <v>527</v>
      </c>
      <c r="C679" t="s">
        <v>17</v>
      </c>
      <c r="D679" t="s">
        <v>15</v>
      </c>
      <c r="E679">
        <v>51</v>
      </c>
      <c r="F679" t="s">
        <v>20</v>
      </c>
      <c r="G679">
        <v>7403</v>
      </c>
      <c r="H679">
        <v>22477</v>
      </c>
      <c r="I679">
        <v>11</v>
      </c>
      <c r="J679">
        <v>29</v>
      </c>
      <c r="K679">
        <v>26</v>
      </c>
      <c r="L679">
        <v>9</v>
      </c>
      <c r="M679">
        <v>1</v>
      </c>
      <c r="N679">
        <v>7</v>
      </c>
      <c r="P679">
        <f>G679*I679/100</f>
        <v>814.33</v>
      </c>
      <c r="Q679">
        <f t="shared" si="10"/>
        <v>88836</v>
      </c>
      <c r="R679">
        <f>K679/J679</f>
        <v>0.89655172413793105</v>
      </c>
      <c r="S679">
        <v>2020</v>
      </c>
    </row>
    <row r="680" spans="1:19" x14ac:dyDescent="0.3">
      <c r="A680">
        <v>48</v>
      </c>
      <c r="B680">
        <v>1469</v>
      </c>
      <c r="C680" t="s">
        <v>17</v>
      </c>
      <c r="D680" t="s">
        <v>18</v>
      </c>
      <c r="E680">
        <v>51</v>
      </c>
      <c r="F680" t="s">
        <v>19</v>
      </c>
      <c r="G680">
        <v>2259</v>
      </c>
      <c r="H680">
        <v>5543</v>
      </c>
      <c r="I680">
        <v>17</v>
      </c>
      <c r="J680">
        <v>13</v>
      </c>
      <c r="K680">
        <v>0</v>
      </c>
      <c r="L680">
        <v>0</v>
      </c>
      <c r="M680">
        <v>0</v>
      </c>
      <c r="N680">
        <v>0</v>
      </c>
      <c r="P680">
        <f>G680*I680/100</f>
        <v>384.03</v>
      </c>
      <c r="Q680">
        <f t="shared" si="10"/>
        <v>27108</v>
      </c>
      <c r="R680">
        <f>K680/J680</f>
        <v>0</v>
      </c>
      <c r="S680">
        <v>2020</v>
      </c>
    </row>
    <row r="681" spans="1:19" x14ac:dyDescent="0.3">
      <c r="A681">
        <v>31</v>
      </c>
      <c r="B681">
        <v>1188</v>
      </c>
      <c r="C681" t="s">
        <v>14</v>
      </c>
      <c r="D681" t="s">
        <v>15</v>
      </c>
      <c r="E681">
        <v>45</v>
      </c>
      <c r="F681" t="s">
        <v>16</v>
      </c>
      <c r="G681">
        <v>6932</v>
      </c>
      <c r="H681">
        <v>24406</v>
      </c>
      <c r="I681">
        <v>13</v>
      </c>
      <c r="J681">
        <v>9</v>
      </c>
      <c r="K681">
        <v>9</v>
      </c>
      <c r="L681">
        <v>8</v>
      </c>
      <c r="M681">
        <v>0</v>
      </c>
      <c r="N681">
        <v>0</v>
      </c>
      <c r="P681">
        <f>G681*I681/100</f>
        <v>901.16</v>
      </c>
      <c r="Q681">
        <f t="shared" si="10"/>
        <v>83184</v>
      </c>
      <c r="R681">
        <f>K681/J681</f>
        <v>1</v>
      </c>
      <c r="S681">
        <v>2020</v>
      </c>
    </row>
    <row r="682" spans="1:19" x14ac:dyDescent="0.3">
      <c r="A682">
        <v>36</v>
      </c>
      <c r="B682">
        <v>188</v>
      </c>
      <c r="C682" t="s">
        <v>17</v>
      </c>
      <c r="D682" t="s">
        <v>18</v>
      </c>
      <c r="E682">
        <v>65</v>
      </c>
      <c r="F682" t="s">
        <v>19</v>
      </c>
      <c r="G682">
        <v>4678</v>
      </c>
      <c r="H682">
        <v>23293</v>
      </c>
      <c r="I682">
        <v>18</v>
      </c>
      <c r="J682">
        <v>8</v>
      </c>
      <c r="K682">
        <v>6</v>
      </c>
      <c r="L682">
        <v>2</v>
      </c>
      <c r="M682">
        <v>0</v>
      </c>
      <c r="N682">
        <v>1</v>
      </c>
      <c r="P682">
        <f>G682*I682/100</f>
        <v>842.04</v>
      </c>
      <c r="Q682">
        <f t="shared" si="10"/>
        <v>56136</v>
      </c>
      <c r="R682">
        <f>K682/J682</f>
        <v>0.75</v>
      </c>
      <c r="S682">
        <v>2020</v>
      </c>
    </row>
    <row r="683" spans="1:19" x14ac:dyDescent="0.3">
      <c r="A683">
        <v>38</v>
      </c>
      <c r="B683">
        <v>1333</v>
      </c>
      <c r="C683" t="s">
        <v>17</v>
      </c>
      <c r="D683" t="s">
        <v>15</v>
      </c>
      <c r="E683">
        <v>80</v>
      </c>
      <c r="F683" t="s">
        <v>25</v>
      </c>
      <c r="G683">
        <v>13582</v>
      </c>
      <c r="H683">
        <v>16292</v>
      </c>
      <c r="I683">
        <v>13</v>
      </c>
      <c r="J683">
        <v>15</v>
      </c>
      <c r="K683">
        <v>15</v>
      </c>
      <c r="L683">
        <v>12</v>
      </c>
      <c r="M683">
        <v>5</v>
      </c>
      <c r="N683">
        <v>11</v>
      </c>
      <c r="P683">
        <f>G683*I683/100</f>
        <v>1765.66</v>
      </c>
      <c r="Q683">
        <f t="shared" si="10"/>
        <v>162984</v>
      </c>
      <c r="R683">
        <f>K683/J683</f>
        <v>1</v>
      </c>
      <c r="S683">
        <v>2020</v>
      </c>
    </row>
    <row r="684" spans="1:19" x14ac:dyDescent="0.3">
      <c r="A684">
        <v>32</v>
      </c>
      <c r="B684">
        <v>1184</v>
      </c>
      <c r="C684" t="s">
        <v>17</v>
      </c>
      <c r="D684" t="s">
        <v>15</v>
      </c>
      <c r="E684">
        <v>70</v>
      </c>
      <c r="F684" t="s">
        <v>20</v>
      </c>
      <c r="G684">
        <v>2332</v>
      </c>
      <c r="H684">
        <v>3974</v>
      </c>
      <c r="I684">
        <v>20</v>
      </c>
      <c r="J684">
        <v>5</v>
      </c>
      <c r="K684">
        <v>3</v>
      </c>
      <c r="L684">
        <v>0</v>
      </c>
      <c r="M684">
        <v>0</v>
      </c>
      <c r="N684">
        <v>2</v>
      </c>
      <c r="P684">
        <f>G684*I684/100</f>
        <v>466.4</v>
      </c>
      <c r="Q684">
        <f t="shared" si="10"/>
        <v>27984</v>
      </c>
      <c r="R684">
        <f>K684/J684</f>
        <v>0.6</v>
      </c>
      <c r="S684">
        <v>2020</v>
      </c>
    </row>
    <row r="685" spans="1:19" x14ac:dyDescent="0.3">
      <c r="A685">
        <v>25</v>
      </c>
      <c r="B685">
        <v>867</v>
      </c>
      <c r="C685" t="s">
        <v>14</v>
      </c>
      <c r="D685" t="s">
        <v>18</v>
      </c>
      <c r="E685">
        <v>36</v>
      </c>
      <c r="F685" t="s">
        <v>24</v>
      </c>
      <c r="G685">
        <v>2413</v>
      </c>
      <c r="H685">
        <v>18798</v>
      </c>
      <c r="I685">
        <v>18</v>
      </c>
      <c r="J685">
        <v>1</v>
      </c>
      <c r="K685">
        <v>1</v>
      </c>
      <c r="L685">
        <v>0</v>
      </c>
      <c r="M685">
        <v>0</v>
      </c>
      <c r="N685">
        <v>0</v>
      </c>
      <c r="P685">
        <f>G685*I685/100</f>
        <v>434.34</v>
      </c>
      <c r="Q685">
        <f t="shared" si="10"/>
        <v>28956</v>
      </c>
      <c r="R685">
        <f>K685/J685</f>
        <v>1</v>
      </c>
      <c r="S685">
        <v>2020</v>
      </c>
    </row>
    <row r="686" spans="1:19" x14ac:dyDescent="0.3">
      <c r="A686">
        <v>40</v>
      </c>
      <c r="B686">
        <v>658</v>
      </c>
      <c r="C686" t="s">
        <v>14</v>
      </c>
      <c r="D686" t="s">
        <v>18</v>
      </c>
      <c r="E686">
        <v>67</v>
      </c>
      <c r="F686" t="s">
        <v>16</v>
      </c>
      <c r="G686">
        <v>9705</v>
      </c>
      <c r="H686">
        <v>20652</v>
      </c>
      <c r="I686">
        <v>12</v>
      </c>
      <c r="J686">
        <v>11</v>
      </c>
      <c r="K686">
        <v>1</v>
      </c>
      <c r="L686">
        <v>0</v>
      </c>
      <c r="M686">
        <v>0</v>
      </c>
      <c r="N686">
        <v>0</v>
      </c>
      <c r="P686">
        <f>G686*I686/100</f>
        <v>1164.5999999999999</v>
      </c>
      <c r="Q686">
        <f t="shared" si="10"/>
        <v>116460</v>
      </c>
      <c r="R686">
        <f>K686/J686</f>
        <v>9.0909090909090912E-2</v>
      </c>
      <c r="S686">
        <v>2020</v>
      </c>
    </row>
    <row r="687" spans="1:19" x14ac:dyDescent="0.3">
      <c r="A687">
        <v>26</v>
      </c>
      <c r="B687">
        <v>1283</v>
      </c>
      <c r="C687" t="s">
        <v>14</v>
      </c>
      <c r="D687" t="s">
        <v>18</v>
      </c>
      <c r="E687">
        <v>52</v>
      </c>
      <c r="F687" t="s">
        <v>16</v>
      </c>
      <c r="G687">
        <v>4294</v>
      </c>
      <c r="H687">
        <v>11148</v>
      </c>
      <c r="I687">
        <v>12</v>
      </c>
      <c r="J687">
        <v>7</v>
      </c>
      <c r="K687">
        <v>7</v>
      </c>
      <c r="L687">
        <v>7</v>
      </c>
      <c r="M687">
        <v>0</v>
      </c>
      <c r="N687">
        <v>7</v>
      </c>
      <c r="P687">
        <f>G687*I687/100</f>
        <v>515.28</v>
      </c>
      <c r="Q687">
        <f t="shared" si="10"/>
        <v>51528</v>
      </c>
      <c r="R687">
        <f>K687/J687</f>
        <v>1</v>
      </c>
      <c r="S687">
        <v>2020</v>
      </c>
    </row>
    <row r="688" spans="1:19" x14ac:dyDescent="0.3">
      <c r="A688">
        <v>41</v>
      </c>
      <c r="B688">
        <v>263</v>
      </c>
      <c r="C688" t="s">
        <v>17</v>
      </c>
      <c r="D688" t="s">
        <v>18</v>
      </c>
      <c r="E688">
        <v>59</v>
      </c>
      <c r="F688" t="s">
        <v>20</v>
      </c>
      <c r="G688">
        <v>4721</v>
      </c>
      <c r="H688">
        <v>3119</v>
      </c>
      <c r="I688">
        <v>13</v>
      </c>
      <c r="J688">
        <v>20</v>
      </c>
      <c r="K688">
        <v>18</v>
      </c>
      <c r="L688">
        <v>13</v>
      </c>
      <c r="M688">
        <v>2</v>
      </c>
      <c r="N688">
        <v>17</v>
      </c>
      <c r="P688">
        <f>G688*I688/100</f>
        <v>613.73</v>
      </c>
      <c r="Q688">
        <f t="shared" si="10"/>
        <v>56652</v>
      </c>
      <c r="R688">
        <f>K688/J688</f>
        <v>0.9</v>
      </c>
      <c r="S688">
        <v>2020</v>
      </c>
    </row>
    <row r="689" spans="1:19" x14ac:dyDescent="0.3">
      <c r="A689">
        <v>36</v>
      </c>
      <c r="B689">
        <v>938</v>
      </c>
      <c r="C689" t="s">
        <v>17</v>
      </c>
      <c r="D689" t="s">
        <v>18</v>
      </c>
      <c r="E689">
        <v>79</v>
      </c>
      <c r="F689" t="s">
        <v>20</v>
      </c>
      <c r="G689">
        <v>2519</v>
      </c>
      <c r="H689">
        <v>12287</v>
      </c>
      <c r="I689">
        <v>21</v>
      </c>
      <c r="J689">
        <v>16</v>
      </c>
      <c r="K689">
        <v>11</v>
      </c>
      <c r="L689">
        <v>8</v>
      </c>
      <c r="M689">
        <v>3</v>
      </c>
      <c r="N689">
        <v>9</v>
      </c>
      <c r="P689">
        <f>G689*I689/100</f>
        <v>528.99</v>
      </c>
      <c r="Q689">
        <f t="shared" si="10"/>
        <v>30228</v>
      </c>
      <c r="R689">
        <f>K689/J689</f>
        <v>0.6875</v>
      </c>
      <c r="S689">
        <v>2020</v>
      </c>
    </row>
    <row r="690" spans="1:19" x14ac:dyDescent="0.3">
      <c r="A690">
        <v>19</v>
      </c>
      <c r="B690">
        <v>419</v>
      </c>
      <c r="C690" t="s">
        <v>14</v>
      </c>
      <c r="D690" t="s">
        <v>18</v>
      </c>
      <c r="E690">
        <v>37</v>
      </c>
      <c r="F690" t="s">
        <v>24</v>
      </c>
      <c r="G690">
        <v>2121</v>
      </c>
      <c r="H690">
        <v>9947</v>
      </c>
      <c r="I690">
        <v>13</v>
      </c>
      <c r="J690">
        <v>1</v>
      </c>
      <c r="K690">
        <v>1</v>
      </c>
      <c r="L690">
        <v>0</v>
      </c>
      <c r="M690">
        <v>0</v>
      </c>
      <c r="N690">
        <v>0</v>
      </c>
      <c r="P690">
        <f>G690*I690/100</f>
        <v>275.73</v>
      </c>
      <c r="Q690">
        <f t="shared" si="10"/>
        <v>25452</v>
      </c>
      <c r="R690">
        <f>K690/J690</f>
        <v>1</v>
      </c>
      <c r="S690">
        <v>2020</v>
      </c>
    </row>
    <row r="691" spans="1:19" x14ac:dyDescent="0.3">
      <c r="A691">
        <v>20</v>
      </c>
      <c r="B691">
        <v>129</v>
      </c>
      <c r="C691" t="s">
        <v>17</v>
      </c>
      <c r="D691" t="s">
        <v>18</v>
      </c>
      <c r="E691">
        <v>84</v>
      </c>
      <c r="F691" t="s">
        <v>20</v>
      </c>
      <c r="G691">
        <v>2973</v>
      </c>
      <c r="H691">
        <v>13008</v>
      </c>
      <c r="I691">
        <v>19</v>
      </c>
      <c r="J691">
        <v>1</v>
      </c>
      <c r="K691">
        <v>1</v>
      </c>
      <c r="L691">
        <v>0</v>
      </c>
      <c r="M691">
        <v>0</v>
      </c>
      <c r="N691">
        <v>0</v>
      </c>
      <c r="P691">
        <f>G691*I691/100</f>
        <v>564.87</v>
      </c>
      <c r="Q691">
        <f t="shared" si="10"/>
        <v>35676</v>
      </c>
      <c r="R691">
        <f>K691/J691</f>
        <v>1</v>
      </c>
      <c r="S691">
        <v>2020</v>
      </c>
    </row>
    <row r="692" spans="1:19" x14ac:dyDescent="0.3">
      <c r="A692">
        <v>31</v>
      </c>
      <c r="B692">
        <v>616</v>
      </c>
      <c r="C692" t="s">
        <v>17</v>
      </c>
      <c r="D692" t="s">
        <v>15</v>
      </c>
      <c r="E692">
        <v>41</v>
      </c>
      <c r="F692" t="s">
        <v>22</v>
      </c>
      <c r="G692">
        <v>5855</v>
      </c>
      <c r="H692">
        <v>17369</v>
      </c>
      <c r="I692">
        <v>11</v>
      </c>
      <c r="J692">
        <v>10</v>
      </c>
      <c r="K692">
        <v>9</v>
      </c>
      <c r="L692">
        <v>7</v>
      </c>
      <c r="M692">
        <v>8</v>
      </c>
      <c r="N692">
        <v>5</v>
      </c>
      <c r="P692">
        <f>G692*I692/100</f>
        <v>644.04999999999995</v>
      </c>
      <c r="Q692">
        <f t="shared" si="10"/>
        <v>70260</v>
      </c>
      <c r="R692">
        <f>K692/J692</f>
        <v>0.9</v>
      </c>
      <c r="S692">
        <v>2020</v>
      </c>
    </row>
    <row r="693" spans="1:19" x14ac:dyDescent="0.3">
      <c r="A693">
        <v>40</v>
      </c>
      <c r="B693">
        <v>1469</v>
      </c>
      <c r="C693" t="s">
        <v>17</v>
      </c>
      <c r="D693" t="s">
        <v>18</v>
      </c>
      <c r="E693">
        <v>35</v>
      </c>
      <c r="F693" t="s">
        <v>19</v>
      </c>
      <c r="G693">
        <v>3617</v>
      </c>
      <c r="H693">
        <v>25063</v>
      </c>
      <c r="I693">
        <v>14</v>
      </c>
      <c r="J693">
        <v>3</v>
      </c>
      <c r="K693">
        <v>1</v>
      </c>
      <c r="L693">
        <v>1</v>
      </c>
      <c r="M693">
        <v>0</v>
      </c>
      <c r="N693">
        <v>0</v>
      </c>
      <c r="P693">
        <f>G693*I693/100</f>
        <v>506.38</v>
      </c>
      <c r="Q693">
        <f t="shared" si="10"/>
        <v>43404</v>
      </c>
      <c r="R693">
        <f>K693/J693</f>
        <v>0.33333333333333331</v>
      </c>
      <c r="S693">
        <v>2020</v>
      </c>
    </row>
    <row r="694" spans="1:19" x14ac:dyDescent="0.3">
      <c r="A694">
        <v>32</v>
      </c>
      <c r="B694">
        <v>498</v>
      </c>
      <c r="C694" t="s">
        <v>17</v>
      </c>
      <c r="D694" t="s">
        <v>15</v>
      </c>
      <c r="E694">
        <v>93</v>
      </c>
      <c r="F694" t="s">
        <v>21</v>
      </c>
      <c r="G694">
        <v>6725</v>
      </c>
      <c r="H694">
        <v>13554</v>
      </c>
      <c r="I694">
        <v>12</v>
      </c>
      <c r="J694">
        <v>8</v>
      </c>
      <c r="K694">
        <v>8</v>
      </c>
      <c r="L694">
        <v>7</v>
      </c>
      <c r="M694">
        <v>6</v>
      </c>
      <c r="N694">
        <v>3</v>
      </c>
      <c r="P694">
        <f>G694*I694/100</f>
        <v>807</v>
      </c>
      <c r="Q694">
        <f t="shared" si="10"/>
        <v>80700</v>
      </c>
      <c r="R694">
        <f>K694/J694</f>
        <v>1</v>
      </c>
      <c r="S694">
        <v>2020</v>
      </c>
    </row>
    <row r="695" spans="1:19" x14ac:dyDescent="0.3">
      <c r="A695">
        <v>36</v>
      </c>
      <c r="B695">
        <v>530</v>
      </c>
      <c r="C695" t="s">
        <v>14</v>
      </c>
      <c r="D695" t="s">
        <v>18</v>
      </c>
      <c r="E695">
        <v>51</v>
      </c>
      <c r="F695" t="s">
        <v>16</v>
      </c>
      <c r="G695">
        <v>10325</v>
      </c>
      <c r="H695">
        <v>5518</v>
      </c>
      <c r="I695">
        <v>11</v>
      </c>
      <c r="J695">
        <v>16</v>
      </c>
      <c r="K695">
        <v>16</v>
      </c>
      <c r="L695">
        <v>7</v>
      </c>
      <c r="M695">
        <v>3</v>
      </c>
      <c r="N695">
        <v>7</v>
      </c>
      <c r="P695">
        <f>G695*I695/100</f>
        <v>1135.75</v>
      </c>
      <c r="Q695">
        <f t="shared" si="10"/>
        <v>123900</v>
      </c>
      <c r="R695">
        <f>K695/J695</f>
        <v>1</v>
      </c>
      <c r="S695">
        <v>2020</v>
      </c>
    </row>
    <row r="696" spans="1:19" x14ac:dyDescent="0.3">
      <c r="A696">
        <v>33</v>
      </c>
      <c r="B696">
        <v>1069</v>
      </c>
      <c r="C696" t="s">
        <v>17</v>
      </c>
      <c r="D696" t="s">
        <v>15</v>
      </c>
      <c r="E696">
        <v>42</v>
      </c>
      <c r="F696" t="s">
        <v>22</v>
      </c>
      <c r="G696">
        <v>6949</v>
      </c>
      <c r="H696">
        <v>12291</v>
      </c>
      <c r="I696">
        <v>14</v>
      </c>
      <c r="J696">
        <v>6</v>
      </c>
      <c r="K696">
        <v>5</v>
      </c>
      <c r="L696">
        <v>0</v>
      </c>
      <c r="M696">
        <v>1</v>
      </c>
      <c r="N696">
        <v>4</v>
      </c>
      <c r="P696">
        <f>G696*I696/100</f>
        <v>972.86</v>
      </c>
      <c r="Q696">
        <f t="shared" si="10"/>
        <v>83388</v>
      </c>
      <c r="R696">
        <f>K696/J696</f>
        <v>0.83333333333333337</v>
      </c>
      <c r="S696">
        <v>2020</v>
      </c>
    </row>
    <row r="697" spans="1:19" x14ac:dyDescent="0.3">
      <c r="A697">
        <v>37</v>
      </c>
      <c r="B697">
        <v>625</v>
      </c>
      <c r="C697" t="s">
        <v>14</v>
      </c>
      <c r="D697" t="s">
        <v>18</v>
      </c>
      <c r="E697">
        <v>46</v>
      </c>
      <c r="F697" t="s">
        <v>16</v>
      </c>
      <c r="G697">
        <v>10609</v>
      </c>
      <c r="H697">
        <v>14922</v>
      </c>
      <c r="I697">
        <v>11</v>
      </c>
      <c r="J697">
        <v>17</v>
      </c>
      <c r="K697">
        <v>14</v>
      </c>
      <c r="L697">
        <v>1</v>
      </c>
      <c r="M697">
        <v>11</v>
      </c>
      <c r="N697">
        <v>7</v>
      </c>
      <c r="P697">
        <f>G697*I697/100</f>
        <v>1166.99</v>
      </c>
      <c r="Q697">
        <f t="shared" si="10"/>
        <v>127308</v>
      </c>
      <c r="R697">
        <f>K697/J697</f>
        <v>0.82352941176470584</v>
      </c>
      <c r="S697">
        <v>2020</v>
      </c>
    </row>
    <row r="698" spans="1:19" x14ac:dyDescent="0.3">
      <c r="A698">
        <v>45</v>
      </c>
      <c r="B698">
        <v>805</v>
      </c>
      <c r="C698" t="s">
        <v>17</v>
      </c>
      <c r="D698" t="s">
        <v>18</v>
      </c>
      <c r="E698">
        <v>57</v>
      </c>
      <c r="F698" t="s">
        <v>20</v>
      </c>
      <c r="G698">
        <v>4447</v>
      </c>
      <c r="H698">
        <v>23163</v>
      </c>
      <c r="I698">
        <v>12</v>
      </c>
      <c r="J698">
        <v>9</v>
      </c>
      <c r="K698">
        <v>9</v>
      </c>
      <c r="L698">
        <v>7</v>
      </c>
      <c r="M698">
        <v>0</v>
      </c>
      <c r="N698">
        <v>8</v>
      </c>
      <c r="P698">
        <f>G698*I698/100</f>
        <v>533.64</v>
      </c>
      <c r="Q698">
        <f t="shared" si="10"/>
        <v>53364</v>
      </c>
      <c r="R698">
        <f>K698/J698</f>
        <v>1</v>
      </c>
      <c r="S698">
        <v>2020</v>
      </c>
    </row>
    <row r="699" spans="1:19" x14ac:dyDescent="0.3">
      <c r="A699">
        <v>29</v>
      </c>
      <c r="B699">
        <v>1404</v>
      </c>
      <c r="C699" t="s">
        <v>14</v>
      </c>
      <c r="D699" t="s">
        <v>15</v>
      </c>
      <c r="E699">
        <v>84</v>
      </c>
      <c r="F699" t="s">
        <v>24</v>
      </c>
      <c r="G699">
        <v>2157</v>
      </c>
      <c r="H699">
        <v>18203</v>
      </c>
      <c r="I699">
        <v>15</v>
      </c>
      <c r="J699">
        <v>3</v>
      </c>
      <c r="K699">
        <v>3</v>
      </c>
      <c r="L699">
        <v>1</v>
      </c>
      <c r="M699">
        <v>0</v>
      </c>
      <c r="N699">
        <v>2</v>
      </c>
      <c r="P699">
        <f>G699*I699/100</f>
        <v>323.55</v>
      </c>
      <c r="Q699">
        <f t="shared" si="10"/>
        <v>25884</v>
      </c>
      <c r="R699">
        <f>K699/J699</f>
        <v>1</v>
      </c>
      <c r="S699">
        <v>2020</v>
      </c>
    </row>
    <row r="700" spans="1:19" x14ac:dyDescent="0.3">
      <c r="A700">
        <v>35</v>
      </c>
      <c r="B700">
        <v>1219</v>
      </c>
      <c r="C700" t="s">
        <v>14</v>
      </c>
      <c r="D700" t="s">
        <v>15</v>
      </c>
      <c r="E700">
        <v>86</v>
      </c>
      <c r="F700" t="s">
        <v>16</v>
      </c>
      <c r="G700">
        <v>4601</v>
      </c>
      <c r="H700">
        <v>6179</v>
      </c>
      <c r="I700">
        <v>16</v>
      </c>
      <c r="J700">
        <v>5</v>
      </c>
      <c r="K700">
        <v>5</v>
      </c>
      <c r="L700">
        <v>2</v>
      </c>
      <c r="M700">
        <v>1</v>
      </c>
      <c r="N700">
        <v>0</v>
      </c>
      <c r="P700">
        <f>G700*I700/100</f>
        <v>736.16</v>
      </c>
      <c r="Q700">
        <f t="shared" si="10"/>
        <v>55212</v>
      </c>
      <c r="R700">
        <f>K700/J700</f>
        <v>1</v>
      </c>
      <c r="S700">
        <v>2020</v>
      </c>
    </row>
    <row r="701" spans="1:19" x14ac:dyDescent="0.3">
      <c r="A701">
        <v>52</v>
      </c>
      <c r="B701">
        <v>1053</v>
      </c>
      <c r="C701" t="s">
        <v>17</v>
      </c>
      <c r="D701" t="s">
        <v>18</v>
      </c>
      <c r="E701">
        <v>70</v>
      </c>
      <c r="F701" t="s">
        <v>23</v>
      </c>
      <c r="G701">
        <v>17099</v>
      </c>
      <c r="H701">
        <v>13829</v>
      </c>
      <c r="I701">
        <v>15</v>
      </c>
      <c r="J701">
        <v>26</v>
      </c>
      <c r="K701">
        <v>9</v>
      </c>
      <c r="L701">
        <v>8</v>
      </c>
      <c r="M701">
        <v>7</v>
      </c>
      <c r="N701">
        <v>8</v>
      </c>
      <c r="P701">
        <f>G701*I701/100</f>
        <v>2564.85</v>
      </c>
      <c r="Q701">
        <f t="shared" si="10"/>
        <v>205188</v>
      </c>
      <c r="R701">
        <f>K701/J701</f>
        <v>0.34615384615384615</v>
      </c>
      <c r="S701">
        <v>2020</v>
      </c>
    </row>
    <row r="702" spans="1:19" x14ac:dyDescent="0.3">
      <c r="A702">
        <v>58</v>
      </c>
      <c r="B702">
        <v>289</v>
      </c>
      <c r="C702" t="s">
        <v>17</v>
      </c>
      <c r="D702" t="s">
        <v>18</v>
      </c>
      <c r="E702">
        <v>51</v>
      </c>
      <c r="F702" t="s">
        <v>19</v>
      </c>
      <c r="G702">
        <v>2479</v>
      </c>
      <c r="H702">
        <v>26227</v>
      </c>
      <c r="I702">
        <v>24</v>
      </c>
      <c r="J702">
        <v>7</v>
      </c>
      <c r="K702">
        <v>1</v>
      </c>
      <c r="L702">
        <v>0</v>
      </c>
      <c r="M702">
        <v>0</v>
      </c>
      <c r="N702">
        <v>0</v>
      </c>
      <c r="P702">
        <f>G702*I702/100</f>
        <v>594.96</v>
      </c>
      <c r="Q702">
        <f t="shared" si="10"/>
        <v>29748</v>
      </c>
      <c r="R702">
        <f>K702/J702</f>
        <v>0.14285714285714285</v>
      </c>
      <c r="S702">
        <v>2020</v>
      </c>
    </row>
    <row r="703" spans="1:19" x14ac:dyDescent="0.3">
      <c r="A703">
        <v>53</v>
      </c>
      <c r="B703">
        <v>1376</v>
      </c>
      <c r="C703" t="s">
        <v>14</v>
      </c>
      <c r="D703" t="s">
        <v>18</v>
      </c>
      <c r="E703">
        <v>45</v>
      </c>
      <c r="F703" t="s">
        <v>23</v>
      </c>
      <c r="G703">
        <v>14852</v>
      </c>
      <c r="H703">
        <v>13938</v>
      </c>
      <c r="I703">
        <v>13</v>
      </c>
      <c r="J703">
        <v>22</v>
      </c>
      <c r="K703">
        <v>17</v>
      </c>
      <c r="L703">
        <v>13</v>
      </c>
      <c r="M703">
        <v>15</v>
      </c>
      <c r="N703">
        <v>2</v>
      </c>
      <c r="P703">
        <f>G703*I703/100</f>
        <v>1930.76</v>
      </c>
      <c r="Q703">
        <f t="shared" si="10"/>
        <v>178224</v>
      </c>
      <c r="R703">
        <f>K703/J703</f>
        <v>0.77272727272727271</v>
      </c>
      <c r="S703">
        <v>2020</v>
      </c>
    </row>
    <row r="704" spans="1:19" x14ac:dyDescent="0.3">
      <c r="A704">
        <v>30</v>
      </c>
      <c r="B704">
        <v>231</v>
      </c>
      <c r="C704" t="s">
        <v>14</v>
      </c>
      <c r="D704" t="s">
        <v>18</v>
      </c>
      <c r="E704">
        <v>62</v>
      </c>
      <c r="F704" t="s">
        <v>16</v>
      </c>
      <c r="G704">
        <v>7264</v>
      </c>
      <c r="H704">
        <v>9977</v>
      </c>
      <c r="I704">
        <v>11</v>
      </c>
      <c r="J704">
        <v>10</v>
      </c>
      <c r="K704">
        <v>8</v>
      </c>
      <c r="L704">
        <v>4</v>
      </c>
      <c r="M704">
        <v>7</v>
      </c>
      <c r="N704">
        <v>7</v>
      </c>
      <c r="P704">
        <f>G704*I704/100</f>
        <v>799.04</v>
      </c>
      <c r="Q704">
        <f t="shared" si="10"/>
        <v>87168</v>
      </c>
      <c r="R704">
        <f>K704/J704</f>
        <v>0.8</v>
      </c>
      <c r="S704">
        <v>2020</v>
      </c>
    </row>
    <row r="705" spans="1:19" x14ac:dyDescent="0.3">
      <c r="A705">
        <v>38</v>
      </c>
      <c r="B705">
        <v>152</v>
      </c>
      <c r="C705" t="s">
        <v>14</v>
      </c>
      <c r="D705" t="s">
        <v>15</v>
      </c>
      <c r="E705">
        <v>85</v>
      </c>
      <c r="F705" t="s">
        <v>16</v>
      </c>
      <c r="G705">
        <v>5666</v>
      </c>
      <c r="H705">
        <v>19899</v>
      </c>
      <c r="I705">
        <v>13</v>
      </c>
      <c r="J705">
        <v>6</v>
      </c>
      <c r="K705">
        <v>5</v>
      </c>
      <c r="L705">
        <v>3</v>
      </c>
      <c r="M705">
        <v>1</v>
      </c>
      <c r="N705">
        <v>3</v>
      </c>
      <c r="P705">
        <f>G705*I705/100</f>
        <v>736.58</v>
      </c>
      <c r="Q705">
        <f t="shared" si="10"/>
        <v>67992</v>
      </c>
      <c r="R705">
        <f>K705/J705</f>
        <v>0.83333333333333337</v>
      </c>
      <c r="S705">
        <v>2020</v>
      </c>
    </row>
    <row r="706" spans="1:19" x14ac:dyDescent="0.3">
      <c r="A706">
        <v>35</v>
      </c>
      <c r="B706">
        <v>882</v>
      </c>
      <c r="C706" t="s">
        <v>14</v>
      </c>
      <c r="D706" t="s">
        <v>18</v>
      </c>
      <c r="E706">
        <v>92</v>
      </c>
      <c r="F706" t="s">
        <v>16</v>
      </c>
      <c r="G706">
        <v>7823</v>
      </c>
      <c r="H706">
        <v>6812</v>
      </c>
      <c r="I706">
        <v>13</v>
      </c>
      <c r="J706">
        <v>12</v>
      </c>
      <c r="K706">
        <v>10</v>
      </c>
      <c r="L706">
        <v>9</v>
      </c>
      <c r="M706">
        <v>0</v>
      </c>
      <c r="N706">
        <v>8</v>
      </c>
      <c r="P706">
        <f>G706*I706/100</f>
        <v>1016.99</v>
      </c>
      <c r="Q706">
        <f t="shared" si="10"/>
        <v>93876</v>
      </c>
      <c r="R706">
        <f>K706/J706</f>
        <v>0.83333333333333337</v>
      </c>
      <c r="S706">
        <v>2020</v>
      </c>
    </row>
    <row r="707" spans="1:19" x14ac:dyDescent="0.3">
      <c r="A707">
        <v>39</v>
      </c>
      <c r="B707">
        <v>903</v>
      </c>
      <c r="C707" t="s">
        <v>14</v>
      </c>
      <c r="D707" t="s">
        <v>18</v>
      </c>
      <c r="E707">
        <v>41</v>
      </c>
      <c r="F707" t="s">
        <v>16</v>
      </c>
      <c r="G707">
        <v>7880</v>
      </c>
      <c r="H707">
        <v>2560</v>
      </c>
      <c r="I707">
        <v>18</v>
      </c>
      <c r="J707">
        <v>9</v>
      </c>
      <c r="K707">
        <v>8</v>
      </c>
      <c r="L707">
        <v>7</v>
      </c>
      <c r="M707">
        <v>0</v>
      </c>
      <c r="N707">
        <v>7</v>
      </c>
      <c r="P707">
        <f>G707*I707/100</f>
        <v>1418.4</v>
      </c>
      <c r="Q707">
        <f t="shared" ref="Q707:Q770" si="11">G707*12</f>
        <v>94560</v>
      </c>
      <c r="R707">
        <f>K707/J707</f>
        <v>0.88888888888888884</v>
      </c>
      <c r="S707">
        <v>2020</v>
      </c>
    </row>
    <row r="708" spans="1:19" x14ac:dyDescent="0.3">
      <c r="A708">
        <v>40</v>
      </c>
      <c r="B708">
        <v>1479</v>
      </c>
      <c r="C708" t="s">
        <v>14</v>
      </c>
      <c r="D708" t="s">
        <v>15</v>
      </c>
      <c r="E708">
        <v>100</v>
      </c>
      <c r="F708" t="s">
        <v>16</v>
      </c>
      <c r="G708">
        <v>13194</v>
      </c>
      <c r="H708">
        <v>17071</v>
      </c>
      <c r="I708">
        <v>16</v>
      </c>
      <c r="J708">
        <v>22</v>
      </c>
      <c r="K708">
        <v>1</v>
      </c>
      <c r="L708">
        <v>0</v>
      </c>
      <c r="M708">
        <v>0</v>
      </c>
      <c r="N708">
        <v>0</v>
      </c>
      <c r="P708">
        <f>G708*I708/100</f>
        <v>2111.04</v>
      </c>
      <c r="Q708">
        <f t="shared" si="11"/>
        <v>158328</v>
      </c>
      <c r="R708">
        <f>K708/J708</f>
        <v>4.5454545454545456E-2</v>
      </c>
      <c r="S708">
        <v>2020</v>
      </c>
    </row>
    <row r="709" spans="1:19" x14ac:dyDescent="0.3">
      <c r="A709">
        <v>47</v>
      </c>
      <c r="B709">
        <v>1379</v>
      </c>
      <c r="C709" t="s">
        <v>17</v>
      </c>
      <c r="D709" t="s">
        <v>18</v>
      </c>
      <c r="E709">
        <v>64</v>
      </c>
      <c r="F709" t="s">
        <v>21</v>
      </c>
      <c r="G709">
        <v>5067</v>
      </c>
      <c r="H709">
        <v>6759</v>
      </c>
      <c r="I709">
        <v>19</v>
      </c>
      <c r="J709">
        <v>20</v>
      </c>
      <c r="K709">
        <v>19</v>
      </c>
      <c r="L709">
        <v>10</v>
      </c>
      <c r="M709">
        <v>2</v>
      </c>
      <c r="N709">
        <v>7</v>
      </c>
      <c r="P709">
        <f>G709*I709/100</f>
        <v>962.73</v>
      </c>
      <c r="Q709">
        <f t="shared" si="11"/>
        <v>60804</v>
      </c>
      <c r="R709">
        <f>K709/J709</f>
        <v>0.95</v>
      </c>
      <c r="S709">
        <v>2020</v>
      </c>
    </row>
    <row r="710" spans="1:19" x14ac:dyDescent="0.3">
      <c r="A710">
        <v>36</v>
      </c>
      <c r="B710">
        <v>1229</v>
      </c>
      <c r="C710" t="s">
        <v>14</v>
      </c>
      <c r="D710" t="s">
        <v>18</v>
      </c>
      <c r="E710">
        <v>84</v>
      </c>
      <c r="F710" t="s">
        <v>16</v>
      </c>
      <c r="G710">
        <v>5079</v>
      </c>
      <c r="H710">
        <v>25952</v>
      </c>
      <c r="I710">
        <v>13</v>
      </c>
      <c r="J710">
        <v>12</v>
      </c>
      <c r="K710">
        <v>7</v>
      </c>
      <c r="L710">
        <v>7</v>
      </c>
      <c r="M710">
        <v>0</v>
      </c>
      <c r="N710">
        <v>7</v>
      </c>
      <c r="P710">
        <f>G710*I710/100</f>
        <v>660.27</v>
      </c>
      <c r="Q710">
        <f t="shared" si="11"/>
        <v>60948</v>
      </c>
      <c r="R710">
        <f>K710/J710</f>
        <v>0.58333333333333337</v>
      </c>
      <c r="S710">
        <v>2020</v>
      </c>
    </row>
    <row r="711" spans="1:19" x14ac:dyDescent="0.3">
      <c r="A711">
        <v>31</v>
      </c>
      <c r="B711">
        <v>335</v>
      </c>
      <c r="C711" t="s">
        <v>17</v>
      </c>
      <c r="D711" t="s">
        <v>18</v>
      </c>
      <c r="E711">
        <v>46</v>
      </c>
      <c r="F711" t="s">
        <v>19</v>
      </c>
      <c r="G711">
        <v>2321</v>
      </c>
      <c r="H711">
        <v>10322</v>
      </c>
      <c r="I711">
        <v>22</v>
      </c>
      <c r="J711">
        <v>4</v>
      </c>
      <c r="K711">
        <v>3</v>
      </c>
      <c r="L711">
        <v>2</v>
      </c>
      <c r="M711">
        <v>1</v>
      </c>
      <c r="N711">
        <v>2</v>
      </c>
      <c r="P711">
        <f>G711*I711/100</f>
        <v>510.62</v>
      </c>
      <c r="Q711">
        <f t="shared" si="11"/>
        <v>27852</v>
      </c>
      <c r="R711">
        <f>K711/J711</f>
        <v>0.75</v>
      </c>
      <c r="S711">
        <v>2020</v>
      </c>
    </row>
    <row r="712" spans="1:19" x14ac:dyDescent="0.3">
      <c r="A712">
        <v>33</v>
      </c>
      <c r="B712">
        <v>722</v>
      </c>
      <c r="C712" t="s">
        <v>14</v>
      </c>
      <c r="D712" t="s">
        <v>18</v>
      </c>
      <c r="E712">
        <v>38</v>
      </c>
      <c r="F712" t="s">
        <v>23</v>
      </c>
      <c r="G712">
        <v>17444</v>
      </c>
      <c r="H712">
        <v>20489</v>
      </c>
      <c r="I712">
        <v>11</v>
      </c>
      <c r="J712">
        <v>10</v>
      </c>
      <c r="K712">
        <v>10</v>
      </c>
      <c r="L712">
        <v>8</v>
      </c>
      <c r="M712">
        <v>6</v>
      </c>
      <c r="N712">
        <v>0</v>
      </c>
      <c r="P712">
        <f>G712*I712/100</f>
        <v>1918.84</v>
      </c>
      <c r="Q712">
        <f t="shared" si="11"/>
        <v>209328</v>
      </c>
      <c r="R712">
        <f>K712/J712</f>
        <v>1</v>
      </c>
      <c r="S712">
        <v>2020</v>
      </c>
    </row>
    <row r="713" spans="1:19" x14ac:dyDescent="0.3">
      <c r="A713">
        <v>29</v>
      </c>
      <c r="B713">
        <v>906</v>
      </c>
      <c r="C713" t="s">
        <v>17</v>
      </c>
      <c r="D713" t="s">
        <v>15</v>
      </c>
      <c r="E713">
        <v>92</v>
      </c>
      <c r="F713" t="s">
        <v>19</v>
      </c>
      <c r="G713">
        <v>2404</v>
      </c>
      <c r="H713">
        <v>11479</v>
      </c>
      <c r="I713">
        <v>20</v>
      </c>
      <c r="J713">
        <v>3</v>
      </c>
      <c r="K713">
        <v>0</v>
      </c>
      <c r="L713">
        <v>0</v>
      </c>
      <c r="M713">
        <v>0</v>
      </c>
      <c r="N713">
        <v>0</v>
      </c>
      <c r="P713">
        <f>G713*I713/100</f>
        <v>480.8</v>
      </c>
      <c r="Q713">
        <f t="shared" si="11"/>
        <v>28848</v>
      </c>
      <c r="R713">
        <f>K713/J713</f>
        <v>0</v>
      </c>
      <c r="S713">
        <v>2020</v>
      </c>
    </row>
    <row r="714" spans="1:19" x14ac:dyDescent="0.3">
      <c r="A714">
        <v>33</v>
      </c>
      <c r="B714">
        <v>461</v>
      </c>
      <c r="C714" t="s">
        <v>17</v>
      </c>
      <c r="D714" t="s">
        <v>15</v>
      </c>
      <c r="E714">
        <v>53</v>
      </c>
      <c r="F714" t="s">
        <v>19</v>
      </c>
      <c r="G714">
        <v>3452</v>
      </c>
      <c r="H714">
        <v>17241</v>
      </c>
      <c r="I714">
        <v>18</v>
      </c>
      <c r="J714">
        <v>5</v>
      </c>
      <c r="K714">
        <v>3</v>
      </c>
      <c r="L714">
        <v>2</v>
      </c>
      <c r="M714">
        <v>0</v>
      </c>
      <c r="N714">
        <v>2</v>
      </c>
      <c r="P714">
        <f>G714*I714/100</f>
        <v>621.36</v>
      </c>
      <c r="Q714">
        <f t="shared" si="11"/>
        <v>41424</v>
      </c>
      <c r="R714">
        <f>K714/J714</f>
        <v>0.6</v>
      </c>
      <c r="S714">
        <v>2020</v>
      </c>
    </row>
    <row r="715" spans="1:19" x14ac:dyDescent="0.3">
      <c r="A715">
        <v>45</v>
      </c>
      <c r="B715">
        <v>974</v>
      </c>
      <c r="C715" t="s">
        <v>17</v>
      </c>
      <c r="D715" t="s">
        <v>15</v>
      </c>
      <c r="E715">
        <v>91</v>
      </c>
      <c r="F715" t="s">
        <v>20</v>
      </c>
      <c r="G715">
        <v>2270</v>
      </c>
      <c r="H715">
        <v>11005</v>
      </c>
      <c r="I715">
        <v>14</v>
      </c>
      <c r="J715">
        <v>8</v>
      </c>
      <c r="K715">
        <v>5</v>
      </c>
      <c r="L715">
        <v>3</v>
      </c>
      <c r="M715">
        <v>0</v>
      </c>
      <c r="N715">
        <v>2</v>
      </c>
      <c r="P715">
        <f>G715*I715/100</f>
        <v>317.8</v>
      </c>
      <c r="Q715">
        <f t="shared" si="11"/>
        <v>27240</v>
      </c>
      <c r="R715">
        <f>K715/J715</f>
        <v>0.625</v>
      </c>
      <c r="S715">
        <v>2020</v>
      </c>
    </row>
    <row r="716" spans="1:19" x14ac:dyDescent="0.3">
      <c r="A716">
        <v>50</v>
      </c>
      <c r="B716">
        <v>1126</v>
      </c>
      <c r="C716" t="s">
        <v>17</v>
      </c>
      <c r="D716" t="s">
        <v>18</v>
      </c>
      <c r="E716">
        <v>66</v>
      </c>
      <c r="F716" t="s">
        <v>25</v>
      </c>
      <c r="G716">
        <v>17399</v>
      </c>
      <c r="H716">
        <v>6615</v>
      </c>
      <c r="I716">
        <v>22</v>
      </c>
      <c r="J716">
        <v>32</v>
      </c>
      <c r="K716">
        <v>5</v>
      </c>
      <c r="L716">
        <v>4</v>
      </c>
      <c r="M716">
        <v>1</v>
      </c>
      <c r="N716">
        <v>3</v>
      </c>
      <c r="P716">
        <f>G716*I716/100</f>
        <v>3827.78</v>
      </c>
      <c r="Q716">
        <f t="shared" si="11"/>
        <v>208788</v>
      </c>
      <c r="R716">
        <f>K716/J716</f>
        <v>0.15625</v>
      </c>
      <c r="S716">
        <v>2020</v>
      </c>
    </row>
    <row r="717" spans="1:19" x14ac:dyDescent="0.3">
      <c r="A717">
        <v>33</v>
      </c>
      <c r="B717">
        <v>827</v>
      </c>
      <c r="C717" t="s">
        <v>17</v>
      </c>
      <c r="D717" t="s">
        <v>15</v>
      </c>
      <c r="E717">
        <v>84</v>
      </c>
      <c r="F717" t="s">
        <v>22</v>
      </c>
      <c r="G717">
        <v>5488</v>
      </c>
      <c r="H717">
        <v>20161</v>
      </c>
      <c r="I717">
        <v>13</v>
      </c>
      <c r="J717">
        <v>6</v>
      </c>
      <c r="K717">
        <v>6</v>
      </c>
      <c r="L717">
        <v>5</v>
      </c>
      <c r="M717">
        <v>1</v>
      </c>
      <c r="N717">
        <v>2</v>
      </c>
      <c r="P717">
        <f>G717*I717/100</f>
        <v>713.44</v>
      </c>
      <c r="Q717">
        <f t="shared" si="11"/>
        <v>65856</v>
      </c>
      <c r="R717">
        <f>K717/J717</f>
        <v>1</v>
      </c>
      <c r="S717">
        <v>2020</v>
      </c>
    </row>
    <row r="718" spans="1:19" x14ac:dyDescent="0.3">
      <c r="A718">
        <v>41</v>
      </c>
      <c r="B718">
        <v>840</v>
      </c>
      <c r="C718" t="s">
        <v>17</v>
      </c>
      <c r="D718" t="s">
        <v>18</v>
      </c>
      <c r="E718">
        <v>64</v>
      </c>
      <c r="F718" t="s">
        <v>25</v>
      </c>
      <c r="G718">
        <v>19419</v>
      </c>
      <c r="H718">
        <v>3735</v>
      </c>
      <c r="I718">
        <v>17</v>
      </c>
      <c r="J718">
        <v>21</v>
      </c>
      <c r="K718">
        <v>18</v>
      </c>
      <c r="L718">
        <v>16</v>
      </c>
      <c r="M718">
        <v>0</v>
      </c>
      <c r="N718">
        <v>11</v>
      </c>
      <c r="P718">
        <f>G718*I718/100</f>
        <v>3301.23</v>
      </c>
      <c r="Q718">
        <f t="shared" si="11"/>
        <v>233028</v>
      </c>
      <c r="R718">
        <f>K718/J718</f>
        <v>0.8571428571428571</v>
      </c>
      <c r="S718">
        <v>2020</v>
      </c>
    </row>
    <row r="719" spans="1:19" x14ac:dyDescent="0.3">
      <c r="A719">
        <v>27</v>
      </c>
      <c r="B719">
        <v>1134</v>
      </c>
      <c r="C719" t="s">
        <v>17</v>
      </c>
      <c r="D719" t="s">
        <v>15</v>
      </c>
      <c r="E719">
        <v>37</v>
      </c>
      <c r="F719" t="s">
        <v>20</v>
      </c>
      <c r="G719">
        <v>2811</v>
      </c>
      <c r="H719">
        <v>12086</v>
      </c>
      <c r="I719">
        <v>14</v>
      </c>
      <c r="J719">
        <v>4</v>
      </c>
      <c r="K719">
        <v>2</v>
      </c>
      <c r="L719">
        <v>2</v>
      </c>
      <c r="M719">
        <v>2</v>
      </c>
      <c r="N719">
        <v>2</v>
      </c>
      <c r="P719">
        <f>G719*I719/100</f>
        <v>393.54</v>
      </c>
      <c r="Q719">
        <f t="shared" si="11"/>
        <v>33732</v>
      </c>
      <c r="R719">
        <f>K719/J719</f>
        <v>0.5</v>
      </c>
      <c r="S719">
        <v>2020</v>
      </c>
    </row>
    <row r="720" spans="1:19" x14ac:dyDescent="0.3">
      <c r="A720">
        <v>45</v>
      </c>
      <c r="B720">
        <v>248</v>
      </c>
      <c r="C720" t="s">
        <v>17</v>
      </c>
      <c r="D720" t="s">
        <v>18</v>
      </c>
      <c r="E720">
        <v>42</v>
      </c>
      <c r="F720" t="s">
        <v>20</v>
      </c>
      <c r="G720">
        <v>3633</v>
      </c>
      <c r="H720">
        <v>14039</v>
      </c>
      <c r="I720">
        <v>15</v>
      </c>
      <c r="J720">
        <v>9</v>
      </c>
      <c r="K720">
        <v>9</v>
      </c>
      <c r="L720">
        <v>8</v>
      </c>
      <c r="M720">
        <v>0</v>
      </c>
      <c r="N720">
        <v>8</v>
      </c>
      <c r="P720">
        <f>G720*I720/100</f>
        <v>544.95000000000005</v>
      </c>
      <c r="Q720">
        <f t="shared" si="11"/>
        <v>43596</v>
      </c>
      <c r="R720">
        <f>K720/J720</f>
        <v>1</v>
      </c>
      <c r="S720">
        <v>2020</v>
      </c>
    </row>
    <row r="721" spans="1:19" x14ac:dyDescent="0.3">
      <c r="A721">
        <v>47</v>
      </c>
      <c r="B721">
        <v>955</v>
      </c>
      <c r="C721" t="s">
        <v>14</v>
      </c>
      <c r="D721" t="s">
        <v>15</v>
      </c>
      <c r="E721">
        <v>83</v>
      </c>
      <c r="F721" t="s">
        <v>16</v>
      </c>
      <c r="G721">
        <v>4163</v>
      </c>
      <c r="H721">
        <v>8571</v>
      </c>
      <c r="I721">
        <v>17</v>
      </c>
      <c r="J721">
        <v>9</v>
      </c>
      <c r="K721">
        <v>9</v>
      </c>
      <c r="L721">
        <v>0</v>
      </c>
      <c r="M721">
        <v>0</v>
      </c>
      <c r="N721">
        <v>7</v>
      </c>
      <c r="P721">
        <f>G721*I721/100</f>
        <v>707.71</v>
      </c>
      <c r="Q721">
        <f t="shared" si="11"/>
        <v>49956</v>
      </c>
      <c r="R721">
        <f>K721/J721</f>
        <v>1</v>
      </c>
      <c r="S721">
        <v>2020</v>
      </c>
    </row>
    <row r="722" spans="1:19" x14ac:dyDescent="0.3">
      <c r="A722">
        <v>30</v>
      </c>
      <c r="B722">
        <v>138</v>
      </c>
      <c r="C722" t="s">
        <v>17</v>
      </c>
      <c r="D722" t="s">
        <v>15</v>
      </c>
      <c r="E722">
        <v>48</v>
      </c>
      <c r="F722" t="s">
        <v>19</v>
      </c>
      <c r="G722">
        <v>2132</v>
      </c>
      <c r="H722">
        <v>11539</v>
      </c>
      <c r="I722">
        <v>11</v>
      </c>
      <c r="J722">
        <v>7</v>
      </c>
      <c r="K722">
        <v>5</v>
      </c>
      <c r="L722">
        <v>2</v>
      </c>
      <c r="M722">
        <v>0</v>
      </c>
      <c r="N722">
        <v>1</v>
      </c>
      <c r="P722">
        <f>G722*I722/100</f>
        <v>234.52</v>
      </c>
      <c r="Q722">
        <f t="shared" si="11"/>
        <v>25584</v>
      </c>
      <c r="R722">
        <f>K722/J722</f>
        <v>0.7142857142857143</v>
      </c>
      <c r="S722">
        <v>2020</v>
      </c>
    </row>
    <row r="723" spans="1:19" x14ac:dyDescent="0.3">
      <c r="A723">
        <v>50</v>
      </c>
      <c r="B723">
        <v>939</v>
      </c>
      <c r="C723" t="s">
        <v>17</v>
      </c>
      <c r="D723" t="s">
        <v>18</v>
      </c>
      <c r="E723">
        <v>95</v>
      </c>
      <c r="F723" t="s">
        <v>21</v>
      </c>
      <c r="G723">
        <v>13973</v>
      </c>
      <c r="H723">
        <v>4161</v>
      </c>
      <c r="I723">
        <v>18</v>
      </c>
      <c r="J723">
        <v>22</v>
      </c>
      <c r="K723">
        <v>12</v>
      </c>
      <c r="L723">
        <v>11</v>
      </c>
      <c r="M723">
        <v>1</v>
      </c>
      <c r="N723">
        <v>5</v>
      </c>
      <c r="P723">
        <f>G723*I723/100</f>
        <v>2515.14</v>
      </c>
      <c r="Q723">
        <f t="shared" si="11"/>
        <v>167676</v>
      </c>
      <c r="R723">
        <f>K723/J723</f>
        <v>0.54545454545454541</v>
      </c>
      <c r="S723">
        <v>2020</v>
      </c>
    </row>
    <row r="724" spans="1:19" x14ac:dyDescent="0.3">
      <c r="A724">
        <v>38</v>
      </c>
      <c r="B724">
        <v>1391</v>
      </c>
      <c r="C724" t="s">
        <v>17</v>
      </c>
      <c r="D724" t="s">
        <v>18</v>
      </c>
      <c r="E724">
        <v>66</v>
      </c>
      <c r="F724" t="s">
        <v>19</v>
      </c>
      <c r="G724">
        <v>2684</v>
      </c>
      <c r="H724">
        <v>12127</v>
      </c>
      <c r="I724">
        <v>17</v>
      </c>
      <c r="J724">
        <v>3</v>
      </c>
      <c r="K724">
        <v>2</v>
      </c>
      <c r="L724">
        <v>1</v>
      </c>
      <c r="M724">
        <v>0</v>
      </c>
      <c r="N724">
        <v>2</v>
      </c>
      <c r="P724">
        <f>G724*I724/100</f>
        <v>456.28</v>
      </c>
      <c r="Q724">
        <f t="shared" si="11"/>
        <v>32208</v>
      </c>
      <c r="R724">
        <f>K724/J724</f>
        <v>0.66666666666666663</v>
      </c>
      <c r="S724">
        <v>2020</v>
      </c>
    </row>
    <row r="725" spans="1:19" x14ac:dyDescent="0.3">
      <c r="A725">
        <v>46</v>
      </c>
      <c r="B725">
        <v>566</v>
      </c>
      <c r="C725" t="s">
        <v>17</v>
      </c>
      <c r="D725" t="s">
        <v>18</v>
      </c>
      <c r="E725">
        <v>75</v>
      </c>
      <c r="F725" t="s">
        <v>21</v>
      </c>
      <c r="G725">
        <v>10845</v>
      </c>
      <c r="H725">
        <v>24208</v>
      </c>
      <c r="I725">
        <v>13</v>
      </c>
      <c r="J725">
        <v>13</v>
      </c>
      <c r="K725">
        <v>8</v>
      </c>
      <c r="L725">
        <v>7</v>
      </c>
      <c r="M725">
        <v>0</v>
      </c>
      <c r="N725">
        <v>7</v>
      </c>
      <c r="P725">
        <f>G725*I725/100</f>
        <v>1409.85</v>
      </c>
      <c r="Q725">
        <f t="shared" si="11"/>
        <v>130140</v>
      </c>
      <c r="R725">
        <f>K725/J725</f>
        <v>0.61538461538461542</v>
      </c>
      <c r="S725">
        <v>2020</v>
      </c>
    </row>
    <row r="726" spans="1:19" x14ac:dyDescent="0.3">
      <c r="A726">
        <v>24</v>
      </c>
      <c r="B726">
        <v>1206</v>
      </c>
      <c r="C726" t="s">
        <v>17</v>
      </c>
      <c r="D726" t="s">
        <v>15</v>
      </c>
      <c r="E726">
        <v>41</v>
      </c>
      <c r="F726" t="s">
        <v>21</v>
      </c>
      <c r="G726">
        <v>4377</v>
      </c>
      <c r="H726">
        <v>24117</v>
      </c>
      <c r="I726">
        <v>15</v>
      </c>
      <c r="J726">
        <v>5</v>
      </c>
      <c r="K726">
        <v>4</v>
      </c>
      <c r="L726">
        <v>2</v>
      </c>
      <c r="M726">
        <v>3</v>
      </c>
      <c r="N726">
        <v>2</v>
      </c>
      <c r="P726">
        <f>G726*I726/100</f>
        <v>656.55</v>
      </c>
      <c r="Q726">
        <f t="shared" si="11"/>
        <v>52524</v>
      </c>
      <c r="R726">
        <f>K726/J726</f>
        <v>0.8</v>
      </c>
      <c r="S726">
        <v>2020</v>
      </c>
    </row>
    <row r="727" spans="1:19" x14ac:dyDescent="0.3">
      <c r="A727">
        <v>35</v>
      </c>
      <c r="B727">
        <v>622</v>
      </c>
      <c r="C727" t="s">
        <v>17</v>
      </c>
      <c r="D727" t="s">
        <v>18</v>
      </c>
      <c r="E727">
        <v>39</v>
      </c>
      <c r="F727" t="s">
        <v>20</v>
      </c>
      <c r="G727">
        <v>3743</v>
      </c>
      <c r="H727">
        <v>10074</v>
      </c>
      <c r="I727">
        <v>24</v>
      </c>
      <c r="J727">
        <v>5</v>
      </c>
      <c r="K727">
        <v>4</v>
      </c>
      <c r="L727">
        <v>2</v>
      </c>
      <c r="M727">
        <v>0</v>
      </c>
      <c r="N727">
        <v>2</v>
      </c>
      <c r="P727">
        <f>G727*I727/100</f>
        <v>898.32</v>
      </c>
      <c r="Q727">
        <f t="shared" si="11"/>
        <v>44916</v>
      </c>
      <c r="R727">
        <f>K727/J727</f>
        <v>0.8</v>
      </c>
      <c r="S727">
        <v>2020</v>
      </c>
    </row>
    <row r="728" spans="1:19" x14ac:dyDescent="0.3">
      <c r="A728">
        <v>31</v>
      </c>
      <c r="B728">
        <v>853</v>
      </c>
      <c r="C728" t="s">
        <v>17</v>
      </c>
      <c r="D728" t="s">
        <v>15</v>
      </c>
      <c r="E728">
        <v>96</v>
      </c>
      <c r="F728" t="s">
        <v>21</v>
      </c>
      <c r="G728">
        <v>4148</v>
      </c>
      <c r="H728">
        <v>11275</v>
      </c>
      <c r="I728">
        <v>12</v>
      </c>
      <c r="J728">
        <v>4</v>
      </c>
      <c r="K728">
        <v>4</v>
      </c>
      <c r="L728">
        <v>3</v>
      </c>
      <c r="M728">
        <v>0</v>
      </c>
      <c r="N728">
        <v>3</v>
      </c>
      <c r="P728">
        <f>G728*I728/100</f>
        <v>497.76</v>
      </c>
      <c r="Q728">
        <f t="shared" si="11"/>
        <v>49776</v>
      </c>
      <c r="R728">
        <f>K728/J728</f>
        <v>1</v>
      </c>
      <c r="S728">
        <v>2020</v>
      </c>
    </row>
    <row r="729" spans="1:19" x14ac:dyDescent="0.3">
      <c r="A729">
        <v>18</v>
      </c>
      <c r="B729">
        <v>287</v>
      </c>
      <c r="C729" t="s">
        <v>17</v>
      </c>
      <c r="D729" t="s">
        <v>18</v>
      </c>
      <c r="E729">
        <v>73</v>
      </c>
      <c r="F729" t="s">
        <v>19</v>
      </c>
      <c r="G729">
        <v>1051</v>
      </c>
      <c r="H729">
        <v>13493</v>
      </c>
      <c r="I729">
        <v>15</v>
      </c>
      <c r="J729">
        <v>0</v>
      </c>
      <c r="K729">
        <v>0</v>
      </c>
      <c r="L729">
        <v>0</v>
      </c>
      <c r="M729">
        <v>0</v>
      </c>
      <c r="N729">
        <v>0</v>
      </c>
      <c r="P729">
        <f>G729*I729/100</f>
        <v>157.65</v>
      </c>
      <c r="Q729">
        <f t="shared" si="11"/>
        <v>12612</v>
      </c>
      <c r="R729" t="e">
        <f>K729/J729</f>
        <v>#DIV/0!</v>
      </c>
      <c r="S729">
        <v>2020</v>
      </c>
    </row>
    <row r="730" spans="1:19" x14ac:dyDescent="0.3">
      <c r="A730">
        <v>54</v>
      </c>
      <c r="B730">
        <v>1441</v>
      </c>
      <c r="C730" t="s">
        <v>17</v>
      </c>
      <c r="D730" t="s">
        <v>15</v>
      </c>
      <c r="E730">
        <v>56</v>
      </c>
      <c r="F730" t="s">
        <v>21</v>
      </c>
      <c r="G730">
        <v>10739</v>
      </c>
      <c r="H730">
        <v>13943</v>
      </c>
      <c r="I730">
        <v>11</v>
      </c>
      <c r="J730">
        <v>22</v>
      </c>
      <c r="K730">
        <v>10</v>
      </c>
      <c r="L730">
        <v>7</v>
      </c>
      <c r="M730">
        <v>0</v>
      </c>
      <c r="N730">
        <v>8</v>
      </c>
      <c r="P730">
        <f>G730*I730/100</f>
        <v>1181.29</v>
      </c>
      <c r="Q730">
        <f t="shared" si="11"/>
        <v>128868</v>
      </c>
      <c r="R730">
        <f>K730/J730</f>
        <v>0.45454545454545453</v>
      </c>
      <c r="S730">
        <v>2020</v>
      </c>
    </row>
    <row r="731" spans="1:19" x14ac:dyDescent="0.3">
      <c r="A731">
        <v>35</v>
      </c>
      <c r="B731">
        <v>583</v>
      </c>
      <c r="C731" t="s">
        <v>17</v>
      </c>
      <c r="D731" t="s">
        <v>15</v>
      </c>
      <c r="E731">
        <v>57</v>
      </c>
      <c r="F731" t="s">
        <v>22</v>
      </c>
      <c r="G731">
        <v>10388</v>
      </c>
      <c r="H731">
        <v>6975</v>
      </c>
      <c r="I731">
        <v>11</v>
      </c>
      <c r="J731">
        <v>16</v>
      </c>
      <c r="K731">
        <v>16</v>
      </c>
      <c r="L731">
        <v>10</v>
      </c>
      <c r="M731">
        <v>10</v>
      </c>
      <c r="N731">
        <v>1</v>
      </c>
      <c r="P731">
        <f>G731*I731/100</f>
        <v>1142.68</v>
      </c>
      <c r="Q731">
        <f t="shared" si="11"/>
        <v>124656</v>
      </c>
      <c r="R731">
        <f>K731/J731</f>
        <v>1</v>
      </c>
      <c r="S731">
        <v>2020</v>
      </c>
    </row>
    <row r="732" spans="1:19" x14ac:dyDescent="0.3">
      <c r="A732">
        <v>30</v>
      </c>
      <c r="B732">
        <v>153</v>
      </c>
      <c r="C732" t="s">
        <v>17</v>
      </c>
      <c r="D732" t="s">
        <v>15</v>
      </c>
      <c r="E732">
        <v>73</v>
      </c>
      <c r="F732" t="s">
        <v>25</v>
      </c>
      <c r="G732">
        <v>11416</v>
      </c>
      <c r="H732">
        <v>17802</v>
      </c>
      <c r="I732">
        <v>12</v>
      </c>
      <c r="J732">
        <v>9</v>
      </c>
      <c r="K732">
        <v>8</v>
      </c>
      <c r="L732">
        <v>7</v>
      </c>
      <c r="M732">
        <v>1</v>
      </c>
      <c r="N732">
        <v>7</v>
      </c>
      <c r="P732">
        <f>G732*I732/100</f>
        <v>1369.92</v>
      </c>
      <c r="Q732">
        <f t="shared" si="11"/>
        <v>136992</v>
      </c>
      <c r="R732">
        <f>K732/J732</f>
        <v>0.88888888888888884</v>
      </c>
      <c r="S732">
        <v>2020</v>
      </c>
    </row>
    <row r="733" spans="1:19" x14ac:dyDescent="0.3">
      <c r="A733">
        <v>20</v>
      </c>
      <c r="B733">
        <v>1097</v>
      </c>
      <c r="C733" t="s">
        <v>17</v>
      </c>
      <c r="D733" t="s">
        <v>15</v>
      </c>
      <c r="E733">
        <v>98</v>
      </c>
      <c r="F733" t="s">
        <v>19</v>
      </c>
      <c r="G733">
        <v>2600</v>
      </c>
      <c r="H733">
        <v>18275</v>
      </c>
      <c r="I733">
        <v>15</v>
      </c>
      <c r="J733">
        <v>1</v>
      </c>
      <c r="K733">
        <v>1</v>
      </c>
      <c r="L733">
        <v>0</v>
      </c>
      <c r="M733">
        <v>0</v>
      </c>
      <c r="N733">
        <v>0</v>
      </c>
      <c r="P733">
        <f>G733*I733/100</f>
        <v>390</v>
      </c>
      <c r="Q733">
        <f t="shared" si="11"/>
        <v>31200</v>
      </c>
      <c r="R733">
        <f>K733/J733</f>
        <v>1</v>
      </c>
      <c r="S733">
        <v>2020</v>
      </c>
    </row>
    <row r="734" spans="1:19" x14ac:dyDescent="0.3">
      <c r="A734">
        <v>30</v>
      </c>
      <c r="B734">
        <v>109</v>
      </c>
      <c r="C734" t="s">
        <v>17</v>
      </c>
      <c r="D734" t="s">
        <v>15</v>
      </c>
      <c r="E734">
        <v>60</v>
      </c>
      <c r="F734" t="s">
        <v>20</v>
      </c>
      <c r="G734">
        <v>2422</v>
      </c>
      <c r="H734">
        <v>25725</v>
      </c>
      <c r="I734">
        <v>17</v>
      </c>
      <c r="J734">
        <v>4</v>
      </c>
      <c r="K734">
        <v>3</v>
      </c>
      <c r="L734">
        <v>2</v>
      </c>
      <c r="M734">
        <v>1</v>
      </c>
      <c r="N734">
        <v>2</v>
      </c>
      <c r="P734">
        <f>G734*I734/100</f>
        <v>411.74</v>
      </c>
      <c r="Q734">
        <f t="shared" si="11"/>
        <v>29064</v>
      </c>
      <c r="R734">
        <f>K734/J734</f>
        <v>0.75</v>
      </c>
      <c r="S734">
        <v>2020</v>
      </c>
    </row>
    <row r="735" spans="1:19" x14ac:dyDescent="0.3">
      <c r="A735">
        <v>26</v>
      </c>
      <c r="B735">
        <v>1066</v>
      </c>
      <c r="C735" t="s">
        <v>17</v>
      </c>
      <c r="D735" t="s">
        <v>18</v>
      </c>
      <c r="E735">
        <v>32</v>
      </c>
      <c r="F735" t="s">
        <v>21</v>
      </c>
      <c r="G735">
        <v>5472</v>
      </c>
      <c r="H735">
        <v>3334</v>
      </c>
      <c r="I735">
        <v>12</v>
      </c>
      <c r="J735">
        <v>8</v>
      </c>
      <c r="K735">
        <v>8</v>
      </c>
      <c r="L735">
        <v>7</v>
      </c>
      <c r="M735">
        <v>1</v>
      </c>
      <c r="N735">
        <v>3</v>
      </c>
      <c r="P735">
        <f>G735*I735/100</f>
        <v>656.64</v>
      </c>
      <c r="Q735">
        <f t="shared" si="11"/>
        <v>65664</v>
      </c>
      <c r="R735">
        <f>K735/J735</f>
        <v>1</v>
      </c>
      <c r="S735">
        <v>2020</v>
      </c>
    </row>
    <row r="736" spans="1:19" x14ac:dyDescent="0.3">
      <c r="A736">
        <v>22</v>
      </c>
      <c r="B736">
        <v>217</v>
      </c>
      <c r="C736" t="s">
        <v>17</v>
      </c>
      <c r="D736" t="s">
        <v>18</v>
      </c>
      <c r="E736">
        <v>94</v>
      </c>
      <c r="F736" t="s">
        <v>20</v>
      </c>
      <c r="G736">
        <v>2451</v>
      </c>
      <c r="H736">
        <v>6881</v>
      </c>
      <c r="I736">
        <v>15</v>
      </c>
      <c r="J736">
        <v>4</v>
      </c>
      <c r="K736">
        <v>4</v>
      </c>
      <c r="L736">
        <v>3</v>
      </c>
      <c r="M736">
        <v>1</v>
      </c>
      <c r="N736">
        <v>1</v>
      </c>
      <c r="P736">
        <f>G736*I736/100</f>
        <v>367.65</v>
      </c>
      <c r="Q736">
        <f t="shared" si="11"/>
        <v>29412</v>
      </c>
      <c r="R736">
        <f>K736/J736</f>
        <v>1</v>
      </c>
      <c r="S736">
        <v>2020</v>
      </c>
    </row>
    <row r="737" spans="1:19" x14ac:dyDescent="0.3">
      <c r="A737">
        <v>48</v>
      </c>
      <c r="B737">
        <v>277</v>
      </c>
      <c r="C737" t="s">
        <v>17</v>
      </c>
      <c r="D737" t="s">
        <v>18</v>
      </c>
      <c r="E737">
        <v>97</v>
      </c>
      <c r="F737" t="s">
        <v>22</v>
      </c>
      <c r="G737">
        <v>4240</v>
      </c>
      <c r="H737">
        <v>13119</v>
      </c>
      <c r="I737">
        <v>13</v>
      </c>
      <c r="J737">
        <v>19</v>
      </c>
      <c r="K737">
        <v>2</v>
      </c>
      <c r="L737">
        <v>2</v>
      </c>
      <c r="M737">
        <v>2</v>
      </c>
      <c r="N737">
        <v>2</v>
      </c>
      <c r="P737">
        <f>G737*I737/100</f>
        <v>551.20000000000005</v>
      </c>
      <c r="Q737">
        <f t="shared" si="11"/>
        <v>50880</v>
      </c>
      <c r="R737">
        <f>K737/J737</f>
        <v>0.10526315789473684</v>
      </c>
      <c r="S737">
        <v>2020</v>
      </c>
    </row>
    <row r="738" spans="1:19" x14ac:dyDescent="0.3">
      <c r="A738">
        <v>48</v>
      </c>
      <c r="B738">
        <v>1355</v>
      </c>
      <c r="C738" t="s">
        <v>17</v>
      </c>
      <c r="D738" t="s">
        <v>18</v>
      </c>
      <c r="E738">
        <v>78</v>
      </c>
      <c r="F738" t="s">
        <v>22</v>
      </c>
      <c r="G738">
        <v>10999</v>
      </c>
      <c r="H738">
        <v>22245</v>
      </c>
      <c r="I738">
        <v>14</v>
      </c>
      <c r="J738">
        <v>27</v>
      </c>
      <c r="K738">
        <v>15</v>
      </c>
      <c r="L738">
        <v>11</v>
      </c>
      <c r="M738">
        <v>4</v>
      </c>
      <c r="N738">
        <v>8</v>
      </c>
      <c r="P738">
        <f>G738*I738/100</f>
        <v>1539.86</v>
      </c>
      <c r="Q738">
        <f t="shared" si="11"/>
        <v>131988</v>
      </c>
      <c r="R738">
        <f>K738/J738</f>
        <v>0.55555555555555558</v>
      </c>
      <c r="S738">
        <v>2020</v>
      </c>
    </row>
    <row r="739" spans="1:19" x14ac:dyDescent="0.3">
      <c r="A739">
        <v>41</v>
      </c>
      <c r="B739">
        <v>549</v>
      </c>
      <c r="C739" t="s">
        <v>17</v>
      </c>
      <c r="D739" t="s">
        <v>15</v>
      </c>
      <c r="E739">
        <v>42</v>
      </c>
      <c r="F739" t="s">
        <v>21</v>
      </c>
      <c r="G739">
        <v>5003</v>
      </c>
      <c r="H739">
        <v>23371</v>
      </c>
      <c r="I739">
        <v>14</v>
      </c>
      <c r="J739">
        <v>8</v>
      </c>
      <c r="K739">
        <v>2</v>
      </c>
      <c r="L739">
        <v>2</v>
      </c>
      <c r="M739">
        <v>2</v>
      </c>
      <c r="N739">
        <v>1</v>
      </c>
      <c r="P739">
        <f>G739*I739/100</f>
        <v>700.42</v>
      </c>
      <c r="Q739">
        <f t="shared" si="11"/>
        <v>60036</v>
      </c>
      <c r="R739">
        <f>K739/J739</f>
        <v>0.25</v>
      </c>
      <c r="S739">
        <v>2020</v>
      </c>
    </row>
    <row r="740" spans="1:19" x14ac:dyDescent="0.3">
      <c r="A740">
        <v>39</v>
      </c>
      <c r="B740">
        <v>466</v>
      </c>
      <c r="C740" t="s">
        <v>17</v>
      </c>
      <c r="D740" t="s">
        <v>15</v>
      </c>
      <c r="E740">
        <v>65</v>
      </c>
      <c r="F740" t="s">
        <v>21</v>
      </c>
      <c r="G740">
        <v>12742</v>
      </c>
      <c r="H740">
        <v>7060</v>
      </c>
      <c r="I740">
        <v>16</v>
      </c>
      <c r="J740">
        <v>21</v>
      </c>
      <c r="K740">
        <v>21</v>
      </c>
      <c r="L740">
        <v>6</v>
      </c>
      <c r="M740">
        <v>11</v>
      </c>
      <c r="N740">
        <v>8</v>
      </c>
      <c r="P740">
        <f>G740*I740/100</f>
        <v>2038.72</v>
      </c>
      <c r="Q740">
        <f t="shared" si="11"/>
        <v>152904</v>
      </c>
      <c r="R740">
        <f>K740/J740</f>
        <v>1</v>
      </c>
      <c r="S740">
        <v>2020</v>
      </c>
    </row>
    <row r="741" spans="1:19" x14ac:dyDescent="0.3">
      <c r="A741">
        <v>27</v>
      </c>
      <c r="B741">
        <v>1055</v>
      </c>
      <c r="C741" t="s">
        <v>17</v>
      </c>
      <c r="D741" t="s">
        <v>15</v>
      </c>
      <c r="E741">
        <v>47</v>
      </c>
      <c r="F741" t="s">
        <v>21</v>
      </c>
      <c r="G741">
        <v>4227</v>
      </c>
      <c r="H741">
        <v>4658</v>
      </c>
      <c r="I741">
        <v>18</v>
      </c>
      <c r="J741">
        <v>4</v>
      </c>
      <c r="K741">
        <v>3</v>
      </c>
      <c r="L741">
        <v>2</v>
      </c>
      <c r="M741">
        <v>2</v>
      </c>
      <c r="N741">
        <v>2</v>
      </c>
      <c r="P741">
        <f>G741*I741/100</f>
        <v>760.86</v>
      </c>
      <c r="Q741">
        <f t="shared" si="11"/>
        <v>50724</v>
      </c>
      <c r="R741">
        <f>K741/J741</f>
        <v>0.75</v>
      </c>
      <c r="S741">
        <v>2020</v>
      </c>
    </row>
    <row r="742" spans="1:19" x14ac:dyDescent="0.3">
      <c r="A742">
        <v>35</v>
      </c>
      <c r="B742">
        <v>802</v>
      </c>
      <c r="C742" t="s">
        <v>17</v>
      </c>
      <c r="D742" t="s">
        <v>18</v>
      </c>
      <c r="E742">
        <v>45</v>
      </c>
      <c r="F742" t="s">
        <v>20</v>
      </c>
      <c r="G742">
        <v>3917</v>
      </c>
      <c r="H742">
        <v>9541</v>
      </c>
      <c r="I742">
        <v>20</v>
      </c>
      <c r="J742">
        <v>3</v>
      </c>
      <c r="K742">
        <v>3</v>
      </c>
      <c r="L742">
        <v>2</v>
      </c>
      <c r="M742">
        <v>1</v>
      </c>
      <c r="N742">
        <v>2</v>
      </c>
      <c r="P742">
        <f>G742*I742/100</f>
        <v>783.4</v>
      </c>
      <c r="Q742">
        <f t="shared" si="11"/>
        <v>47004</v>
      </c>
      <c r="R742">
        <f>K742/J742</f>
        <v>1</v>
      </c>
      <c r="S742">
        <v>2020</v>
      </c>
    </row>
    <row r="743" spans="1:19" x14ac:dyDescent="0.3">
      <c r="A743">
        <v>42</v>
      </c>
      <c r="B743">
        <v>265</v>
      </c>
      <c r="C743" t="s">
        <v>14</v>
      </c>
      <c r="D743" t="s">
        <v>18</v>
      </c>
      <c r="E743">
        <v>90</v>
      </c>
      <c r="F743" t="s">
        <v>23</v>
      </c>
      <c r="G743">
        <v>18303</v>
      </c>
      <c r="H743">
        <v>7770</v>
      </c>
      <c r="I743">
        <v>13</v>
      </c>
      <c r="J743">
        <v>21</v>
      </c>
      <c r="K743">
        <v>1</v>
      </c>
      <c r="L743">
        <v>0</v>
      </c>
      <c r="M743">
        <v>0</v>
      </c>
      <c r="N743">
        <v>0</v>
      </c>
      <c r="P743">
        <f>G743*I743/100</f>
        <v>2379.39</v>
      </c>
      <c r="Q743">
        <f t="shared" si="11"/>
        <v>219636</v>
      </c>
      <c r="R743">
        <f>K743/J743</f>
        <v>4.7619047619047616E-2</v>
      </c>
      <c r="S743">
        <v>2020</v>
      </c>
    </row>
    <row r="744" spans="1:19" x14ac:dyDescent="0.3">
      <c r="A744">
        <v>50</v>
      </c>
      <c r="B744">
        <v>804</v>
      </c>
      <c r="C744" t="s">
        <v>17</v>
      </c>
      <c r="D744" t="s">
        <v>18</v>
      </c>
      <c r="E744">
        <v>64</v>
      </c>
      <c r="F744" t="s">
        <v>20</v>
      </c>
      <c r="G744">
        <v>2380</v>
      </c>
      <c r="H744">
        <v>20165</v>
      </c>
      <c r="I744">
        <v>18</v>
      </c>
      <c r="J744">
        <v>8</v>
      </c>
      <c r="K744">
        <v>1</v>
      </c>
      <c r="L744">
        <v>0</v>
      </c>
      <c r="M744">
        <v>0</v>
      </c>
      <c r="N744">
        <v>0</v>
      </c>
      <c r="P744">
        <f>G744*I744/100</f>
        <v>428.4</v>
      </c>
      <c r="Q744">
        <f t="shared" si="11"/>
        <v>28560</v>
      </c>
      <c r="R744">
        <f>K744/J744</f>
        <v>0.125</v>
      </c>
      <c r="S744">
        <v>2020</v>
      </c>
    </row>
    <row r="745" spans="1:19" x14ac:dyDescent="0.3">
      <c r="A745">
        <v>59</v>
      </c>
      <c r="B745">
        <v>715</v>
      </c>
      <c r="C745" t="s">
        <v>17</v>
      </c>
      <c r="D745" t="s">
        <v>15</v>
      </c>
      <c r="E745">
        <v>69</v>
      </c>
      <c r="F745" t="s">
        <v>21</v>
      </c>
      <c r="G745">
        <v>13726</v>
      </c>
      <c r="H745">
        <v>21829</v>
      </c>
      <c r="I745">
        <v>13</v>
      </c>
      <c r="J745">
        <v>30</v>
      </c>
      <c r="K745">
        <v>5</v>
      </c>
      <c r="L745">
        <v>3</v>
      </c>
      <c r="M745">
        <v>4</v>
      </c>
      <c r="N745">
        <v>3</v>
      </c>
      <c r="P745">
        <f>G745*I745/100</f>
        <v>1784.38</v>
      </c>
      <c r="Q745">
        <f t="shared" si="11"/>
        <v>164712</v>
      </c>
      <c r="R745">
        <f>K745/J745</f>
        <v>0.16666666666666666</v>
      </c>
      <c r="S745">
        <v>2020</v>
      </c>
    </row>
    <row r="746" spans="1:19" x14ac:dyDescent="0.3">
      <c r="A746">
        <v>37</v>
      </c>
      <c r="B746">
        <v>1141</v>
      </c>
      <c r="C746" t="s">
        <v>17</v>
      </c>
      <c r="D746" t="s">
        <v>15</v>
      </c>
      <c r="E746">
        <v>61</v>
      </c>
      <c r="F746" t="s">
        <v>22</v>
      </c>
      <c r="G746">
        <v>4777</v>
      </c>
      <c r="H746">
        <v>14382</v>
      </c>
      <c r="I746">
        <v>15</v>
      </c>
      <c r="J746">
        <v>15</v>
      </c>
      <c r="K746">
        <v>1</v>
      </c>
      <c r="L746">
        <v>0</v>
      </c>
      <c r="M746">
        <v>0</v>
      </c>
      <c r="N746">
        <v>0</v>
      </c>
      <c r="P746">
        <f>G746*I746/100</f>
        <v>716.55</v>
      </c>
      <c r="Q746">
        <f t="shared" si="11"/>
        <v>57324</v>
      </c>
      <c r="R746">
        <f>K746/J746</f>
        <v>6.6666666666666666E-2</v>
      </c>
      <c r="S746">
        <v>2020</v>
      </c>
    </row>
    <row r="747" spans="1:19" x14ac:dyDescent="0.3">
      <c r="A747">
        <v>55</v>
      </c>
      <c r="B747">
        <v>135</v>
      </c>
      <c r="C747" t="s">
        <v>17</v>
      </c>
      <c r="D747" t="s">
        <v>18</v>
      </c>
      <c r="E747">
        <v>62</v>
      </c>
      <c r="F747" t="s">
        <v>22</v>
      </c>
      <c r="G747">
        <v>6385</v>
      </c>
      <c r="H747">
        <v>12992</v>
      </c>
      <c r="I747">
        <v>14</v>
      </c>
      <c r="J747">
        <v>17</v>
      </c>
      <c r="K747">
        <v>8</v>
      </c>
      <c r="L747">
        <v>7</v>
      </c>
      <c r="M747">
        <v>6</v>
      </c>
      <c r="N747">
        <v>7</v>
      </c>
      <c r="P747">
        <f>G747*I747/100</f>
        <v>893.9</v>
      </c>
      <c r="Q747">
        <f t="shared" si="11"/>
        <v>76620</v>
      </c>
      <c r="R747">
        <f>K747/J747</f>
        <v>0.47058823529411764</v>
      </c>
      <c r="S747">
        <v>2020</v>
      </c>
    </row>
    <row r="748" spans="1:19" x14ac:dyDescent="0.3">
      <c r="A748">
        <v>41</v>
      </c>
      <c r="B748">
        <v>247</v>
      </c>
      <c r="C748" t="s">
        <v>17</v>
      </c>
      <c r="D748" t="s">
        <v>15</v>
      </c>
      <c r="E748">
        <v>55</v>
      </c>
      <c r="F748" t="s">
        <v>25</v>
      </c>
      <c r="G748">
        <v>19973</v>
      </c>
      <c r="H748">
        <v>20284</v>
      </c>
      <c r="I748">
        <v>22</v>
      </c>
      <c r="J748">
        <v>21</v>
      </c>
      <c r="K748">
        <v>21</v>
      </c>
      <c r="L748">
        <v>16</v>
      </c>
      <c r="M748">
        <v>5</v>
      </c>
      <c r="N748">
        <v>10</v>
      </c>
      <c r="P748">
        <f>G748*I748/100</f>
        <v>4394.0600000000004</v>
      </c>
      <c r="Q748">
        <f t="shared" si="11"/>
        <v>239676</v>
      </c>
      <c r="R748">
        <f>K748/J748</f>
        <v>1</v>
      </c>
      <c r="S748">
        <v>2020</v>
      </c>
    </row>
    <row r="749" spans="1:19" x14ac:dyDescent="0.3">
      <c r="A749">
        <v>38</v>
      </c>
      <c r="B749">
        <v>1035</v>
      </c>
      <c r="C749" t="s">
        <v>14</v>
      </c>
      <c r="D749" t="s">
        <v>18</v>
      </c>
      <c r="E749">
        <v>42</v>
      </c>
      <c r="F749" t="s">
        <v>16</v>
      </c>
      <c r="G749">
        <v>6861</v>
      </c>
      <c r="H749">
        <v>4981</v>
      </c>
      <c r="I749">
        <v>12</v>
      </c>
      <c r="J749">
        <v>19</v>
      </c>
      <c r="K749">
        <v>1</v>
      </c>
      <c r="L749">
        <v>0</v>
      </c>
      <c r="M749">
        <v>0</v>
      </c>
      <c r="N749">
        <v>0</v>
      </c>
      <c r="P749">
        <f>G749*I749/100</f>
        <v>823.32</v>
      </c>
      <c r="Q749">
        <f t="shared" si="11"/>
        <v>82332</v>
      </c>
      <c r="R749">
        <f>K749/J749</f>
        <v>5.2631578947368418E-2</v>
      </c>
      <c r="S749">
        <v>2020</v>
      </c>
    </row>
    <row r="750" spans="1:19" x14ac:dyDescent="0.3">
      <c r="A750">
        <v>26</v>
      </c>
      <c r="B750">
        <v>265</v>
      </c>
      <c r="C750" t="s">
        <v>14</v>
      </c>
      <c r="D750" t="s">
        <v>18</v>
      </c>
      <c r="E750">
        <v>79</v>
      </c>
      <c r="F750" t="s">
        <v>16</v>
      </c>
      <c r="G750">
        <v>4969</v>
      </c>
      <c r="H750">
        <v>21813</v>
      </c>
      <c r="I750">
        <v>18</v>
      </c>
      <c r="J750">
        <v>7</v>
      </c>
      <c r="K750">
        <v>2</v>
      </c>
      <c r="L750">
        <v>2</v>
      </c>
      <c r="M750">
        <v>2</v>
      </c>
      <c r="N750">
        <v>2</v>
      </c>
      <c r="P750">
        <f>G750*I750/100</f>
        <v>894.42</v>
      </c>
      <c r="Q750">
        <f t="shared" si="11"/>
        <v>59628</v>
      </c>
      <c r="R750">
        <f>K750/J750</f>
        <v>0.2857142857142857</v>
      </c>
      <c r="S750">
        <v>2020</v>
      </c>
    </row>
    <row r="751" spans="1:19" x14ac:dyDescent="0.3">
      <c r="A751">
        <v>52</v>
      </c>
      <c r="B751">
        <v>266</v>
      </c>
      <c r="C751" t="s">
        <v>14</v>
      </c>
      <c r="D751" t="s">
        <v>15</v>
      </c>
      <c r="E751">
        <v>57</v>
      </c>
      <c r="F751" t="s">
        <v>23</v>
      </c>
      <c r="G751">
        <v>19845</v>
      </c>
      <c r="H751">
        <v>25846</v>
      </c>
      <c r="I751">
        <v>15</v>
      </c>
      <c r="J751">
        <v>33</v>
      </c>
      <c r="K751">
        <v>32</v>
      </c>
      <c r="L751">
        <v>14</v>
      </c>
      <c r="M751">
        <v>6</v>
      </c>
      <c r="N751">
        <v>9</v>
      </c>
      <c r="P751">
        <f>G751*I751/100</f>
        <v>2976.75</v>
      </c>
      <c r="Q751">
        <f t="shared" si="11"/>
        <v>238140</v>
      </c>
      <c r="R751">
        <f>K751/J751</f>
        <v>0.96969696969696972</v>
      </c>
      <c r="S751">
        <v>2020</v>
      </c>
    </row>
    <row r="752" spans="1:19" x14ac:dyDescent="0.3">
      <c r="A752">
        <v>44</v>
      </c>
      <c r="B752">
        <v>1448</v>
      </c>
      <c r="C752" t="s">
        <v>14</v>
      </c>
      <c r="D752" t="s">
        <v>15</v>
      </c>
      <c r="E752">
        <v>53</v>
      </c>
      <c r="F752" t="s">
        <v>16</v>
      </c>
      <c r="G752">
        <v>13320</v>
      </c>
      <c r="H752">
        <v>11737</v>
      </c>
      <c r="I752">
        <v>18</v>
      </c>
      <c r="J752">
        <v>23</v>
      </c>
      <c r="K752">
        <v>12</v>
      </c>
      <c r="L752">
        <v>11</v>
      </c>
      <c r="M752">
        <v>11</v>
      </c>
      <c r="N752">
        <v>11</v>
      </c>
      <c r="P752">
        <f>G752*I752/100</f>
        <v>2397.6</v>
      </c>
      <c r="Q752">
        <f t="shared" si="11"/>
        <v>159840</v>
      </c>
      <c r="R752">
        <f>K752/J752</f>
        <v>0.52173913043478259</v>
      </c>
      <c r="S752">
        <v>2020</v>
      </c>
    </row>
    <row r="753" spans="1:19" x14ac:dyDescent="0.3">
      <c r="A753">
        <v>50</v>
      </c>
      <c r="B753">
        <v>145</v>
      </c>
      <c r="C753" t="s">
        <v>14</v>
      </c>
      <c r="D753" t="s">
        <v>15</v>
      </c>
      <c r="E753">
        <v>95</v>
      </c>
      <c r="F753" t="s">
        <v>16</v>
      </c>
      <c r="G753">
        <v>6347</v>
      </c>
      <c r="H753">
        <v>24920</v>
      </c>
      <c r="I753">
        <v>12</v>
      </c>
      <c r="J753">
        <v>19</v>
      </c>
      <c r="K753">
        <v>18</v>
      </c>
      <c r="L753">
        <v>7</v>
      </c>
      <c r="M753">
        <v>0</v>
      </c>
      <c r="N753">
        <v>13</v>
      </c>
      <c r="P753">
        <f>G753*I753/100</f>
        <v>761.64</v>
      </c>
      <c r="Q753">
        <f t="shared" si="11"/>
        <v>76164</v>
      </c>
      <c r="R753">
        <f>K753/J753</f>
        <v>0.94736842105263153</v>
      </c>
      <c r="S753">
        <v>2020</v>
      </c>
    </row>
    <row r="754" spans="1:19" x14ac:dyDescent="0.3">
      <c r="A754">
        <v>36</v>
      </c>
      <c r="B754">
        <v>885</v>
      </c>
      <c r="C754" t="s">
        <v>17</v>
      </c>
      <c r="D754" t="s">
        <v>15</v>
      </c>
      <c r="E754">
        <v>43</v>
      </c>
      <c r="F754" t="s">
        <v>20</v>
      </c>
      <c r="G754">
        <v>2743</v>
      </c>
      <c r="H754">
        <v>8269</v>
      </c>
      <c r="I754">
        <v>16</v>
      </c>
      <c r="J754">
        <v>18</v>
      </c>
      <c r="K754">
        <v>17</v>
      </c>
      <c r="L754">
        <v>13</v>
      </c>
      <c r="M754">
        <v>15</v>
      </c>
      <c r="N754">
        <v>14</v>
      </c>
      <c r="P754">
        <f>G754*I754/100</f>
        <v>438.88</v>
      </c>
      <c r="Q754">
        <f t="shared" si="11"/>
        <v>32916</v>
      </c>
      <c r="R754">
        <f>K754/J754</f>
        <v>0.94444444444444442</v>
      </c>
      <c r="S754">
        <v>2020</v>
      </c>
    </row>
    <row r="755" spans="1:19" x14ac:dyDescent="0.3">
      <c r="A755">
        <v>39</v>
      </c>
      <c r="B755">
        <v>945</v>
      </c>
      <c r="C755" t="s">
        <v>17</v>
      </c>
      <c r="D755" t="s">
        <v>15</v>
      </c>
      <c r="E755">
        <v>82</v>
      </c>
      <c r="F755" t="s">
        <v>21</v>
      </c>
      <c r="G755">
        <v>10880</v>
      </c>
      <c r="H755">
        <v>5083</v>
      </c>
      <c r="I755">
        <v>13</v>
      </c>
      <c r="J755">
        <v>21</v>
      </c>
      <c r="K755">
        <v>21</v>
      </c>
      <c r="L755">
        <v>6</v>
      </c>
      <c r="M755">
        <v>2</v>
      </c>
      <c r="N755">
        <v>8</v>
      </c>
      <c r="P755">
        <f>G755*I755/100</f>
        <v>1414.4</v>
      </c>
      <c r="Q755">
        <f t="shared" si="11"/>
        <v>130560</v>
      </c>
      <c r="R755">
        <f>K755/J755</f>
        <v>1</v>
      </c>
      <c r="S755">
        <v>2020</v>
      </c>
    </row>
    <row r="756" spans="1:19" x14ac:dyDescent="0.3">
      <c r="A756">
        <v>33</v>
      </c>
      <c r="B756">
        <v>1038</v>
      </c>
      <c r="C756" t="s">
        <v>14</v>
      </c>
      <c r="D756" t="s">
        <v>15</v>
      </c>
      <c r="E756">
        <v>88</v>
      </c>
      <c r="F756" t="s">
        <v>24</v>
      </c>
      <c r="G756">
        <v>2342</v>
      </c>
      <c r="H756">
        <v>21437</v>
      </c>
      <c r="I756">
        <v>19</v>
      </c>
      <c r="J756">
        <v>3</v>
      </c>
      <c r="K756">
        <v>2</v>
      </c>
      <c r="L756">
        <v>2</v>
      </c>
      <c r="M756">
        <v>2</v>
      </c>
      <c r="N756">
        <v>2</v>
      </c>
      <c r="P756">
        <f>G756*I756/100</f>
        <v>444.98</v>
      </c>
      <c r="Q756">
        <f t="shared" si="11"/>
        <v>28104</v>
      </c>
      <c r="R756">
        <f>K756/J756</f>
        <v>0.66666666666666663</v>
      </c>
      <c r="S756">
        <v>2020</v>
      </c>
    </row>
    <row r="757" spans="1:19" x14ac:dyDescent="0.3">
      <c r="A757">
        <v>45</v>
      </c>
      <c r="B757">
        <v>1234</v>
      </c>
      <c r="C757" t="s">
        <v>14</v>
      </c>
      <c r="D757" t="s">
        <v>15</v>
      </c>
      <c r="E757">
        <v>90</v>
      </c>
      <c r="F757" t="s">
        <v>23</v>
      </c>
      <c r="G757">
        <v>17650</v>
      </c>
      <c r="H757">
        <v>5404</v>
      </c>
      <c r="I757">
        <v>13</v>
      </c>
      <c r="J757">
        <v>26</v>
      </c>
      <c r="K757">
        <v>9</v>
      </c>
      <c r="L757">
        <v>3</v>
      </c>
      <c r="M757">
        <v>1</v>
      </c>
      <c r="N757">
        <v>1</v>
      </c>
      <c r="P757">
        <f>G757*I757/100</f>
        <v>2294.5</v>
      </c>
      <c r="Q757">
        <f t="shared" si="11"/>
        <v>211800</v>
      </c>
      <c r="R757">
        <f>K757/J757</f>
        <v>0.34615384615384615</v>
      </c>
      <c r="S757">
        <v>2020</v>
      </c>
    </row>
    <row r="758" spans="1:19" x14ac:dyDescent="0.3">
      <c r="A758">
        <v>32</v>
      </c>
      <c r="B758">
        <v>1109</v>
      </c>
      <c r="C758" t="s">
        <v>17</v>
      </c>
      <c r="D758" t="s">
        <v>15</v>
      </c>
      <c r="E758">
        <v>69</v>
      </c>
      <c r="F758" t="s">
        <v>20</v>
      </c>
      <c r="G758">
        <v>4025</v>
      </c>
      <c r="H758">
        <v>11135</v>
      </c>
      <c r="I758">
        <v>12</v>
      </c>
      <c r="J758">
        <v>10</v>
      </c>
      <c r="K758">
        <v>8</v>
      </c>
      <c r="L758">
        <v>7</v>
      </c>
      <c r="M758">
        <v>7</v>
      </c>
      <c r="N758">
        <v>7</v>
      </c>
      <c r="P758">
        <f>G758*I758/100</f>
        <v>483</v>
      </c>
      <c r="Q758">
        <f t="shared" si="11"/>
        <v>48300</v>
      </c>
      <c r="R758">
        <f>K758/J758</f>
        <v>0.8</v>
      </c>
      <c r="S758">
        <v>2020</v>
      </c>
    </row>
    <row r="759" spans="1:19" x14ac:dyDescent="0.3">
      <c r="A759">
        <v>34</v>
      </c>
      <c r="B759">
        <v>216</v>
      </c>
      <c r="C759" t="s">
        <v>14</v>
      </c>
      <c r="D759" t="s">
        <v>18</v>
      </c>
      <c r="E759">
        <v>75</v>
      </c>
      <c r="F759" t="s">
        <v>16</v>
      </c>
      <c r="G759">
        <v>9725</v>
      </c>
      <c r="H759">
        <v>12278</v>
      </c>
      <c r="I759">
        <v>11</v>
      </c>
      <c r="J759">
        <v>16</v>
      </c>
      <c r="K759">
        <v>15</v>
      </c>
      <c r="L759">
        <v>1</v>
      </c>
      <c r="M759">
        <v>0</v>
      </c>
      <c r="N759">
        <v>9</v>
      </c>
      <c r="P759">
        <f>G759*I759/100</f>
        <v>1069.75</v>
      </c>
      <c r="Q759">
        <f t="shared" si="11"/>
        <v>116700</v>
      </c>
      <c r="R759">
        <f>K759/J759</f>
        <v>0.9375</v>
      </c>
      <c r="S759">
        <v>2020</v>
      </c>
    </row>
    <row r="760" spans="1:19" x14ac:dyDescent="0.3">
      <c r="A760">
        <v>59</v>
      </c>
      <c r="B760">
        <v>1089</v>
      </c>
      <c r="C760" t="s">
        <v>14</v>
      </c>
      <c r="D760" t="s">
        <v>18</v>
      </c>
      <c r="E760">
        <v>66</v>
      </c>
      <c r="F760" t="s">
        <v>23</v>
      </c>
      <c r="G760">
        <v>11904</v>
      </c>
      <c r="H760">
        <v>11038</v>
      </c>
      <c r="I760">
        <v>14</v>
      </c>
      <c r="J760">
        <v>14</v>
      </c>
      <c r="K760">
        <v>6</v>
      </c>
      <c r="L760">
        <v>4</v>
      </c>
      <c r="M760">
        <v>0</v>
      </c>
      <c r="N760">
        <v>4</v>
      </c>
      <c r="P760">
        <f>G760*I760/100</f>
        <v>1666.56</v>
      </c>
      <c r="Q760">
        <f t="shared" si="11"/>
        <v>142848</v>
      </c>
      <c r="R760">
        <f>K760/J760</f>
        <v>0.42857142857142855</v>
      </c>
      <c r="S760">
        <v>2020</v>
      </c>
    </row>
    <row r="761" spans="1:19" x14ac:dyDescent="0.3">
      <c r="A761">
        <v>45</v>
      </c>
      <c r="B761">
        <v>788</v>
      </c>
      <c r="C761" t="s">
        <v>26</v>
      </c>
      <c r="D761" t="s">
        <v>18</v>
      </c>
      <c r="E761">
        <v>36</v>
      </c>
      <c r="F761" t="s">
        <v>26</v>
      </c>
      <c r="G761">
        <v>2177</v>
      </c>
      <c r="H761">
        <v>8318</v>
      </c>
      <c r="I761">
        <v>16</v>
      </c>
      <c r="J761">
        <v>6</v>
      </c>
      <c r="K761">
        <v>6</v>
      </c>
      <c r="L761">
        <v>3</v>
      </c>
      <c r="M761">
        <v>0</v>
      </c>
      <c r="N761">
        <v>4</v>
      </c>
      <c r="P761">
        <f>G761*I761/100</f>
        <v>348.32</v>
      </c>
      <c r="Q761">
        <f t="shared" si="11"/>
        <v>26124</v>
      </c>
      <c r="R761">
        <f>K761/J761</f>
        <v>1</v>
      </c>
      <c r="S761">
        <v>2020</v>
      </c>
    </row>
    <row r="762" spans="1:19" x14ac:dyDescent="0.3">
      <c r="A762">
        <v>53</v>
      </c>
      <c r="B762">
        <v>124</v>
      </c>
      <c r="C762" t="s">
        <v>14</v>
      </c>
      <c r="D762" t="s">
        <v>15</v>
      </c>
      <c r="E762">
        <v>38</v>
      </c>
      <c r="F762" t="s">
        <v>16</v>
      </c>
      <c r="G762">
        <v>7525</v>
      </c>
      <c r="H762">
        <v>23537</v>
      </c>
      <c r="I762">
        <v>12</v>
      </c>
      <c r="J762">
        <v>30</v>
      </c>
      <c r="K762">
        <v>15</v>
      </c>
      <c r="L762">
        <v>7</v>
      </c>
      <c r="M762">
        <v>6</v>
      </c>
      <c r="N762">
        <v>12</v>
      </c>
      <c r="P762">
        <f>G762*I762/100</f>
        <v>903</v>
      </c>
      <c r="Q762">
        <f t="shared" si="11"/>
        <v>90300</v>
      </c>
      <c r="R762">
        <f>K762/J762</f>
        <v>0.5</v>
      </c>
      <c r="S762">
        <v>2020</v>
      </c>
    </row>
    <row r="763" spans="1:19" x14ac:dyDescent="0.3">
      <c r="A763">
        <v>36</v>
      </c>
      <c r="B763">
        <v>660</v>
      </c>
      <c r="C763" t="s">
        <v>17</v>
      </c>
      <c r="D763" t="s">
        <v>18</v>
      </c>
      <c r="E763">
        <v>81</v>
      </c>
      <c r="F763" t="s">
        <v>20</v>
      </c>
      <c r="G763">
        <v>4834</v>
      </c>
      <c r="H763">
        <v>7858</v>
      </c>
      <c r="I763">
        <v>14</v>
      </c>
      <c r="J763">
        <v>9</v>
      </c>
      <c r="K763">
        <v>1</v>
      </c>
      <c r="L763">
        <v>0</v>
      </c>
      <c r="M763">
        <v>0</v>
      </c>
      <c r="N763">
        <v>0</v>
      </c>
      <c r="P763">
        <f>G763*I763/100</f>
        <v>676.76</v>
      </c>
      <c r="Q763">
        <f t="shared" si="11"/>
        <v>58008</v>
      </c>
      <c r="R763">
        <f>K763/J763</f>
        <v>0.1111111111111111</v>
      </c>
      <c r="S763">
        <v>2020</v>
      </c>
    </row>
    <row r="764" spans="1:19" x14ac:dyDescent="0.3">
      <c r="A764">
        <v>26</v>
      </c>
      <c r="B764">
        <v>342</v>
      </c>
      <c r="C764" t="s">
        <v>17</v>
      </c>
      <c r="D764" t="s">
        <v>18</v>
      </c>
      <c r="E764">
        <v>57</v>
      </c>
      <c r="F764" t="s">
        <v>19</v>
      </c>
      <c r="G764">
        <v>2042</v>
      </c>
      <c r="H764">
        <v>15346</v>
      </c>
      <c r="I764">
        <v>14</v>
      </c>
      <c r="J764">
        <v>6</v>
      </c>
      <c r="K764">
        <v>3</v>
      </c>
      <c r="L764">
        <v>2</v>
      </c>
      <c r="M764">
        <v>1</v>
      </c>
      <c r="N764">
        <v>2</v>
      </c>
      <c r="P764">
        <f>G764*I764/100</f>
        <v>285.88</v>
      </c>
      <c r="Q764">
        <f t="shared" si="11"/>
        <v>24504</v>
      </c>
      <c r="R764">
        <f>K764/J764</f>
        <v>0.5</v>
      </c>
      <c r="S764">
        <v>2020</v>
      </c>
    </row>
    <row r="765" spans="1:19" x14ac:dyDescent="0.3">
      <c r="A765">
        <v>34</v>
      </c>
      <c r="B765">
        <v>1333</v>
      </c>
      <c r="C765" t="s">
        <v>14</v>
      </c>
      <c r="D765" t="s">
        <v>15</v>
      </c>
      <c r="E765">
        <v>87</v>
      </c>
      <c r="F765" t="s">
        <v>24</v>
      </c>
      <c r="G765">
        <v>2220</v>
      </c>
      <c r="H765">
        <v>18410</v>
      </c>
      <c r="I765">
        <v>19</v>
      </c>
      <c r="J765">
        <v>1</v>
      </c>
      <c r="K765">
        <v>1</v>
      </c>
      <c r="L765">
        <v>1</v>
      </c>
      <c r="M765">
        <v>0</v>
      </c>
      <c r="N765">
        <v>0</v>
      </c>
      <c r="P765">
        <f>G765*I765/100</f>
        <v>421.8</v>
      </c>
      <c r="Q765">
        <f t="shared" si="11"/>
        <v>26640</v>
      </c>
      <c r="R765">
        <f>K765/J765</f>
        <v>1</v>
      </c>
      <c r="S765">
        <v>2020</v>
      </c>
    </row>
    <row r="766" spans="1:19" x14ac:dyDescent="0.3">
      <c r="A766">
        <v>28</v>
      </c>
      <c r="B766">
        <v>1144</v>
      </c>
      <c r="C766" t="s">
        <v>14</v>
      </c>
      <c r="D766" t="s">
        <v>18</v>
      </c>
      <c r="E766">
        <v>74</v>
      </c>
      <c r="F766" t="s">
        <v>24</v>
      </c>
      <c r="G766">
        <v>1052</v>
      </c>
      <c r="H766">
        <v>23384</v>
      </c>
      <c r="I766">
        <v>22</v>
      </c>
      <c r="J766">
        <v>1</v>
      </c>
      <c r="K766">
        <v>1</v>
      </c>
      <c r="L766">
        <v>0</v>
      </c>
      <c r="M766">
        <v>0</v>
      </c>
      <c r="N766">
        <v>0</v>
      </c>
      <c r="P766">
        <f>G766*I766/100</f>
        <v>231.44</v>
      </c>
      <c r="Q766">
        <f t="shared" si="11"/>
        <v>12624</v>
      </c>
      <c r="R766">
        <f>K766/J766</f>
        <v>1</v>
      </c>
      <c r="S766">
        <v>2020</v>
      </c>
    </row>
    <row r="767" spans="1:19" x14ac:dyDescent="0.3">
      <c r="A767">
        <v>38</v>
      </c>
      <c r="B767">
        <v>1186</v>
      </c>
      <c r="C767" t="s">
        <v>17</v>
      </c>
      <c r="D767" t="s">
        <v>18</v>
      </c>
      <c r="E767">
        <v>44</v>
      </c>
      <c r="F767" t="s">
        <v>19</v>
      </c>
      <c r="G767">
        <v>2821</v>
      </c>
      <c r="H767">
        <v>2997</v>
      </c>
      <c r="I767">
        <v>16</v>
      </c>
      <c r="J767">
        <v>8</v>
      </c>
      <c r="K767">
        <v>2</v>
      </c>
      <c r="L767">
        <v>2</v>
      </c>
      <c r="M767">
        <v>2</v>
      </c>
      <c r="N767">
        <v>2</v>
      </c>
      <c r="P767">
        <f>G767*I767/100</f>
        <v>451.36</v>
      </c>
      <c r="Q767">
        <f t="shared" si="11"/>
        <v>33852</v>
      </c>
      <c r="R767">
        <f>K767/J767</f>
        <v>0.25</v>
      </c>
      <c r="S767">
        <v>2020</v>
      </c>
    </row>
    <row r="768" spans="1:19" x14ac:dyDescent="0.3">
      <c r="A768">
        <v>50</v>
      </c>
      <c r="B768">
        <v>1464</v>
      </c>
      <c r="C768" t="s">
        <v>17</v>
      </c>
      <c r="D768" t="s">
        <v>18</v>
      </c>
      <c r="E768">
        <v>62</v>
      </c>
      <c r="F768" t="s">
        <v>25</v>
      </c>
      <c r="G768">
        <v>19237</v>
      </c>
      <c r="H768">
        <v>12853</v>
      </c>
      <c r="I768">
        <v>11</v>
      </c>
      <c r="J768">
        <v>29</v>
      </c>
      <c r="K768">
        <v>8</v>
      </c>
      <c r="L768">
        <v>1</v>
      </c>
      <c r="M768">
        <v>7</v>
      </c>
      <c r="N768">
        <v>7</v>
      </c>
      <c r="P768">
        <f>G768*I768/100</f>
        <v>2116.0700000000002</v>
      </c>
      <c r="Q768">
        <f t="shared" si="11"/>
        <v>230844</v>
      </c>
      <c r="R768">
        <f>K768/J768</f>
        <v>0.27586206896551724</v>
      </c>
      <c r="S768">
        <v>2020</v>
      </c>
    </row>
    <row r="769" spans="1:19" x14ac:dyDescent="0.3">
      <c r="A769">
        <v>37</v>
      </c>
      <c r="B769">
        <v>124</v>
      </c>
      <c r="C769" t="s">
        <v>17</v>
      </c>
      <c r="D769" t="s">
        <v>15</v>
      </c>
      <c r="E769">
        <v>35</v>
      </c>
      <c r="F769" t="s">
        <v>22</v>
      </c>
      <c r="G769">
        <v>4107</v>
      </c>
      <c r="H769">
        <v>13848</v>
      </c>
      <c r="I769">
        <v>15</v>
      </c>
      <c r="J769">
        <v>8</v>
      </c>
      <c r="K769">
        <v>4</v>
      </c>
      <c r="L769">
        <v>3</v>
      </c>
      <c r="M769">
        <v>0</v>
      </c>
      <c r="N769">
        <v>1</v>
      </c>
      <c r="P769">
        <f>G769*I769/100</f>
        <v>616.04999999999995</v>
      </c>
      <c r="Q769">
        <f t="shared" si="11"/>
        <v>49284</v>
      </c>
      <c r="R769">
        <f>K769/J769</f>
        <v>0.5</v>
      </c>
      <c r="S769">
        <v>2020</v>
      </c>
    </row>
    <row r="770" spans="1:19" x14ac:dyDescent="0.3">
      <c r="A770">
        <v>40</v>
      </c>
      <c r="B770">
        <v>300</v>
      </c>
      <c r="C770" t="s">
        <v>14</v>
      </c>
      <c r="D770" t="s">
        <v>18</v>
      </c>
      <c r="E770">
        <v>74</v>
      </c>
      <c r="F770" t="s">
        <v>16</v>
      </c>
      <c r="G770">
        <v>8396</v>
      </c>
      <c r="H770">
        <v>22217</v>
      </c>
      <c r="I770">
        <v>14</v>
      </c>
      <c r="J770">
        <v>8</v>
      </c>
      <c r="K770">
        <v>7</v>
      </c>
      <c r="L770">
        <v>7</v>
      </c>
      <c r="M770">
        <v>7</v>
      </c>
      <c r="N770">
        <v>5</v>
      </c>
      <c r="P770">
        <f>G770*I770/100</f>
        <v>1175.44</v>
      </c>
      <c r="Q770">
        <f t="shared" si="11"/>
        <v>100752</v>
      </c>
      <c r="R770">
        <f>K770/J770</f>
        <v>0.875</v>
      </c>
      <c r="S770">
        <v>2020</v>
      </c>
    </row>
    <row r="771" spans="1:19" x14ac:dyDescent="0.3">
      <c r="A771">
        <v>26</v>
      </c>
      <c r="B771">
        <v>921</v>
      </c>
      <c r="C771" t="s">
        <v>17</v>
      </c>
      <c r="D771" t="s">
        <v>15</v>
      </c>
      <c r="E771">
        <v>66</v>
      </c>
      <c r="F771" t="s">
        <v>19</v>
      </c>
      <c r="G771">
        <v>2007</v>
      </c>
      <c r="H771">
        <v>25265</v>
      </c>
      <c r="I771">
        <v>13</v>
      </c>
      <c r="J771">
        <v>5</v>
      </c>
      <c r="K771">
        <v>5</v>
      </c>
      <c r="L771">
        <v>3</v>
      </c>
      <c r="M771">
        <v>1</v>
      </c>
      <c r="N771">
        <v>3</v>
      </c>
      <c r="P771">
        <f>G771*I771/100</f>
        <v>260.91000000000003</v>
      </c>
      <c r="Q771">
        <f t="shared" ref="Q771:Q834" si="12">G771*12</f>
        <v>24084</v>
      </c>
      <c r="R771">
        <f>K771/J771</f>
        <v>1</v>
      </c>
      <c r="S771">
        <v>2020</v>
      </c>
    </row>
    <row r="772" spans="1:19" x14ac:dyDescent="0.3">
      <c r="A772">
        <v>46</v>
      </c>
      <c r="B772">
        <v>430</v>
      </c>
      <c r="C772" t="s">
        <v>17</v>
      </c>
      <c r="D772" t="s">
        <v>18</v>
      </c>
      <c r="E772">
        <v>40</v>
      </c>
      <c r="F772" t="s">
        <v>25</v>
      </c>
      <c r="G772">
        <v>19627</v>
      </c>
      <c r="H772">
        <v>21445</v>
      </c>
      <c r="I772">
        <v>17</v>
      </c>
      <c r="J772">
        <v>23</v>
      </c>
      <c r="K772">
        <v>2</v>
      </c>
      <c r="L772">
        <v>2</v>
      </c>
      <c r="M772">
        <v>2</v>
      </c>
      <c r="N772">
        <v>2</v>
      </c>
      <c r="P772">
        <f>G772*I772/100</f>
        <v>3336.59</v>
      </c>
      <c r="Q772">
        <f t="shared" si="12"/>
        <v>235524</v>
      </c>
      <c r="R772">
        <f>K772/J772</f>
        <v>8.6956521739130432E-2</v>
      </c>
      <c r="S772">
        <v>2020</v>
      </c>
    </row>
    <row r="773" spans="1:19" x14ac:dyDescent="0.3">
      <c r="A773">
        <v>54</v>
      </c>
      <c r="B773">
        <v>1082</v>
      </c>
      <c r="C773" t="s">
        <v>14</v>
      </c>
      <c r="D773" t="s">
        <v>15</v>
      </c>
      <c r="E773">
        <v>41</v>
      </c>
      <c r="F773" t="s">
        <v>16</v>
      </c>
      <c r="G773">
        <v>10686</v>
      </c>
      <c r="H773">
        <v>8392</v>
      </c>
      <c r="I773">
        <v>11</v>
      </c>
      <c r="J773">
        <v>13</v>
      </c>
      <c r="K773">
        <v>9</v>
      </c>
      <c r="L773">
        <v>4</v>
      </c>
      <c r="M773">
        <v>7</v>
      </c>
      <c r="N773">
        <v>0</v>
      </c>
      <c r="P773">
        <f>G773*I773/100</f>
        <v>1175.46</v>
      </c>
      <c r="Q773">
        <f t="shared" si="12"/>
        <v>128232</v>
      </c>
      <c r="R773">
        <f>K773/J773</f>
        <v>0.69230769230769229</v>
      </c>
      <c r="S773">
        <v>2020</v>
      </c>
    </row>
    <row r="774" spans="1:19" x14ac:dyDescent="0.3">
      <c r="A774">
        <v>56</v>
      </c>
      <c r="B774">
        <v>1240</v>
      </c>
      <c r="C774" t="s">
        <v>17</v>
      </c>
      <c r="D774" t="s">
        <v>15</v>
      </c>
      <c r="E774">
        <v>63</v>
      </c>
      <c r="F774" t="s">
        <v>19</v>
      </c>
      <c r="G774">
        <v>2942</v>
      </c>
      <c r="H774">
        <v>12154</v>
      </c>
      <c r="I774">
        <v>19</v>
      </c>
      <c r="J774">
        <v>18</v>
      </c>
      <c r="K774">
        <v>5</v>
      </c>
      <c r="L774">
        <v>4</v>
      </c>
      <c r="M774">
        <v>0</v>
      </c>
      <c r="N774">
        <v>3</v>
      </c>
      <c r="P774">
        <f>G774*I774/100</f>
        <v>558.98</v>
      </c>
      <c r="Q774">
        <f t="shared" si="12"/>
        <v>35304</v>
      </c>
      <c r="R774">
        <f>K774/J774</f>
        <v>0.27777777777777779</v>
      </c>
      <c r="S774">
        <v>2020</v>
      </c>
    </row>
    <row r="775" spans="1:19" x14ac:dyDescent="0.3">
      <c r="A775">
        <v>36</v>
      </c>
      <c r="B775">
        <v>796</v>
      </c>
      <c r="C775" t="s">
        <v>17</v>
      </c>
      <c r="D775" t="s">
        <v>15</v>
      </c>
      <c r="E775">
        <v>51</v>
      </c>
      <c r="F775" t="s">
        <v>21</v>
      </c>
      <c r="G775">
        <v>8858</v>
      </c>
      <c r="H775">
        <v>15669</v>
      </c>
      <c r="I775">
        <v>11</v>
      </c>
      <c r="J775">
        <v>15</v>
      </c>
      <c r="K775">
        <v>14</v>
      </c>
      <c r="L775">
        <v>8</v>
      </c>
      <c r="M775">
        <v>7</v>
      </c>
      <c r="N775">
        <v>8</v>
      </c>
      <c r="P775">
        <f>G775*I775/100</f>
        <v>974.38</v>
      </c>
      <c r="Q775">
        <f t="shared" si="12"/>
        <v>106296</v>
      </c>
      <c r="R775">
        <f>K775/J775</f>
        <v>0.93333333333333335</v>
      </c>
      <c r="S775">
        <v>2020</v>
      </c>
    </row>
    <row r="776" spans="1:19" x14ac:dyDescent="0.3">
      <c r="A776">
        <v>55</v>
      </c>
      <c r="B776">
        <v>444</v>
      </c>
      <c r="C776" t="s">
        <v>17</v>
      </c>
      <c r="D776" t="s">
        <v>18</v>
      </c>
      <c r="E776">
        <v>40</v>
      </c>
      <c r="F776" t="s">
        <v>23</v>
      </c>
      <c r="G776">
        <v>16756</v>
      </c>
      <c r="H776">
        <v>17323</v>
      </c>
      <c r="I776">
        <v>15</v>
      </c>
      <c r="J776">
        <v>31</v>
      </c>
      <c r="K776">
        <v>9</v>
      </c>
      <c r="L776">
        <v>7</v>
      </c>
      <c r="M776">
        <v>6</v>
      </c>
      <c r="N776">
        <v>2</v>
      </c>
      <c r="P776">
        <f>G776*I776/100</f>
        <v>2513.4</v>
      </c>
      <c r="Q776">
        <f t="shared" si="12"/>
        <v>201072</v>
      </c>
      <c r="R776">
        <f>K776/J776</f>
        <v>0.29032258064516131</v>
      </c>
      <c r="S776">
        <v>2020</v>
      </c>
    </row>
    <row r="777" spans="1:19" x14ac:dyDescent="0.3">
      <c r="A777">
        <v>43</v>
      </c>
      <c r="B777">
        <v>415</v>
      </c>
      <c r="C777" t="s">
        <v>14</v>
      </c>
      <c r="D777" t="s">
        <v>18</v>
      </c>
      <c r="E777">
        <v>79</v>
      </c>
      <c r="F777" t="s">
        <v>16</v>
      </c>
      <c r="G777">
        <v>10798</v>
      </c>
      <c r="H777">
        <v>5268</v>
      </c>
      <c r="I777">
        <v>13</v>
      </c>
      <c r="J777">
        <v>18</v>
      </c>
      <c r="K777">
        <v>1</v>
      </c>
      <c r="L777">
        <v>0</v>
      </c>
      <c r="M777">
        <v>0</v>
      </c>
      <c r="N777">
        <v>0</v>
      </c>
      <c r="P777">
        <f>G777*I777/100</f>
        <v>1403.74</v>
      </c>
      <c r="Q777">
        <f t="shared" si="12"/>
        <v>129576</v>
      </c>
      <c r="R777">
        <f>K777/J777</f>
        <v>5.5555555555555552E-2</v>
      </c>
      <c r="S777">
        <v>2020</v>
      </c>
    </row>
    <row r="778" spans="1:19" x14ac:dyDescent="0.3">
      <c r="A778">
        <v>20</v>
      </c>
      <c r="B778">
        <v>769</v>
      </c>
      <c r="C778" t="s">
        <v>14</v>
      </c>
      <c r="D778" t="s">
        <v>15</v>
      </c>
      <c r="E778">
        <v>54</v>
      </c>
      <c r="F778" t="s">
        <v>24</v>
      </c>
      <c r="G778">
        <v>2323</v>
      </c>
      <c r="H778">
        <v>17205</v>
      </c>
      <c r="I778">
        <v>14</v>
      </c>
      <c r="J778">
        <v>2</v>
      </c>
      <c r="K778">
        <v>2</v>
      </c>
      <c r="L778">
        <v>2</v>
      </c>
      <c r="M778">
        <v>0</v>
      </c>
      <c r="N778">
        <v>2</v>
      </c>
      <c r="P778">
        <f>G778*I778/100</f>
        <v>325.22000000000003</v>
      </c>
      <c r="Q778">
        <f t="shared" si="12"/>
        <v>27876</v>
      </c>
      <c r="R778">
        <f>K778/J778</f>
        <v>1</v>
      </c>
      <c r="S778">
        <v>2020</v>
      </c>
    </row>
    <row r="779" spans="1:19" x14ac:dyDescent="0.3">
      <c r="A779">
        <v>21</v>
      </c>
      <c r="B779">
        <v>1334</v>
      </c>
      <c r="C779" t="s">
        <v>17</v>
      </c>
      <c r="D779" t="s">
        <v>15</v>
      </c>
      <c r="E779">
        <v>36</v>
      </c>
      <c r="F779" t="s">
        <v>20</v>
      </c>
      <c r="G779">
        <v>1416</v>
      </c>
      <c r="H779">
        <v>17258</v>
      </c>
      <c r="I779">
        <v>13</v>
      </c>
      <c r="J779">
        <v>1</v>
      </c>
      <c r="K779">
        <v>1</v>
      </c>
      <c r="L779">
        <v>0</v>
      </c>
      <c r="M779">
        <v>1</v>
      </c>
      <c r="N779">
        <v>0</v>
      </c>
      <c r="P779">
        <f>G779*I779/100</f>
        <v>184.08</v>
      </c>
      <c r="Q779">
        <f t="shared" si="12"/>
        <v>16992</v>
      </c>
      <c r="R779">
        <f>K779/J779</f>
        <v>1</v>
      </c>
      <c r="S779">
        <v>2020</v>
      </c>
    </row>
    <row r="780" spans="1:19" x14ac:dyDescent="0.3">
      <c r="A780">
        <v>46</v>
      </c>
      <c r="B780">
        <v>1003</v>
      </c>
      <c r="C780" t="s">
        <v>17</v>
      </c>
      <c r="D780" t="s">
        <v>15</v>
      </c>
      <c r="E780">
        <v>74</v>
      </c>
      <c r="F780" t="s">
        <v>19</v>
      </c>
      <c r="G780">
        <v>4615</v>
      </c>
      <c r="H780">
        <v>21029</v>
      </c>
      <c r="I780">
        <v>23</v>
      </c>
      <c r="J780">
        <v>19</v>
      </c>
      <c r="K780">
        <v>16</v>
      </c>
      <c r="L780">
        <v>13</v>
      </c>
      <c r="M780">
        <v>1</v>
      </c>
      <c r="N780">
        <v>7</v>
      </c>
      <c r="P780">
        <f>G780*I780/100</f>
        <v>1061.45</v>
      </c>
      <c r="Q780">
        <f t="shared" si="12"/>
        <v>55380</v>
      </c>
      <c r="R780">
        <f>K780/J780</f>
        <v>0.84210526315789469</v>
      </c>
      <c r="S780">
        <v>2020</v>
      </c>
    </row>
    <row r="781" spans="1:19" x14ac:dyDescent="0.3">
      <c r="A781">
        <v>51</v>
      </c>
      <c r="B781">
        <v>1323</v>
      </c>
      <c r="C781" t="s">
        <v>17</v>
      </c>
      <c r="D781" t="s">
        <v>18</v>
      </c>
      <c r="E781">
        <v>34</v>
      </c>
      <c r="F781" t="s">
        <v>19</v>
      </c>
      <c r="G781">
        <v>2461</v>
      </c>
      <c r="H781">
        <v>10332</v>
      </c>
      <c r="I781">
        <v>12</v>
      </c>
      <c r="J781">
        <v>18</v>
      </c>
      <c r="K781">
        <v>10</v>
      </c>
      <c r="L781">
        <v>0</v>
      </c>
      <c r="M781">
        <v>2</v>
      </c>
      <c r="N781">
        <v>7</v>
      </c>
      <c r="P781">
        <f>G781*I781/100</f>
        <v>295.32</v>
      </c>
      <c r="Q781">
        <f t="shared" si="12"/>
        <v>29532</v>
      </c>
      <c r="R781">
        <f>K781/J781</f>
        <v>0.55555555555555558</v>
      </c>
      <c r="S781">
        <v>2020</v>
      </c>
    </row>
    <row r="782" spans="1:19" x14ac:dyDescent="0.3">
      <c r="A782">
        <v>28</v>
      </c>
      <c r="B782">
        <v>1366</v>
      </c>
      <c r="C782" t="s">
        <v>17</v>
      </c>
      <c r="D782" t="s">
        <v>18</v>
      </c>
      <c r="E782">
        <v>72</v>
      </c>
      <c r="F782" t="s">
        <v>22</v>
      </c>
      <c r="G782">
        <v>8722</v>
      </c>
      <c r="H782">
        <v>12355</v>
      </c>
      <c r="I782">
        <v>12</v>
      </c>
      <c r="J782">
        <v>10</v>
      </c>
      <c r="K782">
        <v>10</v>
      </c>
      <c r="L782">
        <v>7</v>
      </c>
      <c r="M782">
        <v>1</v>
      </c>
      <c r="N782">
        <v>9</v>
      </c>
      <c r="P782">
        <f>G782*I782/100</f>
        <v>1046.6400000000001</v>
      </c>
      <c r="Q782">
        <f t="shared" si="12"/>
        <v>104664</v>
      </c>
      <c r="R782">
        <f>K782/J782</f>
        <v>1</v>
      </c>
      <c r="S782">
        <v>2020</v>
      </c>
    </row>
    <row r="783" spans="1:19" x14ac:dyDescent="0.3">
      <c r="A783">
        <v>26</v>
      </c>
      <c r="B783">
        <v>192</v>
      </c>
      <c r="C783" t="s">
        <v>17</v>
      </c>
      <c r="D783" t="s">
        <v>18</v>
      </c>
      <c r="E783">
        <v>59</v>
      </c>
      <c r="F783" t="s">
        <v>20</v>
      </c>
      <c r="G783">
        <v>3955</v>
      </c>
      <c r="H783">
        <v>11141</v>
      </c>
      <c r="I783">
        <v>16</v>
      </c>
      <c r="J783">
        <v>6</v>
      </c>
      <c r="K783">
        <v>5</v>
      </c>
      <c r="L783">
        <v>3</v>
      </c>
      <c r="M783">
        <v>1</v>
      </c>
      <c r="N783">
        <v>3</v>
      </c>
      <c r="P783">
        <f>G783*I783/100</f>
        <v>632.79999999999995</v>
      </c>
      <c r="Q783">
        <f t="shared" si="12"/>
        <v>47460</v>
      </c>
      <c r="R783">
        <f>K783/J783</f>
        <v>0.83333333333333337</v>
      </c>
      <c r="S783">
        <v>2020</v>
      </c>
    </row>
    <row r="784" spans="1:19" x14ac:dyDescent="0.3">
      <c r="A784">
        <v>30</v>
      </c>
      <c r="B784">
        <v>1176</v>
      </c>
      <c r="C784" t="s">
        <v>17</v>
      </c>
      <c r="D784" t="s">
        <v>18</v>
      </c>
      <c r="E784">
        <v>85</v>
      </c>
      <c r="F784" t="s">
        <v>21</v>
      </c>
      <c r="G784">
        <v>9957</v>
      </c>
      <c r="H784">
        <v>9096</v>
      </c>
      <c r="I784">
        <v>15</v>
      </c>
      <c r="J784">
        <v>7</v>
      </c>
      <c r="K784">
        <v>6</v>
      </c>
      <c r="L784">
        <v>2</v>
      </c>
      <c r="M784">
        <v>0</v>
      </c>
      <c r="N784">
        <v>2</v>
      </c>
      <c r="P784">
        <f>G784*I784/100</f>
        <v>1493.55</v>
      </c>
      <c r="Q784">
        <f t="shared" si="12"/>
        <v>119484</v>
      </c>
      <c r="R784">
        <f>K784/J784</f>
        <v>0.8571428571428571</v>
      </c>
      <c r="S784">
        <v>2020</v>
      </c>
    </row>
    <row r="785" spans="1:19" x14ac:dyDescent="0.3">
      <c r="A785">
        <v>41</v>
      </c>
      <c r="B785">
        <v>509</v>
      </c>
      <c r="C785" t="s">
        <v>17</v>
      </c>
      <c r="D785" t="s">
        <v>15</v>
      </c>
      <c r="E785">
        <v>43</v>
      </c>
      <c r="F785" t="s">
        <v>19</v>
      </c>
      <c r="G785">
        <v>3376</v>
      </c>
      <c r="H785">
        <v>18863</v>
      </c>
      <c r="I785">
        <v>13</v>
      </c>
      <c r="J785">
        <v>10</v>
      </c>
      <c r="K785">
        <v>10</v>
      </c>
      <c r="L785">
        <v>6</v>
      </c>
      <c r="M785">
        <v>0</v>
      </c>
      <c r="N785">
        <v>8</v>
      </c>
      <c r="P785">
        <f>G785*I785/100</f>
        <v>438.88</v>
      </c>
      <c r="Q785">
        <f t="shared" si="12"/>
        <v>40512</v>
      </c>
      <c r="R785">
        <f>K785/J785</f>
        <v>1</v>
      </c>
      <c r="S785">
        <v>2020</v>
      </c>
    </row>
    <row r="786" spans="1:19" x14ac:dyDescent="0.3">
      <c r="A786">
        <v>38</v>
      </c>
      <c r="B786">
        <v>330</v>
      </c>
      <c r="C786" t="s">
        <v>17</v>
      </c>
      <c r="D786" t="s">
        <v>15</v>
      </c>
      <c r="E786">
        <v>65</v>
      </c>
      <c r="F786" t="s">
        <v>22</v>
      </c>
      <c r="G786">
        <v>8823</v>
      </c>
      <c r="H786">
        <v>24608</v>
      </c>
      <c r="I786">
        <v>18</v>
      </c>
      <c r="J786">
        <v>20</v>
      </c>
      <c r="K786">
        <v>19</v>
      </c>
      <c r="L786">
        <v>9</v>
      </c>
      <c r="M786">
        <v>1</v>
      </c>
      <c r="N786">
        <v>9</v>
      </c>
      <c r="P786">
        <f>G786*I786/100</f>
        <v>1588.14</v>
      </c>
      <c r="Q786">
        <f t="shared" si="12"/>
        <v>105876</v>
      </c>
      <c r="R786">
        <f>K786/J786</f>
        <v>0.95</v>
      </c>
      <c r="S786">
        <v>2020</v>
      </c>
    </row>
    <row r="787" spans="1:19" x14ac:dyDescent="0.3">
      <c r="A787">
        <v>40</v>
      </c>
      <c r="B787">
        <v>1492</v>
      </c>
      <c r="C787" t="s">
        <v>17</v>
      </c>
      <c r="D787" t="s">
        <v>18</v>
      </c>
      <c r="E787">
        <v>61</v>
      </c>
      <c r="F787" t="s">
        <v>22</v>
      </c>
      <c r="G787">
        <v>10322</v>
      </c>
      <c r="H787">
        <v>26542</v>
      </c>
      <c r="I787">
        <v>20</v>
      </c>
      <c r="J787">
        <v>14</v>
      </c>
      <c r="K787">
        <v>11</v>
      </c>
      <c r="L787">
        <v>10</v>
      </c>
      <c r="M787">
        <v>11</v>
      </c>
      <c r="N787">
        <v>1</v>
      </c>
      <c r="P787">
        <f>G787*I787/100</f>
        <v>2064.4</v>
      </c>
      <c r="Q787">
        <f t="shared" si="12"/>
        <v>123864</v>
      </c>
      <c r="R787">
        <f>K787/J787</f>
        <v>0.7857142857142857</v>
      </c>
      <c r="S787">
        <v>2020</v>
      </c>
    </row>
    <row r="788" spans="1:19" x14ac:dyDescent="0.3">
      <c r="A788">
        <v>27</v>
      </c>
      <c r="B788">
        <v>1277</v>
      </c>
      <c r="C788" t="s">
        <v>17</v>
      </c>
      <c r="D788" t="s">
        <v>18</v>
      </c>
      <c r="E788">
        <v>87</v>
      </c>
      <c r="F788" t="s">
        <v>20</v>
      </c>
      <c r="G788">
        <v>4621</v>
      </c>
      <c r="H788">
        <v>5869</v>
      </c>
      <c r="I788">
        <v>19</v>
      </c>
      <c r="J788">
        <v>3</v>
      </c>
      <c r="K788">
        <v>3</v>
      </c>
      <c r="L788">
        <v>2</v>
      </c>
      <c r="M788">
        <v>1</v>
      </c>
      <c r="N788">
        <v>2</v>
      </c>
      <c r="P788">
        <f>G788*I788/100</f>
        <v>877.99</v>
      </c>
      <c r="Q788">
        <f t="shared" si="12"/>
        <v>55452</v>
      </c>
      <c r="R788">
        <f>K788/J788</f>
        <v>1</v>
      </c>
      <c r="S788">
        <v>2020</v>
      </c>
    </row>
    <row r="789" spans="1:19" x14ac:dyDescent="0.3">
      <c r="A789">
        <v>55</v>
      </c>
      <c r="B789">
        <v>1091</v>
      </c>
      <c r="C789" t="s">
        <v>17</v>
      </c>
      <c r="D789" t="s">
        <v>18</v>
      </c>
      <c r="E789">
        <v>65</v>
      </c>
      <c r="F789" t="s">
        <v>21</v>
      </c>
      <c r="G789">
        <v>10976</v>
      </c>
      <c r="H789">
        <v>15813</v>
      </c>
      <c r="I789">
        <v>18</v>
      </c>
      <c r="J789">
        <v>23</v>
      </c>
      <c r="K789">
        <v>3</v>
      </c>
      <c r="L789">
        <v>2</v>
      </c>
      <c r="M789">
        <v>1</v>
      </c>
      <c r="N789">
        <v>2</v>
      </c>
      <c r="P789">
        <f>G789*I789/100</f>
        <v>1975.68</v>
      </c>
      <c r="Q789">
        <f t="shared" si="12"/>
        <v>131712</v>
      </c>
      <c r="R789">
        <f>K789/J789</f>
        <v>0.13043478260869565</v>
      </c>
      <c r="S789">
        <v>2020</v>
      </c>
    </row>
    <row r="790" spans="1:19" x14ac:dyDescent="0.3">
      <c r="A790">
        <v>28</v>
      </c>
      <c r="B790">
        <v>857</v>
      </c>
      <c r="C790" t="s">
        <v>17</v>
      </c>
      <c r="D790" t="s">
        <v>15</v>
      </c>
      <c r="E790">
        <v>59</v>
      </c>
      <c r="F790" t="s">
        <v>19</v>
      </c>
      <c r="G790">
        <v>3660</v>
      </c>
      <c r="H790">
        <v>7909</v>
      </c>
      <c r="I790">
        <v>13</v>
      </c>
      <c r="J790">
        <v>10</v>
      </c>
      <c r="K790">
        <v>8</v>
      </c>
      <c r="L790">
        <v>7</v>
      </c>
      <c r="M790">
        <v>1</v>
      </c>
      <c r="N790">
        <v>7</v>
      </c>
      <c r="P790">
        <f>G790*I790/100</f>
        <v>475.8</v>
      </c>
      <c r="Q790">
        <f t="shared" si="12"/>
        <v>43920</v>
      </c>
      <c r="R790">
        <f>K790/J790</f>
        <v>0.8</v>
      </c>
      <c r="S790">
        <v>2020</v>
      </c>
    </row>
    <row r="791" spans="1:19" x14ac:dyDescent="0.3">
      <c r="A791">
        <v>44</v>
      </c>
      <c r="B791">
        <v>1376</v>
      </c>
      <c r="C791" t="s">
        <v>26</v>
      </c>
      <c r="D791" t="s">
        <v>18</v>
      </c>
      <c r="E791">
        <v>91</v>
      </c>
      <c r="F791" t="s">
        <v>26</v>
      </c>
      <c r="G791">
        <v>10482</v>
      </c>
      <c r="H791">
        <v>2326</v>
      </c>
      <c r="I791">
        <v>14</v>
      </c>
      <c r="J791">
        <v>24</v>
      </c>
      <c r="K791">
        <v>20</v>
      </c>
      <c r="L791">
        <v>6</v>
      </c>
      <c r="M791">
        <v>3</v>
      </c>
      <c r="N791">
        <v>6</v>
      </c>
      <c r="P791">
        <f>G791*I791/100</f>
        <v>1467.48</v>
      </c>
      <c r="Q791">
        <f t="shared" si="12"/>
        <v>125784</v>
      </c>
      <c r="R791">
        <f>K791/J791</f>
        <v>0.83333333333333337</v>
      </c>
      <c r="S791">
        <v>2020</v>
      </c>
    </row>
    <row r="792" spans="1:19" x14ac:dyDescent="0.3">
      <c r="A792">
        <v>33</v>
      </c>
      <c r="B792">
        <v>654</v>
      </c>
      <c r="C792" t="s">
        <v>17</v>
      </c>
      <c r="D792" t="s">
        <v>18</v>
      </c>
      <c r="E792">
        <v>34</v>
      </c>
      <c r="F792" t="s">
        <v>22</v>
      </c>
      <c r="G792">
        <v>7119</v>
      </c>
      <c r="H792">
        <v>21214</v>
      </c>
      <c r="I792">
        <v>15</v>
      </c>
      <c r="J792">
        <v>9</v>
      </c>
      <c r="K792">
        <v>3</v>
      </c>
      <c r="L792">
        <v>2</v>
      </c>
      <c r="M792">
        <v>1</v>
      </c>
      <c r="N792">
        <v>2</v>
      </c>
      <c r="P792">
        <f>G792*I792/100</f>
        <v>1067.8499999999999</v>
      </c>
      <c r="Q792">
        <f t="shared" si="12"/>
        <v>85428</v>
      </c>
      <c r="R792">
        <f>K792/J792</f>
        <v>0.33333333333333331</v>
      </c>
      <c r="S792">
        <v>2020</v>
      </c>
    </row>
    <row r="793" spans="1:19" x14ac:dyDescent="0.3">
      <c r="A793">
        <v>35</v>
      </c>
      <c r="B793">
        <v>1204</v>
      </c>
      <c r="C793" t="s">
        <v>14</v>
      </c>
      <c r="D793" t="s">
        <v>18</v>
      </c>
      <c r="E793">
        <v>86</v>
      </c>
      <c r="F793" t="s">
        <v>16</v>
      </c>
      <c r="G793">
        <v>9582</v>
      </c>
      <c r="H793">
        <v>10333</v>
      </c>
      <c r="I793">
        <v>22</v>
      </c>
      <c r="J793">
        <v>9</v>
      </c>
      <c r="K793">
        <v>8</v>
      </c>
      <c r="L793">
        <v>7</v>
      </c>
      <c r="M793">
        <v>4</v>
      </c>
      <c r="N793">
        <v>7</v>
      </c>
      <c r="P793">
        <f>G793*I793/100</f>
        <v>2108.04</v>
      </c>
      <c r="Q793">
        <f t="shared" si="12"/>
        <v>114984</v>
      </c>
      <c r="R793">
        <f>K793/J793</f>
        <v>0.88888888888888884</v>
      </c>
      <c r="S793">
        <v>2020</v>
      </c>
    </row>
    <row r="794" spans="1:19" x14ac:dyDescent="0.3">
      <c r="A794">
        <v>33</v>
      </c>
      <c r="B794">
        <v>827</v>
      </c>
      <c r="C794" t="s">
        <v>17</v>
      </c>
      <c r="D794" t="s">
        <v>15</v>
      </c>
      <c r="E794">
        <v>54</v>
      </c>
      <c r="F794" t="s">
        <v>19</v>
      </c>
      <c r="G794">
        <v>4508</v>
      </c>
      <c r="H794">
        <v>3129</v>
      </c>
      <c r="I794">
        <v>22</v>
      </c>
      <c r="J794">
        <v>14</v>
      </c>
      <c r="K794">
        <v>13</v>
      </c>
      <c r="L794">
        <v>7</v>
      </c>
      <c r="M794">
        <v>3</v>
      </c>
      <c r="N794">
        <v>8</v>
      </c>
      <c r="P794">
        <f>G794*I794/100</f>
        <v>991.76</v>
      </c>
      <c r="Q794">
        <f t="shared" si="12"/>
        <v>54096</v>
      </c>
      <c r="R794">
        <f>K794/J794</f>
        <v>0.9285714285714286</v>
      </c>
      <c r="S794">
        <v>2020</v>
      </c>
    </row>
    <row r="795" spans="1:19" x14ac:dyDescent="0.3">
      <c r="A795">
        <v>28</v>
      </c>
      <c r="B795">
        <v>895</v>
      </c>
      <c r="C795" t="s">
        <v>17</v>
      </c>
      <c r="D795" t="s">
        <v>18</v>
      </c>
      <c r="E795">
        <v>50</v>
      </c>
      <c r="F795" t="s">
        <v>20</v>
      </c>
      <c r="G795">
        <v>2207</v>
      </c>
      <c r="H795">
        <v>22482</v>
      </c>
      <c r="I795">
        <v>16</v>
      </c>
      <c r="J795">
        <v>4</v>
      </c>
      <c r="K795">
        <v>4</v>
      </c>
      <c r="L795">
        <v>2</v>
      </c>
      <c r="M795">
        <v>2</v>
      </c>
      <c r="N795">
        <v>2</v>
      </c>
      <c r="P795">
        <f>G795*I795/100</f>
        <v>353.12</v>
      </c>
      <c r="Q795">
        <f t="shared" si="12"/>
        <v>26484</v>
      </c>
      <c r="R795">
        <f>K795/J795</f>
        <v>1</v>
      </c>
      <c r="S795">
        <v>2020</v>
      </c>
    </row>
    <row r="796" spans="1:19" x14ac:dyDescent="0.3">
      <c r="A796">
        <v>34</v>
      </c>
      <c r="B796">
        <v>618</v>
      </c>
      <c r="C796" t="s">
        <v>17</v>
      </c>
      <c r="D796" t="s">
        <v>18</v>
      </c>
      <c r="E796">
        <v>45</v>
      </c>
      <c r="F796" t="s">
        <v>22</v>
      </c>
      <c r="G796">
        <v>7756</v>
      </c>
      <c r="H796">
        <v>22266</v>
      </c>
      <c r="I796">
        <v>17</v>
      </c>
      <c r="J796">
        <v>7</v>
      </c>
      <c r="K796">
        <v>6</v>
      </c>
      <c r="L796">
        <v>2</v>
      </c>
      <c r="M796">
        <v>0</v>
      </c>
      <c r="N796">
        <v>4</v>
      </c>
      <c r="P796">
        <f>G796*I796/100</f>
        <v>1318.52</v>
      </c>
      <c r="Q796">
        <f t="shared" si="12"/>
        <v>93072</v>
      </c>
      <c r="R796">
        <f>K796/J796</f>
        <v>0.8571428571428571</v>
      </c>
      <c r="S796">
        <v>2020</v>
      </c>
    </row>
    <row r="797" spans="1:19" x14ac:dyDescent="0.3">
      <c r="A797">
        <v>37</v>
      </c>
      <c r="B797">
        <v>309</v>
      </c>
      <c r="C797" t="s">
        <v>14</v>
      </c>
      <c r="D797" t="s">
        <v>15</v>
      </c>
      <c r="E797">
        <v>88</v>
      </c>
      <c r="F797" t="s">
        <v>16</v>
      </c>
      <c r="G797">
        <v>6694</v>
      </c>
      <c r="H797">
        <v>24223</v>
      </c>
      <c r="I797">
        <v>14</v>
      </c>
      <c r="J797">
        <v>8</v>
      </c>
      <c r="K797">
        <v>1</v>
      </c>
      <c r="L797">
        <v>0</v>
      </c>
      <c r="M797">
        <v>0</v>
      </c>
      <c r="N797">
        <v>0</v>
      </c>
      <c r="P797">
        <f>G797*I797/100</f>
        <v>937.16</v>
      </c>
      <c r="Q797">
        <f t="shared" si="12"/>
        <v>80328</v>
      </c>
      <c r="R797">
        <f>K797/J797</f>
        <v>0.125</v>
      </c>
      <c r="S797">
        <v>2020</v>
      </c>
    </row>
    <row r="798" spans="1:19" x14ac:dyDescent="0.3">
      <c r="A798">
        <v>25</v>
      </c>
      <c r="B798">
        <v>1219</v>
      </c>
      <c r="C798" t="s">
        <v>17</v>
      </c>
      <c r="D798" t="s">
        <v>18</v>
      </c>
      <c r="E798">
        <v>32</v>
      </c>
      <c r="F798" t="s">
        <v>20</v>
      </c>
      <c r="G798">
        <v>3691</v>
      </c>
      <c r="H798">
        <v>4605</v>
      </c>
      <c r="I798">
        <v>15</v>
      </c>
      <c r="J798">
        <v>7</v>
      </c>
      <c r="K798">
        <v>7</v>
      </c>
      <c r="L798">
        <v>7</v>
      </c>
      <c r="M798">
        <v>5</v>
      </c>
      <c r="N798">
        <v>6</v>
      </c>
      <c r="P798">
        <f>G798*I798/100</f>
        <v>553.65</v>
      </c>
      <c r="Q798">
        <f t="shared" si="12"/>
        <v>44292</v>
      </c>
      <c r="R798">
        <f>K798/J798</f>
        <v>1</v>
      </c>
      <c r="S798">
        <v>2020</v>
      </c>
    </row>
    <row r="799" spans="1:19" x14ac:dyDescent="0.3">
      <c r="A799">
        <v>26</v>
      </c>
      <c r="B799">
        <v>1330</v>
      </c>
      <c r="C799" t="s">
        <v>17</v>
      </c>
      <c r="D799" t="s">
        <v>18</v>
      </c>
      <c r="E799">
        <v>37</v>
      </c>
      <c r="F799" t="s">
        <v>20</v>
      </c>
      <c r="G799">
        <v>2377</v>
      </c>
      <c r="H799">
        <v>19373</v>
      </c>
      <c r="I799">
        <v>20</v>
      </c>
      <c r="J799">
        <v>1</v>
      </c>
      <c r="K799">
        <v>1</v>
      </c>
      <c r="L799">
        <v>1</v>
      </c>
      <c r="M799">
        <v>0</v>
      </c>
      <c r="N799">
        <v>0</v>
      </c>
      <c r="P799">
        <f>G799*I799/100</f>
        <v>475.4</v>
      </c>
      <c r="Q799">
        <f t="shared" si="12"/>
        <v>28524</v>
      </c>
      <c r="R799">
        <f>K799/J799</f>
        <v>1</v>
      </c>
      <c r="S799">
        <v>2020</v>
      </c>
    </row>
    <row r="800" spans="1:19" x14ac:dyDescent="0.3">
      <c r="A800">
        <v>33</v>
      </c>
      <c r="B800">
        <v>1017</v>
      </c>
      <c r="C800" t="s">
        <v>17</v>
      </c>
      <c r="D800" t="s">
        <v>18</v>
      </c>
      <c r="E800">
        <v>55</v>
      </c>
      <c r="F800" t="s">
        <v>19</v>
      </c>
      <c r="G800">
        <v>2313</v>
      </c>
      <c r="H800">
        <v>2993</v>
      </c>
      <c r="I800">
        <v>20</v>
      </c>
      <c r="J800">
        <v>5</v>
      </c>
      <c r="K800">
        <v>2</v>
      </c>
      <c r="L800">
        <v>2</v>
      </c>
      <c r="M800">
        <v>2</v>
      </c>
      <c r="N800">
        <v>2</v>
      </c>
      <c r="P800">
        <f>G800*I800/100</f>
        <v>462.6</v>
      </c>
      <c r="Q800">
        <f t="shared" si="12"/>
        <v>27756</v>
      </c>
      <c r="R800">
        <f>K800/J800</f>
        <v>0.4</v>
      </c>
      <c r="S800">
        <v>2020</v>
      </c>
    </row>
    <row r="801" spans="1:19" x14ac:dyDescent="0.3">
      <c r="A801">
        <v>42</v>
      </c>
      <c r="B801">
        <v>469</v>
      </c>
      <c r="C801" t="s">
        <v>17</v>
      </c>
      <c r="D801" t="s">
        <v>18</v>
      </c>
      <c r="E801">
        <v>35</v>
      </c>
      <c r="F801" t="s">
        <v>23</v>
      </c>
      <c r="G801">
        <v>17665</v>
      </c>
      <c r="H801">
        <v>14399</v>
      </c>
      <c r="I801">
        <v>17</v>
      </c>
      <c r="J801">
        <v>23</v>
      </c>
      <c r="K801">
        <v>22</v>
      </c>
      <c r="L801">
        <v>6</v>
      </c>
      <c r="M801">
        <v>13</v>
      </c>
      <c r="N801">
        <v>7</v>
      </c>
      <c r="P801">
        <f>G801*I801/100</f>
        <v>3003.05</v>
      </c>
      <c r="Q801">
        <f t="shared" si="12"/>
        <v>211980</v>
      </c>
      <c r="R801">
        <f>K801/J801</f>
        <v>0.95652173913043481</v>
      </c>
      <c r="S801">
        <v>2020</v>
      </c>
    </row>
    <row r="802" spans="1:19" x14ac:dyDescent="0.3">
      <c r="A802">
        <v>28</v>
      </c>
      <c r="B802">
        <v>1009</v>
      </c>
      <c r="C802" t="s">
        <v>17</v>
      </c>
      <c r="D802" t="s">
        <v>18</v>
      </c>
      <c r="E802">
        <v>45</v>
      </c>
      <c r="F802" t="s">
        <v>20</v>
      </c>
      <c r="G802">
        <v>2596</v>
      </c>
      <c r="H802">
        <v>7160</v>
      </c>
      <c r="I802">
        <v>15</v>
      </c>
      <c r="J802">
        <v>1</v>
      </c>
      <c r="K802">
        <v>1</v>
      </c>
      <c r="L802">
        <v>0</v>
      </c>
      <c r="M802">
        <v>0</v>
      </c>
      <c r="N802">
        <v>0</v>
      </c>
      <c r="P802">
        <f>G802*I802/100</f>
        <v>389.4</v>
      </c>
      <c r="Q802">
        <f t="shared" si="12"/>
        <v>31152</v>
      </c>
      <c r="R802">
        <f>K802/J802</f>
        <v>1</v>
      </c>
      <c r="S802">
        <v>2020</v>
      </c>
    </row>
    <row r="803" spans="1:19" x14ac:dyDescent="0.3">
      <c r="A803">
        <v>50</v>
      </c>
      <c r="B803">
        <v>959</v>
      </c>
      <c r="C803" t="s">
        <v>14</v>
      </c>
      <c r="D803" t="s">
        <v>18</v>
      </c>
      <c r="E803">
        <v>81</v>
      </c>
      <c r="F803" t="s">
        <v>16</v>
      </c>
      <c r="G803">
        <v>4728</v>
      </c>
      <c r="H803">
        <v>17251</v>
      </c>
      <c r="I803">
        <v>14</v>
      </c>
      <c r="J803">
        <v>5</v>
      </c>
      <c r="K803">
        <v>0</v>
      </c>
      <c r="L803">
        <v>0</v>
      </c>
      <c r="M803">
        <v>0</v>
      </c>
      <c r="N803">
        <v>0</v>
      </c>
      <c r="P803">
        <f>G803*I803/100</f>
        <v>661.92</v>
      </c>
      <c r="Q803">
        <f t="shared" si="12"/>
        <v>56736</v>
      </c>
      <c r="R803">
        <f>K803/J803</f>
        <v>0</v>
      </c>
      <c r="S803">
        <v>2020</v>
      </c>
    </row>
    <row r="804" spans="1:19" x14ac:dyDescent="0.3">
      <c r="A804">
        <v>33</v>
      </c>
      <c r="B804">
        <v>970</v>
      </c>
      <c r="C804" t="s">
        <v>14</v>
      </c>
      <c r="D804" t="s">
        <v>15</v>
      </c>
      <c r="E804">
        <v>30</v>
      </c>
      <c r="F804" t="s">
        <v>16</v>
      </c>
      <c r="G804">
        <v>4302</v>
      </c>
      <c r="H804">
        <v>13401</v>
      </c>
      <c r="I804">
        <v>17</v>
      </c>
      <c r="J804">
        <v>4</v>
      </c>
      <c r="K804">
        <v>3</v>
      </c>
      <c r="L804">
        <v>2</v>
      </c>
      <c r="M804">
        <v>0</v>
      </c>
      <c r="N804">
        <v>2</v>
      </c>
      <c r="P804">
        <f>G804*I804/100</f>
        <v>731.34</v>
      </c>
      <c r="Q804">
        <f t="shared" si="12"/>
        <v>51624</v>
      </c>
      <c r="R804">
        <f>K804/J804</f>
        <v>0.75</v>
      </c>
      <c r="S804">
        <v>2020</v>
      </c>
    </row>
    <row r="805" spans="1:19" x14ac:dyDescent="0.3">
      <c r="A805">
        <v>34</v>
      </c>
      <c r="B805">
        <v>697</v>
      </c>
      <c r="C805" t="s">
        <v>17</v>
      </c>
      <c r="D805" t="s">
        <v>18</v>
      </c>
      <c r="E805">
        <v>40</v>
      </c>
      <c r="F805" t="s">
        <v>19</v>
      </c>
      <c r="G805">
        <v>2979</v>
      </c>
      <c r="H805">
        <v>22478</v>
      </c>
      <c r="I805">
        <v>17</v>
      </c>
      <c r="J805">
        <v>6</v>
      </c>
      <c r="K805">
        <v>0</v>
      </c>
      <c r="L805">
        <v>0</v>
      </c>
      <c r="M805">
        <v>0</v>
      </c>
      <c r="N805">
        <v>0</v>
      </c>
      <c r="P805">
        <f>G805*I805/100</f>
        <v>506.43</v>
      </c>
      <c r="Q805">
        <f t="shared" si="12"/>
        <v>35748</v>
      </c>
      <c r="R805">
        <f>K805/J805</f>
        <v>0</v>
      </c>
      <c r="S805">
        <v>2020</v>
      </c>
    </row>
    <row r="806" spans="1:19" x14ac:dyDescent="0.3">
      <c r="A806">
        <v>48</v>
      </c>
      <c r="B806">
        <v>1262</v>
      </c>
      <c r="C806" t="s">
        <v>17</v>
      </c>
      <c r="D806" t="s">
        <v>18</v>
      </c>
      <c r="E806">
        <v>35</v>
      </c>
      <c r="F806" t="s">
        <v>23</v>
      </c>
      <c r="G806">
        <v>16885</v>
      </c>
      <c r="H806">
        <v>16154</v>
      </c>
      <c r="I806">
        <v>22</v>
      </c>
      <c r="J806">
        <v>27</v>
      </c>
      <c r="K806">
        <v>5</v>
      </c>
      <c r="L806">
        <v>4</v>
      </c>
      <c r="M806">
        <v>2</v>
      </c>
      <c r="N806">
        <v>1</v>
      </c>
      <c r="P806">
        <f>G806*I806/100</f>
        <v>3714.7</v>
      </c>
      <c r="Q806">
        <f t="shared" si="12"/>
        <v>202620</v>
      </c>
      <c r="R806">
        <f>K806/J806</f>
        <v>0.18518518518518517</v>
      </c>
      <c r="S806">
        <v>2020</v>
      </c>
    </row>
    <row r="807" spans="1:19" x14ac:dyDescent="0.3">
      <c r="A807">
        <v>45</v>
      </c>
      <c r="B807">
        <v>1050</v>
      </c>
      <c r="C807" t="s">
        <v>14</v>
      </c>
      <c r="D807" t="s">
        <v>15</v>
      </c>
      <c r="E807">
        <v>65</v>
      </c>
      <c r="F807" t="s">
        <v>16</v>
      </c>
      <c r="G807">
        <v>5593</v>
      </c>
      <c r="H807">
        <v>17970</v>
      </c>
      <c r="I807">
        <v>13</v>
      </c>
      <c r="J807">
        <v>15</v>
      </c>
      <c r="K807">
        <v>15</v>
      </c>
      <c r="L807">
        <v>10</v>
      </c>
      <c r="M807">
        <v>4</v>
      </c>
      <c r="N807">
        <v>12</v>
      </c>
      <c r="P807">
        <f>G807*I807/100</f>
        <v>727.09</v>
      </c>
      <c r="Q807">
        <f t="shared" si="12"/>
        <v>67116</v>
      </c>
      <c r="R807">
        <f>K807/J807</f>
        <v>1</v>
      </c>
      <c r="S807">
        <v>2020</v>
      </c>
    </row>
    <row r="808" spans="1:19" x14ac:dyDescent="0.3">
      <c r="A808">
        <v>52</v>
      </c>
      <c r="B808">
        <v>994</v>
      </c>
      <c r="C808" t="s">
        <v>17</v>
      </c>
      <c r="D808" t="s">
        <v>18</v>
      </c>
      <c r="E808">
        <v>87</v>
      </c>
      <c r="F808" t="s">
        <v>22</v>
      </c>
      <c r="G808">
        <v>10445</v>
      </c>
      <c r="H808">
        <v>15322</v>
      </c>
      <c r="I808">
        <v>19</v>
      </c>
      <c r="J808">
        <v>18</v>
      </c>
      <c r="K808">
        <v>8</v>
      </c>
      <c r="L808">
        <v>6</v>
      </c>
      <c r="M808">
        <v>4</v>
      </c>
      <c r="N808">
        <v>0</v>
      </c>
      <c r="P808">
        <f>G808*I808/100</f>
        <v>1984.55</v>
      </c>
      <c r="Q808">
        <f t="shared" si="12"/>
        <v>125340</v>
      </c>
      <c r="R808">
        <f>K808/J808</f>
        <v>0.44444444444444442</v>
      </c>
      <c r="S808">
        <v>2020</v>
      </c>
    </row>
    <row r="809" spans="1:19" x14ac:dyDescent="0.3">
      <c r="A809">
        <v>38</v>
      </c>
      <c r="B809">
        <v>770</v>
      </c>
      <c r="C809" t="s">
        <v>14</v>
      </c>
      <c r="D809" t="s">
        <v>18</v>
      </c>
      <c r="E809">
        <v>73</v>
      </c>
      <c r="F809" t="s">
        <v>16</v>
      </c>
      <c r="G809">
        <v>8740</v>
      </c>
      <c r="H809">
        <v>5569</v>
      </c>
      <c r="I809">
        <v>14</v>
      </c>
      <c r="J809">
        <v>9</v>
      </c>
      <c r="K809">
        <v>8</v>
      </c>
      <c r="L809">
        <v>7</v>
      </c>
      <c r="M809">
        <v>2</v>
      </c>
      <c r="N809">
        <v>7</v>
      </c>
      <c r="P809">
        <f>G809*I809/100</f>
        <v>1223.5999999999999</v>
      </c>
      <c r="Q809">
        <f t="shared" si="12"/>
        <v>104880</v>
      </c>
      <c r="R809">
        <f>K809/J809</f>
        <v>0.88888888888888884</v>
      </c>
      <c r="S809">
        <v>2020</v>
      </c>
    </row>
    <row r="810" spans="1:19" x14ac:dyDescent="0.3">
      <c r="A810">
        <v>29</v>
      </c>
      <c r="B810">
        <v>1107</v>
      </c>
      <c r="C810" t="s">
        <v>17</v>
      </c>
      <c r="D810" t="s">
        <v>15</v>
      </c>
      <c r="E810">
        <v>93</v>
      </c>
      <c r="F810" t="s">
        <v>19</v>
      </c>
      <c r="G810">
        <v>2514</v>
      </c>
      <c r="H810">
        <v>26968</v>
      </c>
      <c r="I810">
        <v>22</v>
      </c>
      <c r="J810">
        <v>11</v>
      </c>
      <c r="K810">
        <v>7</v>
      </c>
      <c r="L810">
        <v>5</v>
      </c>
      <c r="M810">
        <v>1</v>
      </c>
      <c r="N810">
        <v>7</v>
      </c>
      <c r="P810">
        <f>G810*I810/100</f>
        <v>553.08000000000004</v>
      </c>
      <c r="Q810">
        <f t="shared" si="12"/>
        <v>30168</v>
      </c>
      <c r="R810">
        <f>K810/J810</f>
        <v>0.63636363636363635</v>
      </c>
      <c r="S810">
        <v>2020</v>
      </c>
    </row>
    <row r="811" spans="1:19" x14ac:dyDescent="0.3">
      <c r="A811">
        <v>28</v>
      </c>
      <c r="B811">
        <v>950</v>
      </c>
      <c r="C811" t="s">
        <v>17</v>
      </c>
      <c r="D811" t="s">
        <v>15</v>
      </c>
      <c r="E811">
        <v>93</v>
      </c>
      <c r="F811" t="s">
        <v>21</v>
      </c>
      <c r="G811">
        <v>7655</v>
      </c>
      <c r="H811">
        <v>8039</v>
      </c>
      <c r="I811">
        <v>17</v>
      </c>
      <c r="J811">
        <v>10</v>
      </c>
      <c r="K811">
        <v>9</v>
      </c>
      <c r="L811">
        <v>7</v>
      </c>
      <c r="M811">
        <v>1</v>
      </c>
      <c r="N811">
        <v>7</v>
      </c>
      <c r="P811">
        <f>G811*I811/100</f>
        <v>1301.3499999999999</v>
      </c>
      <c r="Q811">
        <f t="shared" si="12"/>
        <v>91860</v>
      </c>
      <c r="R811">
        <f>K811/J811</f>
        <v>0.9</v>
      </c>
      <c r="S811">
        <v>2020</v>
      </c>
    </row>
    <row r="812" spans="1:19" x14ac:dyDescent="0.3">
      <c r="A812">
        <v>46</v>
      </c>
      <c r="B812">
        <v>406</v>
      </c>
      <c r="C812" t="s">
        <v>14</v>
      </c>
      <c r="D812" t="s">
        <v>18</v>
      </c>
      <c r="E812">
        <v>52</v>
      </c>
      <c r="F812" t="s">
        <v>23</v>
      </c>
      <c r="G812">
        <v>17465</v>
      </c>
      <c r="H812">
        <v>15596</v>
      </c>
      <c r="I812">
        <v>12</v>
      </c>
      <c r="J812">
        <v>23</v>
      </c>
      <c r="K812">
        <v>12</v>
      </c>
      <c r="L812">
        <v>9</v>
      </c>
      <c r="M812">
        <v>4</v>
      </c>
      <c r="N812">
        <v>9</v>
      </c>
      <c r="P812">
        <f>G812*I812/100</f>
        <v>2095.8000000000002</v>
      </c>
      <c r="Q812">
        <f t="shared" si="12"/>
        <v>209580</v>
      </c>
      <c r="R812">
        <f>K812/J812</f>
        <v>0.52173913043478259</v>
      </c>
      <c r="S812">
        <v>2020</v>
      </c>
    </row>
    <row r="813" spans="1:19" x14ac:dyDescent="0.3">
      <c r="A813">
        <v>38</v>
      </c>
      <c r="B813">
        <v>130</v>
      </c>
      <c r="C813" t="s">
        <v>14</v>
      </c>
      <c r="D813" t="s">
        <v>18</v>
      </c>
      <c r="E813">
        <v>32</v>
      </c>
      <c r="F813" t="s">
        <v>16</v>
      </c>
      <c r="G813">
        <v>7351</v>
      </c>
      <c r="H813">
        <v>20619</v>
      </c>
      <c r="I813">
        <v>16</v>
      </c>
      <c r="J813">
        <v>10</v>
      </c>
      <c r="K813">
        <v>1</v>
      </c>
      <c r="L813">
        <v>0</v>
      </c>
      <c r="M813">
        <v>0</v>
      </c>
      <c r="N813">
        <v>0</v>
      </c>
      <c r="P813">
        <f>G813*I813/100</f>
        <v>1176.1600000000001</v>
      </c>
      <c r="Q813">
        <f t="shared" si="12"/>
        <v>88212</v>
      </c>
      <c r="R813">
        <f>K813/J813</f>
        <v>0.1</v>
      </c>
      <c r="S813">
        <v>2020</v>
      </c>
    </row>
    <row r="814" spans="1:19" x14ac:dyDescent="0.3">
      <c r="A814">
        <v>43</v>
      </c>
      <c r="B814">
        <v>1082</v>
      </c>
      <c r="C814" t="s">
        <v>17</v>
      </c>
      <c r="D814" t="s">
        <v>15</v>
      </c>
      <c r="E814">
        <v>83</v>
      </c>
      <c r="F814" t="s">
        <v>21</v>
      </c>
      <c r="G814">
        <v>10820</v>
      </c>
      <c r="H814">
        <v>11535</v>
      </c>
      <c r="I814">
        <v>11</v>
      </c>
      <c r="J814">
        <v>18</v>
      </c>
      <c r="K814">
        <v>8</v>
      </c>
      <c r="L814">
        <v>7</v>
      </c>
      <c r="M814">
        <v>0</v>
      </c>
      <c r="N814">
        <v>1</v>
      </c>
      <c r="P814">
        <f>G814*I814/100</f>
        <v>1190.2</v>
      </c>
      <c r="Q814">
        <f t="shared" si="12"/>
        <v>129840</v>
      </c>
      <c r="R814">
        <f>K814/J814</f>
        <v>0.44444444444444442</v>
      </c>
      <c r="S814">
        <v>2020</v>
      </c>
    </row>
    <row r="815" spans="1:19" x14ac:dyDescent="0.3">
      <c r="A815">
        <v>39</v>
      </c>
      <c r="B815">
        <v>203</v>
      </c>
      <c r="C815" t="s">
        <v>17</v>
      </c>
      <c r="D815" t="s">
        <v>18</v>
      </c>
      <c r="E815">
        <v>84</v>
      </c>
      <c r="F815" t="s">
        <v>22</v>
      </c>
      <c r="G815">
        <v>12169</v>
      </c>
      <c r="H815">
        <v>13547</v>
      </c>
      <c r="I815">
        <v>11</v>
      </c>
      <c r="J815">
        <v>21</v>
      </c>
      <c r="K815">
        <v>18</v>
      </c>
      <c r="L815">
        <v>7</v>
      </c>
      <c r="M815">
        <v>11</v>
      </c>
      <c r="N815">
        <v>5</v>
      </c>
      <c r="P815">
        <f>G815*I815/100</f>
        <v>1338.59</v>
      </c>
      <c r="Q815">
        <f t="shared" si="12"/>
        <v>146028</v>
      </c>
      <c r="R815">
        <f>K815/J815</f>
        <v>0.8571428571428571</v>
      </c>
      <c r="S815">
        <v>2020</v>
      </c>
    </row>
    <row r="816" spans="1:19" x14ac:dyDescent="0.3">
      <c r="A816">
        <v>40</v>
      </c>
      <c r="B816">
        <v>1308</v>
      </c>
      <c r="C816" t="s">
        <v>17</v>
      </c>
      <c r="D816" t="s">
        <v>18</v>
      </c>
      <c r="E816">
        <v>44</v>
      </c>
      <c r="F816" t="s">
        <v>25</v>
      </c>
      <c r="G816">
        <v>19626</v>
      </c>
      <c r="H816">
        <v>17544</v>
      </c>
      <c r="I816">
        <v>14</v>
      </c>
      <c r="J816">
        <v>21</v>
      </c>
      <c r="K816">
        <v>20</v>
      </c>
      <c r="L816">
        <v>7</v>
      </c>
      <c r="M816">
        <v>4</v>
      </c>
      <c r="N816">
        <v>9</v>
      </c>
      <c r="P816">
        <f>G816*I816/100</f>
        <v>2747.64</v>
      </c>
      <c r="Q816">
        <f t="shared" si="12"/>
        <v>235512</v>
      </c>
      <c r="R816">
        <f>K816/J816</f>
        <v>0.95238095238095233</v>
      </c>
      <c r="S816">
        <v>2020</v>
      </c>
    </row>
    <row r="817" spans="1:19" x14ac:dyDescent="0.3">
      <c r="A817">
        <v>21</v>
      </c>
      <c r="B817">
        <v>984</v>
      </c>
      <c r="C817" t="s">
        <v>17</v>
      </c>
      <c r="D817" t="s">
        <v>15</v>
      </c>
      <c r="E817">
        <v>70</v>
      </c>
      <c r="F817" t="s">
        <v>19</v>
      </c>
      <c r="G817">
        <v>2070</v>
      </c>
      <c r="H817">
        <v>25326</v>
      </c>
      <c r="I817">
        <v>11</v>
      </c>
      <c r="J817">
        <v>2</v>
      </c>
      <c r="K817">
        <v>2</v>
      </c>
      <c r="L817">
        <v>2</v>
      </c>
      <c r="M817">
        <v>2</v>
      </c>
      <c r="N817">
        <v>2</v>
      </c>
      <c r="P817">
        <f>G817*I817/100</f>
        <v>227.7</v>
      </c>
      <c r="Q817">
        <f t="shared" si="12"/>
        <v>24840</v>
      </c>
      <c r="R817">
        <f>K817/J817</f>
        <v>1</v>
      </c>
      <c r="S817">
        <v>2020</v>
      </c>
    </row>
    <row r="818" spans="1:19" x14ac:dyDescent="0.3">
      <c r="A818">
        <v>39</v>
      </c>
      <c r="B818">
        <v>439</v>
      </c>
      <c r="C818" t="s">
        <v>17</v>
      </c>
      <c r="D818" t="s">
        <v>18</v>
      </c>
      <c r="E818">
        <v>70</v>
      </c>
      <c r="F818" t="s">
        <v>20</v>
      </c>
      <c r="G818">
        <v>6782</v>
      </c>
      <c r="H818">
        <v>8770</v>
      </c>
      <c r="I818">
        <v>15</v>
      </c>
      <c r="J818">
        <v>9</v>
      </c>
      <c r="K818">
        <v>5</v>
      </c>
      <c r="L818">
        <v>4</v>
      </c>
      <c r="M818">
        <v>0</v>
      </c>
      <c r="N818">
        <v>3</v>
      </c>
      <c r="P818">
        <f>G818*I818/100</f>
        <v>1017.3</v>
      </c>
      <c r="Q818">
        <f t="shared" si="12"/>
        <v>81384</v>
      </c>
      <c r="R818">
        <f>K818/J818</f>
        <v>0.55555555555555558</v>
      </c>
      <c r="S818">
        <v>2020</v>
      </c>
    </row>
    <row r="819" spans="1:19" x14ac:dyDescent="0.3">
      <c r="A819">
        <v>36</v>
      </c>
      <c r="B819">
        <v>217</v>
      </c>
      <c r="C819" t="s">
        <v>17</v>
      </c>
      <c r="D819" t="s">
        <v>18</v>
      </c>
      <c r="E819">
        <v>78</v>
      </c>
      <c r="F819" t="s">
        <v>21</v>
      </c>
      <c r="G819">
        <v>7779</v>
      </c>
      <c r="H819">
        <v>23238</v>
      </c>
      <c r="I819">
        <v>20</v>
      </c>
      <c r="J819">
        <v>18</v>
      </c>
      <c r="K819">
        <v>11</v>
      </c>
      <c r="L819">
        <v>9</v>
      </c>
      <c r="M819">
        <v>0</v>
      </c>
      <c r="N819">
        <v>9</v>
      </c>
      <c r="P819">
        <f>G819*I819/100</f>
        <v>1555.8</v>
      </c>
      <c r="Q819">
        <f t="shared" si="12"/>
        <v>93348</v>
      </c>
      <c r="R819">
        <f>K819/J819</f>
        <v>0.61111111111111116</v>
      </c>
      <c r="S819">
        <v>2020</v>
      </c>
    </row>
    <row r="820" spans="1:19" x14ac:dyDescent="0.3">
      <c r="A820">
        <v>31</v>
      </c>
      <c r="B820">
        <v>793</v>
      </c>
      <c r="C820" t="s">
        <v>14</v>
      </c>
      <c r="D820" t="s">
        <v>18</v>
      </c>
      <c r="E820">
        <v>67</v>
      </c>
      <c r="F820" t="s">
        <v>24</v>
      </c>
      <c r="G820">
        <v>2791</v>
      </c>
      <c r="H820">
        <v>21981</v>
      </c>
      <c r="I820">
        <v>12</v>
      </c>
      <c r="J820">
        <v>3</v>
      </c>
      <c r="K820">
        <v>2</v>
      </c>
      <c r="L820">
        <v>2</v>
      </c>
      <c r="M820">
        <v>2</v>
      </c>
      <c r="N820">
        <v>2</v>
      </c>
      <c r="P820">
        <f>G820*I820/100</f>
        <v>334.92</v>
      </c>
      <c r="Q820">
        <f t="shared" si="12"/>
        <v>33492</v>
      </c>
      <c r="R820">
        <f>K820/J820</f>
        <v>0.66666666666666663</v>
      </c>
      <c r="S820">
        <v>2020</v>
      </c>
    </row>
    <row r="821" spans="1:19" x14ac:dyDescent="0.3">
      <c r="A821">
        <v>28</v>
      </c>
      <c r="B821">
        <v>1451</v>
      </c>
      <c r="C821" t="s">
        <v>17</v>
      </c>
      <c r="D821" t="s">
        <v>18</v>
      </c>
      <c r="E821">
        <v>67</v>
      </c>
      <c r="F821" t="s">
        <v>19</v>
      </c>
      <c r="G821">
        <v>3201</v>
      </c>
      <c r="H821">
        <v>19911</v>
      </c>
      <c r="I821">
        <v>17</v>
      </c>
      <c r="J821">
        <v>6</v>
      </c>
      <c r="K821">
        <v>5</v>
      </c>
      <c r="L821">
        <v>3</v>
      </c>
      <c r="M821">
        <v>0</v>
      </c>
      <c r="N821">
        <v>4</v>
      </c>
      <c r="P821">
        <f>G821*I821/100</f>
        <v>544.16999999999996</v>
      </c>
      <c r="Q821">
        <f t="shared" si="12"/>
        <v>38412</v>
      </c>
      <c r="R821">
        <f>K821/J821</f>
        <v>0.83333333333333337</v>
      </c>
      <c r="S821">
        <v>2020</v>
      </c>
    </row>
    <row r="822" spans="1:19" x14ac:dyDescent="0.3">
      <c r="A822">
        <v>35</v>
      </c>
      <c r="B822">
        <v>1182</v>
      </c>
      <c r="C822" t="s">
        <v>14</v>
      </c>
      <c r="D822" t="s">
        <v>18</v>
      </c>
      <c r="E822">
        <v>54</v>
      </c>
      <c r="F822" t="s">
        <v>16</v>
      </c>
      <c r="G822">
        <v>4968</v>
      </c>
      <c r="H822">
        <v>18500</v>
      </c>
      <c r="I822">
        <v>11</v>
      </c>
      <c r="J822">
        <v>5</v>
      </c>
      <c r="K822">
        <v>5</v>
      </c>
      <c r="L822">
        <v>2</v>
      </c>
      <c r="M822">
        <v>0</v>
      </c>
      <c r="N822">
        <v>2</v>
      </c>
      <c r="P822">
        <f>G822*I822/100</f>
        <v>546.48</v>
      </c>
      <c r="Q822">
        <f t="shared" si="12"/>
        <v>59616</v>
      </c>
      <c r="R822">
        <f>K822/J822</f>
        <v>1</v>
      </c>
      <c r="S822">
        <v>2020</v>
      </c>
    </row>
    <row r="823" spans="1:19" x14ac:dyDescent="0.3">
      <c r="A823">
        <v>49</v>
      </c>
      <c r="B823">
        <v>174</v>
      </c>
      <c r="C823" t="s">
        <v>14</v>
      </c>
      <c r="D823" t="s">
        <v>18</v>
      </c>
      <c r="E823">
        <v>56</v>
      </c>
      <c r="F823" t="s">
        <v>16</v>
      </c>
      <c r="G823">
        <v>13120</v>
      </c>
      <c r="H823">
        <v>11879</v>
      </c>
      <c r="I823">
        <v>17</v>
      </c>
      <c r="J823">
        <v>22</v>
      </c>
      <c r="K823">
        <v>9</v>
      </c>
      <c r="L823">
        <v>8</v>
      </c>
      <c r="M823">
        <v>2</v>
      </c>
      <c r="N823">
        <v>3</v>
      </c>
      <c r="P823">
        <f>G823*I823/100</f>
        <v>2230.4</v>
      </c>
      <c r="Q823">
        <f t="shared" si="12"/>
        <v>157440</v>
      </c>
      <c r="R823">
        <f>K823/J823</f>
        <v>0.40909090909090912</v>
      </c>
      <c r="S823">
        <v>2020</v>
      </c>
    </row>
    <row r="824" spans="1:19" x14ac:dyDescent="0.3">
      <c r="A824">
        <v>34</v>
      </c>
      <c r="B824">
        <v>1003</v>
      </c>
      <c r="C824" t="s">
        <v>17</v>
      </c>
      <c r="D824" t="s">
        <v>18</v>
      </c>
      <c r="E824">
        <v>95</v>
      </c>
      <c r="F824" t="s">
        <v>21</v>
      </c>
      <c r="G824">
        <v>4033</v>
      </c>
      <c r="H824">
        <v>15834</v>
      </c>
      <c r="I824">
        <v>11</v>
      </c>
      <c r="J824">
        <v>5</v>
      </c>
      <c r="K824">
        <v>3</v>
      </c>
      <c r="L824">
        <v>2</v>
      </c>
      <c r="M824">
        <v>0</v>
      </c>
      <c r="N824">
        <v>2</v>
      </c>
      <c r="P824">
        <f>G824*I824/100</f>
        <v>443.63</v>
      </c>
      <c r="Q824">
        <f t="shared" si="12"/>
        <v>48396</v>
      </c>
      <c r="R824">
        <f>K824/J824</f>
        <v>0.6</v>
      </c>
      <c r="S824">
        <v>2020</v>
      </c>
    </row>
    <row r="825" spans="1:19" x14ac:dyDescent="0.3">
      <c r="A825">
        <v>29</v>
      </c>
      <c r="B825">
        <v>490</v>
      </c>
      <c r="C825" t="s">
        <v>17</v>
      </c>
      <c r="D825" t="s">
        <v>15</v>
      </c>
      <c r="E825">
        <v>61</v>
      </c>
      <c r="F825" t="s">
        <v>19</v>
      </c>
      <c r="G825">
        <v>3291</v>
      </c>
      <c r="H825">
        <v>17940</v>
      </c>
      <c r="I825">
        <v>14</v>
      </c>
      <c r="J825">
        <v>8</v>
      </c>
      <c r="K825">
        <v>7</v>
      </c>
      <c r="L825">
        <v>5</v>
      </c>
      <c r="M825">
        <v>1</v>
      </c>
      <c r="N825">
        <v>1</v>
      </c>
      <c r="P825">
        <f>G825*I825/100</f>
        <v>460.74</v>
      </c>
      <c r="Q825">
        <f t="shared" si="12"/>
        <v>39492</v>
      </c>
      <c r="R825">
        <f>K825/J825</f>
        <v>0.875</v>
      </c>
      <c r="S825">
        <v>2020</v>
      </c>
    </row>
    <row r="826" spans="1:19" x14ac:dyDescent="0.3">
      <c r="A826">
        <v>42</v>
      </c>
      <c r="B826">
        <v>188</v>
      </c>
      <c r="C826" t="s">
        <v>17</v>
      </c>
      <c r="D826" t="s">
        <v>18</v>
      </c>
      <c r="E826">
        <v>56</v>
      </c>
      <c r="F826" t="s">
        <v>20</v>
      </c>
      <c r="G826">
        <v>4272</v>
      </c>
      <c r="H826">
        <v>9558</v>
      </c>
      <c r="I826">
        <v>19</v>
      </c>
      <c r="J826">
        <v>16</v>
      </c>
      <c r="K826">
        <v>1</v>
      </c>
      <c r="L826">
        <v>0</v>
      </c>
      <c r="M826">
        <v>0</v>
      </c>
      <c r="N826">
        <v>0</v>
      </c>
      <c r="P826">
        <f>G826*I826/100</f>
        <v>811.68</v>
      </c>
      <c r="Q826">
        <f t="shared" si="12"/>
        <v>51264</v>
      </c>
      <c r="R826">
        <f>K826/J826</f>
        <v>6.25E-2</v>
      </c>
      <c r="S826">
        <v>2020</v>
      </c>
    </row>
    <row r="827" spans="1:19" x14ac:dyDescent="0.3">
      <c r="A827">
        <v>29</v>
      </c>
      <c r="B827">
        <v>718</v>
      </c>
      <c r="C827" t="s">
        <v>17</v>
      </c>
      <c r="D827" t="s">
        <v>18</v>
      </c>
      <c r="E827">
        <v>79</v>
      </c>
      <c r="F827" t="s">
        <v>21</v>
      </c>
      <c r="G827">
        <v>5056</v>
      </c>
      <c r="H827">
        <v>17689</v>
      </c>
      <c r="I827">
        <v>15</v>
      </c>
      <c r="J827">
        <v>10</v>
      </c>
      <c r="K827">
        <v>10</v>
      </c>
      <c r="L827">
        <v>7</v>
      </c>
      <c r="M827">
        <v>1</v>
      </c>
      <c r="N827">
        <v>2</v>
      </c>
      <c r="P827">
        <f>G827*I827/100</f>
        <v>758.4</v>
      </c>
      <c r="Q827">
        <f t="shared" si="12"/>
        <v>60672</v>
      </c>
      <c r="R827">
        <f>K827/J827</f>
        <v>1</v>
      </c>
      <c r="S827">
        <v>2020</v>
      </c>
    </row>
    <row r="828" spans="1:19" x14ac:dyDescent="0.3">
      <c r="A828">
        <v>38</v>
      </c>
      <c r="B828">
        <v>433</v>
      </c>
      <c r="C828" t="s">
        <v>26</v>
      </c>
      <c r="D828" t="s">
        <v>18</v>
      </c>
      <c r="E828">
        <v>37</v>
      </c>
      <c r="F828" t="s">
        <v>26</v>
      </c>
      <c r="G828">
        <v>2844</v>
      </c>
      <c r="H828">
        <v>6004</v>
      </c>
      <c r="I828">
        <v>13</v>
      </c>
      <c r="J828">
        <v>7</v>
      </c>
      <c r="K828">
        <v>7</v>
      </c>
      <c r="L828">
        <v>6</v>
      </c>
      <c r="M828">
        <v>5</v>
      </c>
      <c r="N828">
        <v>0</v>
      </c>
      <c r="P828">
        <f>G828*I828/100</f>
        <v>369.72</v>
      </c>
      <c r="Q828">
        <f t="shared" si="12"/>
        <v>34128</v>
      </c>
      <c r="R828">
        <f>K828/J828</f>
        <v>1</v>
      </c>
      <c r="S828">
        <v>2020</v>
      </c>
    </row>
    <row r="829" spans="1:19" x14ac:dyDescent="0.3">
      <c r="A829">
        <v>28</v>
      </c>
      <c r="B829">
        <v>773</v>
      </c>
      <c r="C829" t="s">
        <v>17</v>
      </c>
      <c r="D829" t="s">
        <v>18</v>
      </c>
      <c r="E829">
        <v>39</v>
      </c>
      <c r="F829" t="s">
        <v>19</v>
      </c>
      <c r="G829">
        <v>2703</v>
      </c>
      <c r="H829">
        <v>22088</v>
      </c>
      <c r="I829">
        <v>14</v>
      </c>
      <c r="J829">
        <v>3</v>
      </c>
      <c r="K829">
        <v>3</v>
      </c>
      <c r="L829">
        <v>1</v>
      </c>
      <c r="M829">
        <v>0</v>
      </c>
      <c r="N829">
        <v>2</v>
      </c>
      <c r="P829">
        <f>G829*I829/100</f>
        <v>378.42</v>
      </c>
      <c r="Q829">
        <f t="shared" si="12"/>
        <v>32436</v>
      </c>
      <c r="R829">
        <f>K829/J829</f>
        <v>1</v>
      </c>
      <c r="S829">
        <v>2020</v>
      </c>
    </row>
    <row r="830" spans="1:19" x14ac:dyDescent="0.3">
      <c r="A830">
        <v>18</v>
      </c>
      <c r="B830">
        <v>247</v>
      </c>
      <c r="C830" t="s">
        <v>17</v>
      </c>
      <c r="D830" t="s">
        <v>18</v>
      </c>
      <c r="E830">
        <v>80</v>
      </c>
      <c r="F830" t="s">
        <v>20</v>
      </c>
      <c r="G830">
        <v>1904</v>
      </c>
      <c r="H830">
        <v>13556</v>
      </c>
      <c r="I830">
        <v>12</v>
      </c>
      <c r="J830">
        <v>0</v>
      </c>
      <c r="K830">
        <v>0</v>
      </c>
      <c r="L830">
        <v>0</v>
      </c>
      <c r="M830">
        <v>0</v>
      </c>
      <c r="N830">
        <v>0</v>
      </c>
      <c r="P830">
        <f>G830*I830/100</f>
        <v>228.48</v>
      </c>
      <c r="Q830">
        <f t="shared" si="12"/>
        <v>22848</v>
      </c>
      <c r="R830" t="e">
        <f>K830/J830</f>
        <v>#DIV/0!</v>
      </c>
      <c r="S830">
        <v>2020</v>
      </c>
    </row>
    <row r="831" spans="1:19" x14ac:dyDescent="0.3">
      <c r="A831">
        <v>33</v>
      </c>
      <c r="B831">
        <v>603</v>
      </c>
      <c r="C831" t="s">
        <v>14</v>
      </c>
      <c r="D831" t="s">
        <v>15</v>
      </c>
      <c r="E831">
        <v>77</v>
      </c>
      <c r="F831" t="s">
        <v>16</v>
      </c>
      <c r="G831">
        <v>8224</v>
      </c>
      <c r="H831">
        <v>18385</v>
      </c>
      <c r="I831">
        <v>17</v>
      </c>
      <c r="J831">
        <v>6</v>
      </c>
      <c r="K831">
        <v>5</v>
      </c>
      <c r="L831">
        <v>2</v>
      </c>
      <c r="M831">
        <v>0</v>
      </c>
      <c r="N831">
        <v>3</v>
      </c>
      <c r="P831">
        <f>G831*I831/100</f>
        <v>1398.08</v>
      </c>
      <c r="Q831">
        <f t="shared" si="12"/>
        <v>98688</v>
      </c>
      <c r="R831">
        <f>K831/J831</f>
        <v>0.83333333333333337</v>
      </c>
      <c r="S831">
        <v>2020</v>
      </c>
    </row>
    <row r="832" spans="1:19" x14ac:dyDescent="0.3">
      <c r="A832">
        <v>41</v>
      </c>
      <c r="B832">
        <v>167</v>
      </c>
      <c r="C832" t="s">
        <v>17</v>
      </c>
      <c r="D832" t="s">
        <v>18</v>
      </c>
      <c r="E832">
        <v>46</v>
      </c>
      <c r="F832" t="s">
        <v>20</v>
      </c>
      <c r="G832">
        <v>4766</v>
      </c>
      <c r="H832">
        <v>9051</v>
      </c>
      <c r="I832">
        <v>11</v>
      </c>
      <c r="J832">
        <v>6</v>
      </c>
      <c r="K832">
        <v>1</v>
      </c>
      <c r="L832">
        <v>0</v>
      </c>
      <c r="M832">
        <v>0</v>
      </c>
      <c r="N832">
        <v>0</v>
      </c>
      <c r="P832">
        <f>G832*I832/100</f>
        <v>524.26</v>
      </c>
      <c r="Q832">
        <f t="shared" si="12"/>
        <v>57192</v>
      </c>
      <c r="R832">
        <f>K832/J832</f>
        <v>0.16666666666666666</v>
      </c>
      <c r="S832">
        <v>2020</v>
      </c>
    </row>
    <row r="833" spans="1:19" x14ac:dyDescent="0.3">
      <c r="A833">
        <v>31</v>
      </c>
      <c r="B833">
        <v>874</v>
      </c>
      <c r="C833" t="s">
        <v>17</v>
      </c>
      <c r="D833" t="s">
        <v>18</v>
      </c>
      <c r="E833">
        <v>72</v>
      </c>
      <c r="F833" t="s">
        <v>20</v>
      </c>
      <c r="G833">
        <v>2610</v>
      </c>
      <c r="H833">
        <v>6233</v>
      </c>
      <c r="I833">
        <v>12</v>
      </c>
      <c r="J833">
        <v>2</v>
      </c>
      <c r="K833">
        <v>2</v>
      </c>
      <c r="L833">
        <v>2</v>
      </c>
      <c r="M833">
        <v>2</v>
      </c>
      <c r="N833">
        <v>2</v>
      </c>
      <c r="P833">
        <f>G833*I833/100</f>
        <v>313.2</v>
      </c>
      <c r="Q833">
        <f t="shared" si="12"/>
        <v>31320</v>
      </c>
      <c r="R833">
        <f>K833/J833</f>
        <v>1</v>
      </c>
      <c r="S833">
        <v>2020</v>
      </c>
    </row>
    <row r="834" spans="1:19" x14ac:dyDescent="0.3">
      <c r="A834">
        <v>37</v>
      </c>
      <c r="B834">
        <v>367</v>
      </c>
      <c r="C834" t="s">
        <v>17</v>
      </c>
      <c r="D834" t="s">
        <v>15</v>
      </c>
      <c r="E834">
        <v>52</v>
      </c>
      <c r="F834" t="s">
        <v>22</v>
      </c>
      <c r="G834">
        <v>5731</v>
      </c>
      <c r="H834">
        <v>17171</v>
      </c>
      <c r="I834">
        <v>13</v>
      </c>
      <c r="J834">
        <v>9</v>
      </c>
      <c r="K834">
        <v>6</v>
      </c>
      <c r="L834">
        <v>2</v>
      </c>
      <c r="M834">
        <v>1</v>
      </c>
      <c r="N834">
        <v>3</v>
      </c>
      <c r="P834">
        <f>G834*I834/100</f>
        <v>745.03</v>
      </c>
      <c r="Q834">
        <f t="shared" si="12"/>
        <v>68772</v>
      </c>
      <c r="R834">
        <f>K834/J834</f>
        <v>0.66666666666666663</v>
      </c>
      <c r="S834">
        <v>2020</v>
      </c>
    </row>
    <row r="835" spans="1:19" x14ac:dyDescent="0.3">
      <c r="A835">
        <v>27</v>
      </c>
      <c r="B835">
        <v>199</v>
      </c>
      <c r="C835" t="s">
        <v>17</v>
      </c>
      <c r="D835" t="s">
        <v>18</v>
      </c>
      <c r="E835">
        <v>55</v>
      </c>
      <c r="F835" t="s">
        <v>19</v>
      </c>
      <c r="G835">
        <v>2539</v>
      </c>
      <c r="H835">
        <v>7950</v>
      </c>
      <c r="I835">
        <v>13</v>
      </c>
      <c r="J835">
        <v>4</v>
      </c>
      <c r="K835">
        <v>4</v>
      </c>
      <c r="L835">
        <v>2</v>
      </c>
      <c r="M835">
        <v>2</v>
      </c>
      <c r="N835">
        <v>2</v>
      </c>
      <c r="P835">
        <f>G835*I835/100</f>
        <v>330.07</v>
      </c>
      <c r="Q835">
        <f t="shared" ref="Q835:Q898" si="13">G835*12</f>
        <v>30468</v>
      </c>
      <c r="R835">
        <f>K835/J835</f>
        <v>1</v>
      </c>
      <c r="S835">
        <v>2020</v>
      </c>
    </row>
    <row r="836" spans="1:19" x14ac:dyDescent="0.3">
      <c r="A836">
        <v>34</v>
      </c>
      <c r="B836">
        <v>1400</v>
      </c>
      <c r="C836" t="s">
        <v>14</v>
      </c>
      <c r="D836" t="s">
        <v>15</v>
      </c>
      <c r="E836">
        <v>70</v>
      </c>
      <c r="F836" t="s">
        <v>16</v>
      </c>
      <c r="G836">
        <v>5714</v>
      </c>
      <c r="H836">
        <v>5829</v>
      </c>
      <c r="I836">
        <v>20</v>
      </c>
      <c r="J836">
        <v>6</v>
      </c>
      <c r="K836">
        <v>6</v>
      </c>
      <c r="L836">
        <v>5</v>
      </c>
      <c r="M836">
        <v>1</v>
      </c>
      <c r="N836">
        <v>3</v>
      </c>
      <c r="P836">
        <f>G836*I836/100</f>
        <v>1142.8</v>
      </c>
      <c r="Q836">
        <f t="shared" si="13"/>
        <v>68568</v>
      </c>
      <c r="R836">
        <f>K836/J836</f>
        <v>1</v>
      </c>
      <c r="S836">
        <v>2020</v>
      </c>
    </row>
    <row r="837" spans="1:19" x14ac:dyDescent="0.3">
      <c r="A837">
        <v>35</v>
      </c>
      <c r="B837">
        <v>528</v>
      </c>
      <c r="C837" t="s">
        <v>26</v>
      </c>
      <c r="D837" t="s">
        <v>18</v>
      </c>
      <c r="E837">
        <v>100</v>
      </c>
      <c r="F837" t="s">
        <v>26</v>
      </c>
      <c r="G837">
        <v>4323</v>
      </c>
      <c r="H837">
        <v>7108</v>
      </c>
      <c r="I837">
        <v>17</v>
      </c>
      <c r="J837">
        <v>6</v>
      </c>
      <c r="K837">
        <v>5</v>
      </c>
      <c r="L837">
        <v>4</v>
      </c>
      <c r="M837">
        <v>1</v>
      </c>
      <c r="N837">
        <v>4</v>
      </c>
      <c r="P837">
        <f>G837*I837/100</f>
        <v>734.91</v>
      </c>
      <c r="Q837">
        <f t="shared" si="13"/>
        <v>51876</v>
      </c>
      <c r="R837">
        <f>K837/J837</f>
        <v>0.83333333333333337</v>
      </c>
      <c r="S837">
        <v>2020</v>
      </c>
    </row>
    <row r="838" spans="1:19" x14ac:dyDescent="0.3">
      <c r="A838">
        <v>29</v>
      </c>
      <c r="B838">
        <v>408</v>
      </c>
      <c r="C838" t="s">
        <v>14</v>
      </c>
      <c r="D838" t="s">
        <v>15</v>
      </c>
      <c r="E838">
        <v>45</v>
      </c>
      <c r="F838" t="s">
        <v>16</v>
      </c>
      <c r="G838">
        <v>7336</v>
      </c>
      <c r="H838">
        <v>11162</v>
      </c>
      <c r="I838">
        <v>13</v>
      </c>
      <c r="J838">
        <v>11</v>
      </c>
      <c r="K838">
        <v>11</v>
      </c>
      <c r="L838">
        <v>8</v>
      </c>
      <c r="M838">
        <v>3</v>
      </c>
      <c r="N838">
        <v>10</v>
      </c>
      <c r="P838">
        <f>G838*I838/100</f>
        <v>953.68</v>
      </c>
      <c r="Q838">
        <f t="shared" si="13"/>
        <v>88032</v>
      </c>
      <c r="R838">
        <f>K838/J838</f>
        <v>1</v>
      </c>
      <c r="S838">
        <v>2020</v>
      </c>
    </row>
    <row r="839" spans="1:19" x14ac:dyDescent="0.3">
      <c r="A839">
        <v>40</v>
      </c>
      <c r="B839">
        <v>593</v>
      </c>
      <c r="C839" t="s">
        <v>17</v>
      </c>
      <c r="D839" t="s">
        <v>15</v>
      </c>
      <c r="E839">
        <v>88</v>
      </c>
      <c r="F839" t="s">
        <v>25</v>
      </c>
      <c r="G839">
        <v>13499</v>
      </c>
      <c r="H839">
        <v>13782</v>
      </c>
      <c r="I839">
        <v>17</v>
      </c>
      <c r="J839">
        <v>20</v>
      </c>
      <c r="K839">
        <v>18</v>
      </c>
      <c r="L839">
        <v>7</v>
      </c>
      <c r="M839">
        <v>2</v>
      </c>
      <c r="N839">
        <v>13</v>
      </c>
      <c r="P839">
        <f>G839*I839/100</f>
        <v>2294.83</v>
      </c>
      <c r="Q839">
        <f t="shared" si="13"/>
        <v>161988</v>
      </c>
      <c r="R839">
        <f>K839/J839</f>
        <v>0.9</v>
      </c>
      <c r="S839">
        <v>2020</v>
      </c>
    </row>
    <row r="840" spans="1:19" x14ac:dyDescent="0.3">
      <c r="A840">
        <v>42</v>
      </c>
      <c r="B840">
        <v>481</v>
      </c>
      <c r="C840" t="s">
        <v>14</v>
      </c>
      <c r="D840" t="s">
        <v>18</v>
      </c>
      <c r="E840">
        <v>44</v>
      </c>
      <c r="F840" t="s">
        <v>16</v>
      </c>
      <c r="G840">
        <v>13758</v>
      </c>
      <c r="H840">
        <v>2447</v>
      </c>
      <c r="I840">
        <v>12</v>
      </c>
      <c r="J840">
        <v>22</v>
      </c>
      <c r="K840">
        <v>21</v>
      </c>
      <c r="L840">
        <v>9</v>
      </c>
      <c r="M840">
        <v>13</v>
      </c>
      <c r="N840">
        <v>14</v>
      </c>
      <c r="P840">
        <f>G840*I840/100</f>
        <v>1650.96</v>
      </c>
      <c r="Q840">
        <f t="shared" si="13"/>
        <v>165096</v>
      </c>
      <c r="R840">
        <f>K840/J840</f>
        <v>0.95454545454545459</v>
      </c>
      <c r="S840">
        <v>2020</v>
      </c>
    </row>
    <row r="841" spans="1:19" x14ac:dyDescent="0.3">
      <c r="A841">
        <v>42</v>
      </c>
      <c r="B841">
        <v>647</v>
      </c>
      <c r="C841" t="s">
        <v>14</v>
      </c>
      <c r="D841" t="s">
        <v>18</v>
      </c>
      <c r="E841">
        <v>45</v>
      </c>
      <c r="F841" t="s">
        <v>16</v>
      </c>
      <c r="G841">
        <v>5155</v>
      </c>
      <c r="H841">
        <v>2253</v>
      </c>
      <c r="I841">
        <v>13</v>
      </c>
      <c r="J841">
        <v>9</v>
      </c>
      <c r="K841">
        <v>6</v>
      </c>
      <c r="L841">
        <v>4</v>
      </c>
      <c r="M841">
        <v>1</v>
      </c>
      <c r="N841">
        <v>5</v>
      </c>
      <c r="P841">
        <f>G841*I841/100</f>
        <v>670.15</v>
      </c>
      <c r="Q841">
        <f t="shared" si="13"/>
        <v>61860</v>
      </c>
      <c r="R841">
        <f>K841/J841</f>
        <v>0.66666666666666663</v>
      </c>
      <c r="S841">
        <v>2020</v>
      </c>
    </row>
    <row r="842" spans="1:19" x14ac:dyDescent="0.3">
      <c r="A842">
        <v>35</v>
      </c>
      <c r="B842">
        <v>982</v>
      </c>
      <c r="C842" t="s">
        <v>17</v>
      </c>
      <c r="D842" t="s">
        <v>18</v>
      </c>
      <c r="E842">
        <v>58</v>
      </c>
      <c r="F842" t="s">
        <v>20</v>
      </c>
      <c r="G842">
        <v>2258</v>
      </c>
      <c r="H842">
        <v>16340</v>
      </c>
      <c r="I842">
        <v>12</v>
      </c>
      <c r="J842">
        <v>10</v>
      </c>
      <c r="K842">
        <v>8</v>
      </c>
      <c r="L842">
        <v>0</v>
      </c>
      <c r="M842">
        <v>1</v>
      </c>
      <c r="N842">
        <v>7</v>
      </c>
      <c r="P842">
        <f>G842*I842/100</f>
        <v>270.95999999999998</v>
      </c>
      <c r="Q842">
        <f t="shared" si="13"/>
        <v>27096</v>
      </c>
      <c r="R842">
        <f>K842/J842</f>
        <v>0.8</v>
      </c>
      <c r="S842">
        <v>2020</v>
      </c>
    </row>
    <row r="843" spans="1:19" x14ac:dyDescent="0.3">
      <c r="A843">
        <v>24</v>
      </c>
      <c r="B843">
        <v>477</v>
      </c>
      <c r="C843" t="s">
        <v>17</v>
      </c>
      <c r="D843" t="s">
        <v>18</v>
      </c>
      <c r="E843">
        <v>49</v>
      </c>
      <c r="F843" t="s">
        <v>20</v>
      </c>
      <c r="G843">
        <v>3597</v>
      </c>
      <c r="H843">
        <v>6409</v>
      </c>
      <c r="I843">
        <v>22</v>
      </c>
      <c r="J843">
        <v>6</v>
      </c>
      <c r="K843">
        <v>4</v>
      </c>
      <c r="L843">
        <v>3</v>
      </c>
      <c r="M843">
        <v>1</v>
      </c>
      <c r="N843">
        <v>2</v>
      </c>
      <c r="P843">
        <f>G843*I843/100</f>
        <v>791.34</v>
      </c>
      <c r="Q843">
        <f t="shared" si="13"/>
        <v>43164</v>
      </c>
      <c r="R843">
        <f>K843/J843</f>
        <v>0.66666666666666663</v>
      </c>
      <c r="S843">
        <v>2020</v>
      </c>
    </row>
    <row r="844" spans="1:19" x14ac:dyDescent="0.3">
      <c r="A844">
        <v>28</v>
      </c>
      <c r="B844">
        <v>1485</v>
      </c>
      <c r="C844" t="s">
        <v>17</v>
      </c>
      <c r="D844" t="s">
        <v>15</v>
      </c>
      <c r="E844">
        <v>79</v>
      </c>
      <c r="F844" t="s">
        <v>20</v>
      </c>
      <c r="G844">
        <v>2515</v>
      </c>
      <c r="H844">
        <v>22955</v>
      </c>
      <c r="I844">
        <v>11</v>
      </c>
      <c r="J844">
        <v>1</v>
      </c>
      <c r="K844">
        <v>1</v>
      </c>
      <c r="L844">
        <v>1</v>
      </c>
      <c r="M844">
        <v>0</v>
      </c>
      <c r="N844">
        <v>0</v>
      </c>
      <c r="P844">
        <f>G844*I844/100</f>
        <v>276.64999999999998</v>
      </c>
      <c r="Q844">
        <f t="shared" si="13"/>
        <v>30180</v>
      </c>
      <c r="R844">
        <f>K844/J844</f>
        <v>1</v>
      </c>
      <c r="S844">
        <v>2020</v>
      </c>
    </row>
    <row r="845" spans="1:19" x14ac:dyDescent="0.3">
      <c r="A845">
        <v>26</v>
      </c>
      <c r="B845">
        <v>1384</v>
      </c>
      <c r="C845" t="s">
        <v>17</v>
      </c>
      <c r="D845" t="s">
        <v>18</v>
      </c>
      <c r="E845">
        <v>82</v>
      </c>
      <c r="F845" t="s">
        <v>20</v>
      </c>
      <c r="G845">
        <v>4420</v>
      </c>
      <c r="H845">
        <v>13421</v>
      </c>
      <c r="I845">
        <v>22</v>
      </c>
      <c r="J845">
        <v>8</v>
      </c>
      <c r="K845">
        <v>8</v>
      </c>
      <c r="L845">
        <v>7</v>
      </c>
      <c r="M845">
        <v>0</v>
      </c>
      <c r="N845">
        <v>7</v>
      </c>
      <c r="P845">
        <f>G845*I845/100</f>
        <v>972.4</v>
      </c>
      <c r="Q845">
        <f t="shared" si="13"/>
        <v>53040</v>
      </c>
      <c r="R845">
        <f>K845/J845</f>
        <v>1</v>
      </c>
      <c r="S845">
        <v>2020</v>
      </c>
    </row>
    <row r="846" spans="1:19" x14ac:dyDescent="0.3">
      <c r="A846">
        <v>30</v>
      </c>
      <c r="B846">
        <v>852</v>
      </c>
      <c r="C846" t="s">
        <v>14</v>
      </c>
      <c r="D846" t="s">
        <v>18</v>
      </c>
      <c r="E846">
        <v>72</v>
      </c>
      <c r="F846" t="s">
        <v>16</v>
      </c>
      <c r="G846">
        <v>6578</v>
      </c>
      <c r="H846">
        <v>2706</v>
      </c>
      <c r="I846">
        <v>18</v>
      </c>
      <c r="J846">
        <v>10</v>
      </c>
      <c r="K846">
        <v>10</v>
      </c>
      <c r="L846">
        <v>3</v>
      </c>
      <c r="M846">
        <v>1</v>
      </c>
      <c r="N846">
        <v>4</v>
      </c>
      <c r="P846">
        <f>G846*I846/100</f>
        <v>1184.04</v>
      </c>
      <c r="Q846">
        <f t="shared" si="13"/>
        <v>78936</v>
      </c>
      <c r="R846">
        <f>K846/J846</f>
        <v>1</v>
      </c>
      <c r="S846">
        <v>2020</v>
      </c>
    </row>
    <row r="847" spans="1:19" x14ac:dyDescent="0.3">
      <c r="A847">
        <v>40</v>
      </c>
      <c r="B847">
        <v>902</v>
      </c>
      <c r="C847" t="s">
        <v>17</v>
      </c>
      <c r="D847" t="s">
        <v>15</v>
      </c>
      <c r="E847">
        <v>92</v>
      </c>
      <c r="F847" t="s">
        <v>19</v>
      </c>
      <c r="G847">
        <v>4422</v>
      </c>
      <c r="H847">
        <v>21203</v>
      </c>
      <c r="I847">
        <v>13</v>
      </c>
      <c r="J847">
        <v>16</v>
      </c>
      <c r="K847">
        <v>1</v>
      </c>
      <c r="L847">
        <v>1</v>
      </c>
      <c r="M847">
        <v>0</v>
      </c>
      <c r="N847">
        <v>0</v>
      </c>
      <c r="P847">
        <f>G847*I847/100</f>
        <v>574.86</v>
      </c>
      <c r="Q847">
        <f t="shared" si="13"/>
        <v>53064</v>
      </c>
      <c r="R847">
        <f>K847/J847</f>
        <v>6.25E-2</v>
      </c>
      <c r="S847">
        <v>2020</v>
      </c>
    </row>
    <row r="848" spans="1:19" x14ac:dyDescent="0.3">
      <c r="A848">
        <v>35</v>
      </c>
      <c r="B848">
        <v>819</v>
      </c>
      <c r="C848" t="s">
        <v>17</v>
      </c>
      <c r="D848" t="s">
        <v>18</v>
      </c>
      <c r="E848">
        <v>44</v>
      </c>
      <c r="F848" t="s">
        <v>21</v>
      </c>
      <c r="G848">
        <v>10274</v>
      </c>
      <c r="H848">
        <v>19588</v>
      </c>
      <c r="I848">
        <v>18</v>
      </c>
      <c r="J848">
        <v>15</v>
      </c>
      <c r="K848">
        <v>7</v>
      </c>
      <c r="L848">
        <v>7</v>
      </c>
      <c r="M848">
        <v>6</v>
      </c>
      <c r="N848">
        <v>4</v>
      </c>
      <c r="P848">
        <f>G848*I848/100</f>
        <v>1849.32</v>
      </c>
      <c r="Q848">
        <f t="shared" si="13"/>
        <v>123288</v>
      </c>
      <c r="R848">
        <f>K848/J848</f>
        <v>0.46666666666666667</v>
      </c>
      <c r="S848">
        <v>2020</v>
      </c>
    </row>
    <row r="849" spans="1:19" x14ac:dyDescent="0.3">
      <c r="A849">
        <v>34</v>
      </c>
      <c r="B849">
        <v>669</v>
      </c>
      <c r="C849" t="s">
        <v>17</v>
      </c>
      <c r="D849" t="s">
        <v>18</v>
      </c>
      <c r="E849">
        <v>97</v>
      </c>
      <c r="F849" t="s">
        <v>22</v>
      </c>
      <c r="G849">
        <v>5343</v>
      </c>
      <c r="H849">
        <v>25755</v>
      </c>
      <c r="I849">
        <v>20</v>
      </c>
      <c r="J849">
        <v>14</v>
      </c>
      <c r="K849">
        <v>13</v>
      </c>
      <c r="L849">
        <v>9</v>
      </c>
      <c r="M849">
        <v>4</v>
      </c>
      <c r="N849">
        <v>9</v>
      </c>
      <c r="P849">
        <f>G849*I849/100</f>
        <v>1068.5999999999999</v>
      </c>
      <c r="Q849">
        <f t="shared" si="13"/>
        <v>64116</v>
      </c>
      <c r="R849">
        <f>K849/J849</f>
        <v>0.9285714285714286</v>
      </c>
      <c r="S849">
        <v>2020</v>
      </c>
    </row>
    <row r="850" spans="1:19" x14ac:dyDescent="0.3">
      <c r="A850">
        <v>35</v>
      </c>
      <c r="B850">
        <v>636</v>
      </c>
      <c r="C850" t="s">
        <v>17</v>
      </c>
      <c r="D850" t="s">
        <v>18</v>
      </c>
      <c r="E850">
        <v>47</v>
      </c>
      <c r="F850" t="s">
        <v>20</v>
      </c>
      <c r="G850">
        <v>2376</v>
      </c>
      <c r="H850">
        <v>26537</v>
      </c>
      <c r="I850">
        <v>13</v>
      </c>
      <c r="J850">
        <v>2</v>
      </c>
      <c r="K850">
        <v>2</v>
      </c>
      <c r="L850">
        <v>2</v>
      </c>
      <c r="M850">
        <v>2</v>
      </c>
      <c r="N850">
        <v>2</v>
      </c>
      <c r="P850">
        <f>G850*I850/100</f>
        <v>308.88</v>
      </c>
      <c r="Q850">
        <f t="shared" si="13"/>
        <v>28512</v>
      </c>
      <c r="R850">
        <f>K850/J850</f>
        <v>1</v>
      </c>
      <c r="S850">
        <v>2020</v>
      </c>
    </row>
    <row r="851" spans="1:19" x14ac:dyDescent="0.3">
      <c r="A851">
        <v>43</v>
      </c>
      <c r="B851">
        <v>1372</v>
      </c>
      <c r="C851" t="s">
        <v>14</v>
      </c>
      <c r="D851" t="s">
        <v>15</v>
      </c>
      <c r="E851">
        <v>85</v>
      </c>
      <c r="F851" t="s">
        <v>16</v>
      </c>
      <c r="G851">
        <v>5346</v>
      </c>
      <c r="H851">
        <v>9489</v>
      </c>
      <c r="I851">
        <v>13</v>
      </c>
      <c r="J851">
        <v>7</v>
      </c>
      <c r="K851">
        <v>4</v>
      </c>
      <c r="L851">
        <v>3</v>
      </c>
      <c r="M851">
        <v>1</v>
      </c>
      <c r="N851">
        <v>3</v>
      </c>
      <c r="P851">
        <f>G851*I851/100</f>
        <v>694.98</v>
      </c>
      <c r="Q851">
        <f t="shared" si="13"/>
        <v>64152</v>
      </c>
      <c r="R851">
        <f>K851/J851</f>
        <v>0.5714285714285714</v>
      </c>
      <c r="S851">
        <v>2020</v>
      </c>
    </row>
    <row r="852" spans="1:19" x14ac:dyDescent="0.3">
      <c r="A852">
        <v>32</v>
      </c>
      <c r="B852">
        <v>862</v>
      </c>
      <c r="C852" t="s">
        <v>14</v>
      </c>
      <c r="D852" t="s">
        <v>15</v>
      </c>
      <c r="E852">
        <v>76</v>
      </c>
      <c r="F852" t="s">
        <v>24</v>
      </c>
      <c r="G852">
        <v>2827</v>
      </c>
      <c r="H852">
        <v>14947</v>
      </c>
      <c r="I852">
        <v>12</v>
      </c>
      <c r="J852">
        <v>1</v>
      </c>
      <c r="K852">
        <v>1</v>
      </c>
      <c r="L852">
        <v>0</v>
      </c>
      <c r="M852">
        <v>0</v>
      </c>
      <c r="N852">
        <v>0</v>
      </c>
      <c r="P852">
        <f>G852*I852/100</f>
        <v>339.24</v>
      </c>
      <c r="Q852">
        <f t="shared" si="13"/>
        <v>33924</v>
      </c>
      <c r="R852">
        <f>K852/J852</f>
        <v>1</v>
      </c>
      <c r="S852">
        <v>2020</v>
      </c>
    </row>
    <row r="853" spans="1:19" x14ac:dyDescent="0.3">
      <c r="A853">
        <v>56</v>
      </c>
      <c r="B853">
        <v>718</v>
      </c>
      <c r="C853" t="s">
        <v>17</v>
      </c>
      <c r="D853" t="s">
        <v>15</v>
      </c>
      <c r="E853">
        <v>92</v>
      </c>
      <c r="F853" t="s">
        <v>23</v>
      </c>
      <c r="G853">
        <v>19943</v>
      </c>
      <c r="H853">
        <v>18575</v>
      </c>
      <c r="I853">
        <v>13</v>
      </c>
      <c r="J853">
        <v>28</v>
      </c>
      <c r="K853">
        <v>5</v>
      </c>
      <c r="L853">
        <v>2</v>
      </c>
      <c r="M853">
        <v>4</v>
      </c>
      <c r="N853">
        <v>2</v>
      </c>
      <c r="P853">
        <f>G853*I853/100</f>
        <v>2592.59</v>
      </c>
      <c r="Q853">
        <f t="shared" si="13"/>
        <v>239316</v>
      </c>
      <c r="R853">
        <f>K853/J853</f>
        <v>0.17857142857142858</v>
      </c>
      <c r="S853">
        <v>2020</v>
      </c>
    </row>
    <row r="854" spans="1:19" x14ac:dyDescent="0.3">
      <c r="A854">
        <v>29</v>
      </c>
      <c r="B854">
        <v>1401</v>
      </c>
      <c r="C854" t="s">
        <v>17</v>
      </c>
      <c r="D854" t="s">
        <v>15</v>
      </c>
      <c r="E854">
        <v>54</v>
      </c>
      <c r="F854" t="s">
        <v>20</v>
      </c>
      <c r="G854">
        <v>3131</v>
      </c>
      <c r="H854">
        <v>26342</v>
      </c>
      <c r="I854">
        <v>13</v>
      </c>
      <c r="J854">
        <v>10</v>
      </c>
      <c r="K854">
        <v>10</v>
      </c>
      <c r="L854">
        <v>8</v>
      </c>
      <c r="M854">
        <v>0</v>
      </c>
      <c r="N854">
        <v>8</v>
      </c>
      <c r="P854">
        <f>G854*I854/100</f>
        <v>407.03</v>
      </c>
      <c r="Q854">
        <f t="shared" si="13"/>
        <v>37572</v>
      </c>
      <c r="R854">
        <f>K854/J854</f>
        <v>1</v>
      </c>
      <c r="S854">
        <v>2020</v>
      </c>
    </row>
    <row r="855" spans="1:19" x14ac:dyDescent="0.3">
      <c r="A855">
        <v>19</v>
      </c>
      <c r="B855">
        <v>645</v>
      </c>
      <c r="C855" t="s">
        <v>17</v>
      </c>
      <c r="D855" t="s">
        <v>18</v>
      </c>
      <c r="E855">
        <v>54</v>
      </c>
      <c r="F855" t="s">
        <v>19</v>
      </c>
      <c r="G855">
        <v>2552</v>
      </c>
      <c r="H855">
        <v>7172</v>
      </c>
      <c r="I855">
        <v>25</v>
      </c>
      <c r="J855">
        <v>1</v>
      </c>
      <c r="K855">
        <v>1</v>
      </c>
      <c r="L855">
        <v>1</v>
      </c>
      <c r="M855">
        <v>0</v>
      </c>
      <c r="N855">
        <v>0</v>
      </c>
      <c r="P855">
        <f>G855*I855/100</f>
        <v>638</v>
      </c>
      <c r="Q855">
        <f t="shared" si="13"/>
        <v>30624</v>
      </c>
      <c r="R855">
        <f>K855/J855</f>
        <v>1</v>
      </c>
      <c r="S855">
        <v>2020</v>
      </c>
    </row>
    <row r="856" spans="1:19" x14ac:dyDescent="0.3">
      <c r="A856">
        <v>45</v>
      </c>
      <c r="B856">
        <v>1457</v>
      </c>
      <c r="C856" t="s">
        <v>17</v>
      </c>
      <c r="D856" t="s">
        <v>15</v>
      </c>
      <c r="E856">
        <v>83</v>
      </c>
      <c r="F856" t="s">
        <v>19</v>
      </c>
      <c r="G856">
        <v>4477</v>
      </c>
      <c r="H856">
        <v>20100</v>
      </c>
      <c r="I856">
        <v>19</v>
      </c>
      <c r="J856">
        <v>7</v>
      </c>
      <c r="K856">
        <v>3</v>
      </c>
      <c r="L856">
        <v>2</v>
      </c>
      <c r="M856">
        <v>0</v>
      </c>
      <c r="N856">
        <v>2</v>
      </c>
      <c r="P856">
        <f>G856*I856/100</f>
        <v>850.63</v>
      </c>
      <c r="Q856">
        <f t="shared" si="13"/>
        <v>53724</v>
      </c>
      <c r="R856">
        <f>K856/J856</f>
        <v>0.42857142857142855</v>
      </c>
      <c r="S856">
        <v>2020</v>
      </c>
    </row>
    <row r="857" spans="1:19" x14ac:dyDescent="0.3">
      <c r="A857">
        <v>37</v>
      </c>
      <c r="B857">
        <v>977</v>
      </c>
      <c r="C857" t="s">
        <v>17</v>
      </c>
      <c r="D857" t="s">
        <v>15</v>
      </c>
      <c r="E857">
        <v>56</v>
      </c>
      <c r="F857" t="s">
        <v>21</v>
      </c>
      <c r="G857">
        <v>6474</v>
      </c>
      <c r="H857">
        <v>9961</v>
      </c>
      <c r="I857">
        <v>13</v>
      </c>
      <c r="J857">
        <v>14</v>
      </c>
      <c r="K857">
        <v>14</v>
      </c>
      <c r="L857">
        <v>8</v>
      </c>
      <c r="M857">
        <v>3</v>
      </c>
      <c r="N857">
        <v>11</v>
      </c>
      <c r="P857">
        <f>G857*I857/100</f>
        <v>841.62</v>
      </c>
      <c r="Q857">
        <f t="shared" si="13"/>
        <v>77688</v>
      </c>
      <c r="R857">
        <f>K857/J857</f>
        <v>1</v>
      </c>
      <c r="S857">
        <v>2020</v>
      </c>
    </row>
    <row r="858" spans="1:19" x14ac:dyDescent="0.3">
      <c r="A858">
        <v>20</v>
      </c>
      <c r="B858">
        <v>805</v>
      </c>
      <c r="C858" t="s">
        <v>17</v>
      </c>
      <c r="D858" t="s">
        <v>18</v>
      </c>
      <c r="E858">
        <v>87</v>
      </c>
      <c r="F858" t="s">
        <v>20</v>
      </c>
      <c r="G858">
        <v>3033</v>
      </c>
      <c r="H858">
        <v>12828</v>
      </c>
      <c r="I858">
        <v>12</v>
      </c>
      <c r="J858">
        <v>2</v>
      </c>
      <c r="K858">
        <v>2</v>
      </c>
      <c r="L858">
        <v>2</v>
      </c>
      <c r="M858">
        <v>1</v>
      </c>
      <c r="N858">
        <v>2</v>
      </c>
      <c r="P858">
        <f>G858*I858/100</f>
        <v>363.96</v>
      </c>
      <c r="Q858">
        <f t="shared" si="13"/>
        <v>36396</v>
      </c>
      <c r="R858">
        <f>K858/J858</f>
        <v>1</v>
      </c>
      <c r="S858">
        <v>2020</v>
      </c>
    </row>
    <row r="859" spans="1:19" x14ac:dyDescent="0.3">
      <c r="A859">
        <v>44</v>
      </c>
      <c r="B859">
        <v>1097</v>
      </c>
      <c r="C859" t="s">
        <v>17</v>
      </c>
      <c r="D859" t="s">
        <v>18</v>
      </c>
      <c r="E859">
        <v>96</v>
      </c>
      <c r="F859" t="s">
        <v>19</v>
      </c>
      <c r="G859">
        <v>2936</v>
      </c>
      <c r="H859">
        <v>10826</v>
      </c>
      <c r="I859">
        <v>11</v>
      </c>
      <c r="J859">
        <v>6</v>
      </c>
      <c r="K859">
        <v>6</v>
      </c>
      <c r="L859">
        <v>4</v>
      </c>
      <c r="M859">
        <v>0</v>
      </c>
      <c r="N859">
        <v>2</v>
      </c>
      <c r="P859">
        <f>G859*I859/100</f>
        <v>322.95999999999998</v>
      </c>
      <c r="Q859">
        <f t="shared" si="13"/>
        <v>35232</v>
      </c>
      <c r="R859">
        <f>K859/J859</f>
        <v>1</v>
      </c>
      <c r="S859">
        <v>2020</v>
      </c>
    </row>
    <row r="860" spans="1:19" x14ac:dyDescent="0.3">
      <c r="A860">
        <v>53</v>
      </c>
      <c r="B860">
        <v>1223</v>
      </c>
      <c r="C860" t="s">
        <v>17</v>
      </c>
      <c r="D860" t="s">
        <v>15</v>
      </c>
      <c r="E860">
        <v>50</v>
      </c>
      <c r="F860" t="s">
        <v>23</v>
      </c>
      <c r="G860">
        <v>18606</v>
      </c>
      <c r="H860">
        <v>18640</v>
      </c>
      <c r="I860">
        <v>18</v>
      </c>
      <c r="J860">
        <v>26</v>
      </c>
      <c r="K860">
        <v>7</v>
      </c>
      <c r="L860">
        <v>7</v>
      </c>
      <c r="M860">
        <v>4</v>
      </c>
      <c r="N860">
        <v>7</v>
      </c>
      <c r="P860">
        <f>G860*I860/100</f>
        <v>3349.08</v>
      </c>
      <c r="Q860">
        <f t="shared" si="13"/>
        <v>223272</v>
      </c>
      <c r="R860">
        <f>K860/J860</f>
        <v>0.26923076923076922</v>
      </c>
      <c r="S860">
        <v>2020</v>
      </c>
    </row>
    <row r="861" spans="1:19" x14ac:dyDescent="0.3">
      <c r="A861">
        <v>29</v>
      </c>
      <c r="B861">
        <v>942</v>
      </c>
      <c r="C861" t="s">
        <v>17</v>
      </c>
      <c r="D861" t="s">
        <v>15</v>
      </c>
      <c r="E861">
        <v>69</v>
      </c>
      <c r="F861" t="s">
        <v>19</v>
      </c>
      <c r="G861">
        <v>2168</v>
      </c>
      <c r="H861">
        <v>26933</v>
      </c>
      <c r="I861">
        <v>18</v>
      </c>
      <c r="J861">
        <v>6</v>
      </c>
      <c r="K861">
        <v>5</v>
      </c>
      <c r="L861">
        <v>4</v>
      </c>
      <c r="M861">
        <v>1</v>
      </c>
      <c r="N861">
        <v>3</v>
      </c>
      <c r="P861">
        <f>G861*I861/100</f>
        <v>390.24</v>
      </c>
      <c r="Q861">
        <f t="shared" si="13"/>
        <v>26016</v>
      </c>
      <c r="R861">
        <f>K861/J861</f>
        <v>0.83333333333333337</v>
      </c>
      <c r="S861">
        <v>2020</v>
      </c>
    </row>
    <row r="862" spans="1:19" x14ac:dyDescent="0.3">
      <c r="A862">
        <v>22</v>
      </c>
      <c r="B862">
        <v>1256</v>
      </c>
      <c r="C862" t="s">
        <v>17</v>
      </c>
      <c r="D862" t="s">
        <v>18</v>
      </c>
      <c r="E862">
        <v>48</v>
      </c>
      <c r="F862" t="s">
        <v>19</v>
      </c>
      <c r="G862">
        <v>2853</v>
      </c>
      <c r="H862">
        <v>4223</v>
      </c>
      <c r="I862">
        <v>11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f>G862*I862/100</f>
        <v>313.83</v>
      </c>
      <c r="Q862">
        <f t="shared" si="13"/>
        <v>34236</v>
      </c>
      <c r="R862">
        <f>K862/J862</f>
        <v>0</v>
      </c>
      <c r="S862">
        <v>2020</v>
      </c>
    </row>
    <row r="863" spans="1:19" x14ac:dyDescent="0.3">
      <c r="A863">
        <v>46</v>
      </c>
      <c r="B863">
        <v>1402</v>
      </c>
      <c r="C863" t="s">
        <v>14</v>
      </c>
      <c r="D863" t="s">
        <v>15</v>
      </c>
      <c r="E863">
        <v>69</v>
      </c>
      <c r="F863" t="s">
        <v>23</v>
      </c>
      <c r="G863">
        <v>17048</v>
      </c>
      <c r="H863">
        <v>24097</v>
      </c>
      <c r="I863">
        <v>23</v>
      </c>
      <c r="J863">
        <v>28</v>
      </c>
      <c r="K863">
        <v>26</v>
      </c>
      <c r="L863">
        <v>15</v>
      </c>
      <c r="M863">
        <v>15</v>
      </c>
      <c r="N863">
        <v>9</v>
      </c>
      <c r="P863">
        <f>G863*I863/100</f>
        <v>3921.04</v>
      </c>
      <c r="Q863">
        <f t="shared" si="13"/>
        <v>204576</v>
      </c>
      <c r="R863">
        <f>K863/J863</f>
        <v>0.9285714285714286</v>
      </c>
      <c r="S863">
        <v>2020</v>
      </c>
    </row>
    <row r="864" spans="1:19" x14ac:dyDescent="0.3">
      <c r="A864">
        <v>44</v>
      </c>
      <c r="B864">
        <v>111</v>
      </c>
      <c r="C864" t="s">
        <v>17</v>
      </c>
      <c r="D864" t="s">
        <v>18</v>
      </c>
      <c r="E864">
        <v>74</v>
      </c>
      <c r="F864" t="s">
        <v>19</v>
      </c>
      <c r="G864">
        <v>2290</v>
      </c>
      <c r="H864">
        <v>4279</v>
      </c>
      <c r="I864">
        <v>13</v>
      </c>
      <c r="J864">
        <v>6</v>
      </c>
      <c r="K864">
        <v>0</v>
      </c>
      <c r="L864">
        <v>0</v>
      </c>
      <c r="M864">
        <v>0</v>
      </c>
      <c r="N864">
        <v>0</v>
      </c>
      <c r="P864">
        <f>G864*I864/100</f>
        <v>297.7</v>
      </c>
      <c r="Q864">
        <f t="shared" si="13"/>
        <v>27480</v>
      </c>
      <c r="R864">
        <f>K864/J864</f>
        <v>0</v>
      </c>
      <c r="S864">
        <v>2020</v>
      </c>
    </row>
    <row r="865" spans="1:19" x14ac:dyDescent="0.3">
      <c r="A865">
        <v>33</v>
      </c>
      <c r="B865">
        <v>147</v>
      </c>
      <c r="C865" t="s">
        <v>26</v>
      </c>
      <c r="D865" t="s">
        <v>18</v>
      </c>
      <c r="E865">
        <v>99</v>
      </c>
      <c r="F865" t="s">
        <v>26</v>
      </c>
      <c r="G865">
        <v>3600</v>
      </c>
      <c r="H865">
        <v>8429</v>
      </c>
      <c r="I865">
        <v>13</v>
      </c>
      <c r="J865">
        <v>5</v>
      </c>
      <c r="K865">
        <v>5</v>
      </c>
      <c r="L865">
        <v>4</v>
      </c>
      <c r="M865">
        <v>1</v>
      </c>
      <c r="N865">
        <v>4</v>
      </c>
      <c r="P865">
        <f>G865*I865/100</f>
        <v>468</v>
      </c>
      <c r="Q865">
        <f t="shared" si="13"/>
        <v>43200</v>
      </c>
      <c r="R865">
        <f>K865/J865</f>
        <v>1</v>
      </c>
      <c r="S865">
        <v>2020</v>
      </c>
    </row>
    <row r="866" spans="1:19" x14ac:dyDescent="0.3">
      <c r="A866">
        <v>41</v>
      </c>
      <c r="B866">
        <v>906</v>
      </c>
      <c r="C866" t="s">
        <v>17</v>
      </c>
      <c r="D866" t="s">
        <v>18</v>
      </c>
      <c r="E866">
        <v>95</v>
      </c>
      <c r="F866" t="s">
        <v>19</v>
      </c>
      <c r="G866">
        <v>2107</v>
      </c>
      <c r="H866">
        <v>20293</v>
      </c>
      <c r="I866">
        <v>17</v>
      </c>
      <c r="J866">
        <v>5</v>
      </c>
      <c r="K866">
        <v>1</v>
      </c>
      <c r="L866">
        <v>0</v>
      </c>
      <c r="M866">
        <v>0</v>
      </c>
      <c r="N866">
        <v>0</v>
      </c>
      <c r="P866">
        <f>G866*I866/100</f>
        <v>358.19</v>
      </c>
      <c r="Q866">
        <f t="shared" si="13"/>
        <v>25284</v>
      </c>
      <c r="R866">
        <f>K866/J866</f>
        <v>0.2</v>
      </c>
      <c r="S866">
        <v>2020</v>
      </c>
    </row>
    <row r="867" spans="1:19" x14ac:dyDescent="0.3">
      <c r="A867">
        <v>30</v>
      </c>
      <c r="B867">
        <v>1329</v>
      </c>
      <c r="C867" t="s">
        <v>14</v>
      </c>
      <c r="D867" t="s">
        <v>18</v>
      </c>
      <c r="E867">
        <v>61</v>
      </c>
      <c r="F867" t="s">
        <v>16</v>
      </c>
      <c r="G867">
        <v>4115</v>
      </c>
      <c r="H867">
        <v>13192</v>
      </c>
      <c r="I867">
        <v>19</v>
      </c>
      <c r="J867">
        <v>8</v>
      </c>
      <c r="K867">
        <v>4</v>
      </c>
      <c r="L867">
        <v>3</v>
      </c>
      <c r="M867">
        <v>0</v>
      </c>
      <c r="N867">
        <v>3</v>
      </c>
      <c r="P867">
        <f>G867*I867/100</f>
        <v>781.85</v>
      </c>
      <c r="Q867">
        <f t="shared" si="13"/>
        <v>49380</v>
      </c>
      <c r="R867">
        <f>K867/J867</f>
        <v>0.5</v>
      </c>
      <c r="S867">
        <v>2020</v>
      </c>
    </row>
    <row r="868" spans="1:19" x14ac:dyDescent="0.3">
      <c r="A868">
        <v>40</v>
      </c>
      <c r="B868">
        <v>1184</v>
      </c>
      <c r="C868" t="s">
        <v>14</v>
      </c>
      <c r="D868" t="s">
        <v>18</v>
      </c>
      <c r="E868">
        <v>62</v>
      </c>
      <c r="F868" t="s">
        <v>16</v>
      </c>
      <c r="G868">
        <v>4327</v>
      </c>
      <c r="H868">
        <v>25440</v>
      </c>
      <c r="I868">
        <v>12</v>
      </c>
      <c r="J868">
        <v>5</v>
      </c>
      <c r="K868">
        <v>0</v>
      </c>
      <c r="L868">
        <v>0</v>
      </c>
      <c r="M868">
        <v>0</v>
      </c>
      <c r="N868">
        <v>0</v>
      </c>
      <c r="P868">
        <f>G868*I868/100</f>
        <v>519.24</v>
      </c>
      <c r="Q868">
        <f t="shared" si="13"/>
        <v>51924</v>
      </c>
      <c r="R868">
        <f>K868/J868</f>
        <v>0</v>
      </c>
      <c r="S868">
        <v>2020</v>
      </c>
    </row>
    <row r="869" spans="1:19" x14ac:dyDescent="0.3">
      <c r="A869">
        <v>50</v>
      </c>
      <c r="B869">
        <v>1421</v>
      </c>
      <c r="C869" t="s">
        <v>17</v>
      </c>
      <c r="D869" t="s">
        <v>15</v>
      </c>
      <c r="E869">
        <v>30</v>
      </c>
      <c r="F869" t="s">
        <v>23</v>
      </c>
      <c r="G869">
        <v>17856</v>
      </c>
      <c r="H869">
        <v>9490</v>
      </c>
      <c r="I869">
        <v>22</v>
      </c>
      <c r="J869">
        <v>32</v>
      </c>
      <c r="K869">
        <v>2</v>
      </c>
      <c r="L869">
        <v>2</v>
      </c>
      <c r="M869">
        <v>2</v>
      </c>
      <c r="N869">
        <v>2</v>
      </c>
      <c r="P869">
        <f>G869*I869/100</f>
        <v>3928.32</v>
      </c>
      <c r="Q869">
        <f t="shared" si="13"/>
        <v>214272</v>
      </c>
      <c r="R869">
        <f>K869/J869</f>
        <v>6.25E-2</v>
      </c>
      <c r="S869">
        <v>2020</v>
      </c>
    </row>
    <row r="870" spans="1:19" x14ac:dyDescent="0.3">
      <c r="A870">
        <v>28</v>
      </c>
      <c r="B870">
        <v>1179</v>
      </c>
      <c r="C870" t="s">
        <v>17</v>
      </c>
      <c r="D870" t="s">
        <v>18</v>
      </c>
      <c r="E870">
        <v>78</v>
      </c>
      <c r="F870" t="s">
        <v>20</v>
      </c>
      <c r="G870">
        <v>3196</v>
      </c>
      <c r="H870">
        <v>12449</v>
      </c>
      <c r="I870">
        <v>12</v>
      </c>
      <c r="J870">
        <v>6</v>
      </c>
      <c r="K870">
        <v>6</v>
      </c>
      <c r="L870">
        <v>5</v>
      </c>
      <c r="M870">
        <v>3</v>
      </c>
      <c r="N870">
        <v>3</v>
      </c>
      <c r="P870">
        <f>G870*I870/100</f>
        <v>383.52</v>
      </c>
      <c r="Q870">
        <f t="shared" si="13"/>
        <v>38352</v>
      </c>
      <c r="R870">
        <f>K870/J870</f>
        <v>1</v>
      </c>
      <c r="S870">
        <v>2020</v>
      </c>
    </row>
    <row r="871" spans="1:19" x14ac:dyDescent="0.3">
      <c r="A871">
        <v>46</v>
      </c>
      <c r="B871">
        <v>1450</v>
      </c>
      <c r="C871" t="s">
        <v>17</v>
      </c>
      <c r="D871" t="s">
        <v>18</v>
      </c>
      <c r="E871">
        <v>52</v>
      </c>
      <c r="F871" t="s">
        <v>25</v>
      </c>
      <c r="G871">
        <v>19081</v>
      </c>
      <c r="H871">
        <v>10849</v>
      </c>
      <c r="I871">
        <v>11</v>
      </c>
      <c r="J871">
        <v>25</v>
      </c>
      <c r="K871">
        <v>4</v>
      </c>
      <c r="L871">
        <v>2</v>
      </c>
      <c r="M871">
        <v>0</v>
      </c>
      <c r="N871">
        <v>3</v>
      </c>
      <c r="P871">
        <f>G871*I871/100</f>
        <v>2098.91</v>
      </c>
      <c r="Q871">
        <f t="shared" si="13"/>
        <v>228972</v>
      </c>
      <c r="R871">
        <f>K871/J871</f>
        <v>0.16</v>
      </c>
      <c r="S871">
        <v>2020</v>
      </c>
    </row>
    <row r="872" spans="1:19" x14ac:dyDescent="0.3">
      <c r="A872">
        <v>35</v>
      </c>
      <c r="B872">
        <v>1361</v>
      </c>
      <c r="C872" t="s">
        <v>14</v>
      </c>
      <c r="D872" t="s">
        <v>18</v>
      </c>
      <c r="E872">
        <v>94</v>
      </c>
      <c r="F872" t="s">
        <v>16</v>
      </c>
      <c r="G872">
        <v>8966</v>
      </c>
      <c r="H872">
        <v>21026</v>
      </c>
      <c r="I872">
        <v>15</v>
      </c>
      <c r="J872">
        <v>15</v>
      </c>
      <c r="K872">
        <v>7</v>
      </c>
      <c r="L872">
        <v>7</v>
      </c>
      <c r="M872">
        <v>1</v>
      </c>
      <c r="N872">
        <v>7</v>
      </c>
      <c r="P872">
        <f>G872*I872/100</f>
        <v>1344.9</v>
      </c>
      <c r="Q872">
        <f t="shared" si="13"/>
        <v>107592</v>
      </c>
      <c r="R872">
        <f>K872/J872</f>
        <v>0.46666666666666667</v>
      </c>
      <c r="S872">
        <v>2020</v>
      </c>
    </row>
    <row r="873" spans="1:19" x14ac:dyDescent="0.3">
      <c r="A873">
        <v>24</v>
      </c>
      <c r="B873">
        <v>984</v>
      </c>
      <c r="C873" t="s">
        <v>17</v>
      </c>
      <c r="D873" t="s">
        <v>15</v>
      </c>
      <c r="E873">
        <v>97</v>
      </c>
      <c r="F873" t="s">
        <v>20</v>
      </c>
      <c r="G873">
        <v>2210</v>
      </c>
      <c r="H873">
        <v>3372</v>
      </c>
      <c r="I873">
        <v>13</v>
      </c>
      <c r="J873">
        <v>1</v>
      </c>
      <c r="K873">
        <v>1</v>
      </c>
      <c r="L873">
        <v>0</v>
      </c>
      <c r="M873">
        <v>0</v>
      </c>
      <c r="N873">
        <v>0</v>
      </c>
      <c r="P873">
        <f>G873*I873/100</f>
        <v>287.3</v>
      </c>
      <c r="Q873">
        <f t="shared" si="13"/>
        <v>26520</v>
      </c>
      <c r="R873">
        <f>K873/J873</f>
        <v>1</v>
      </c>
      <c r="S873">
        <v>2020</v>
      </c>
    </row>
    <row r="874" spans="1:19" x14ac:dyDescent="0.3">
      <c r="A874">
        <v>33</v>
      </c>
      <c r="B874">
        <v>1146</v>
      </c>
      <c r="C874" t="s">
        <v>14</v>
      </c>
      <c r="D874" t="s">
        <v>15</v>
      </c>
      <c r="E874">
        <v>82</v>
      </c>
      <c r="F874" t="s">
        <v>16</v>
      </c>
      <c r="G874">
        <v>4539</v>
      </c>
      <c r="H874">
        <v>4905</v>
      </c>
      <c r="I874">
        <v>12</v>
      </c>
      <c r="J874">
        <v>10</v>
      </c>
      <c r="K874">
        <v>10</v>
      </c>
      <c r="L874">
        <v>7</v>
      </c>
      <c r="M874">
        <v>0</v>
      </c>
      <c r="N874">
        <v>1</v>
      </c>
      <c r="P874">
        <f>G874*I874/100</f>
        <v>544.67999999999995</v>
      </c>
      <c r="Q874">
        <f t="shared" si="13"/>
        <v>54468</v>
      </c>
      <c r="R874">
        <f>K874/J874</f>
        <v>1</v>
      </c>
      <c r="S874">
        <v>2020</v>
      </c>
    </row>
    <row r="875" spans="1:19" x14ac:dyDescent="0.3">
      <c r="A875">
        <v>36</v>
      </c>
      <c r="B875">
        <v>917</v>
      </c>
      <c r="C875" t="s">
        <v>17</v>
      </c>
      <c r="D875" t="s">
        <v>18</v>
      </c>
      <c r="E875">
        <v>60</v>
      </c>
      <c r="F875" t="s">
        <v>20</v>
      </c>
      <c r="G875">
        <v>2741</v>
      </c>
      <c r="H875">
        <v>6865</v>
      </c>
      <c r="I875">
        <v>14</v>
      </c>
      <c r="J875">
        <v>7</v>
      </c>
      <c r="K875">
        <v>7</v>
      </c>
      <c r="L875">
        <v>7</v>
      </c>
      <c r="M875">
        <v>1</v>
      </c>
      <c r="N875">
        <v>7</v>
      </c>
      <c r="P875">
        <f>G875*I875/100</f>
        <v>383.74</v>
      </c>
      <c r="Q875">
        <f t="shared" si="13"/>
        <v>32892</v>
      </c>
      <c r="R875">
        <f>K875/J875</f>
        <v>1</v>
      </c>
      <c r="S875">
        <v>2020</v>
      </c>
    </row>
    <row r="876" spans="1:19" x14ac:dyDescent="0.3">
      <c r="A876">
        <v>30</v>
      </c>
      <c r="B876">
        <v>853</v>
      </c>
      <c r="C876" t="s">
        <v>17</v>
      </c>
      <c r="D876" t="s">
        <v>18</v>
      </c>
      <c r="E876">
        <v>49</v>
      </c>
      <c r="F876" t="s">
        <v>20</v>
      </c>
      <c r="G876">
        <v>3491</v>
      </c>
      <c r="H876">
        <v>11309</v>
      </c>
      <c r="I876">
        <v>13</v>
      </c>
      <c r="J876">
        <v>10</v>
      </c>
      <c r="K876">
        <v>10</v>
      </c>
      <c r="L876">
        <v>7</v>
      </c>
      <c r="M876">
        <v>8</v>
      </c>
      <c r="N876">
        <v>9</v>
      </c>
      <c r="P876">
        <f>G876*I876/100</f>
        <v>453.83</v>
      </c>
      <c r="Q876">
        <f t="shared" si="13"/>
        <v>41892</v>
      </c>
      <c r="R876">
        <f>K876/J876</f>
        <v>1</v>
      </c>
      <c r="S876">
        <v>2020</v>
      </c>
    </row>
    <row r="877" spans="1:19" x14ac:dyDescent="0.3">
      <c r="A877">
        <v>44</v>
      </c>
      <c r="B877">
        <v>200</v>
      </c>
      <c r="C877" t="s">
        <v>17</v>
      </c>
      <c r="D877" t="s">
        <v>18</v>
      </c>
      <c r="E877">
        <v>32</v>
      </c>
      <c r="F877" t="s">
        <v>19</v>
      </c>
      <c r="G877">
        <v>4541</v>
      </c>
      <c r="H877">
        <v>7744</v>
      </c>
      <c r="I877">
        <v>25</v>
      </c>
      <c r="J877">
        <v>20</v>
      </c>
      <c r="K877">
        <v>20</v>
      </c>
      <c r="L877">
        <v>11</v>
      </c>
      <c r="M877">
        <v>13</v>
      </c>
      <c r="N877">
        <v>17</v>
      </c>
      <c r="P877">
        <f>G877*I877/100</f>
        <v>1135.25</v>
      </c>
      <c r="Q877">
        <f t="shared" si="13"/>
        <v>54492</v>
      </c>
      <c r="R877">
        <f>K877/J877</f>
        <v>1</v>
      </c>
      <c r="S877">
        <v>2020</v>
      </c>
    </row>
    <row r="878" spans="1:19" x14ac:dyDescent="0.3">
      <c r="A878">
        <v>20</v>
      </c>
      <c r="B878">
        <v>654</v>
      </c>
      <c r="C878" t="s">
        <v>14</v>
      </c>
      <c r="D878" t="s">
        <v>18</v>
      </c>
      <c r="E878">
        <v>43</v>
      </c>
      <c r="F878" t="s">
        <v>24</v>
      </c>
      <c r="G878">
        <v>2678</v>
      </c>
      <c r="H878">
        <v>5050</v>
      </c>
      <c r="I878">
        <v>17</v>
      </c>
      <c r="J878">
        <v>2</v>
      </c>
      <c r="K878">
        <v>2</v>
      </c>
      <c r="L878">
        <v>1</v>
      </c>
      <c r="M878">
        <v>2</v>
      </c>
      <c r="N878">
        <v>2</v>
      </c>
      <c r="P878">
        <f>G878*I878/100</f>
        <v>455.26</v>
      </c>
      <c r="Q878">
        <f t="shared" si="13"/>
        <v>32136</v>
      </c>
      <c r="R878">
        <f>K878/J878</f>
        <v>1</v>
      </c>
      <c r="S878">
        <v>2020</v>
      </c>
    </row>
    <row r="879" spans="1:19" x14ac:dyDescent="0.3">
      <c r="A879">
        <v>46</v>
      </c>
      <c r="B879">
        <v>150</v>
      </c>
      <c r="C879" t="s">
        <v>17</v>
      </c>
      <c r="D879" t="s">
        <v>18</v>
      </c>
      <c r="E879">
        <v>60</v>
      </c>
      <c r="F879" t="s">
        <v>21</v>
      </c>
      <c r="G879">
        <v>7379</v>
      </c>
      <c r="H879">
        <v>17433</v>
      </c>
      <c r="I879">
        <v>11</v>
      </c>
      <c r="J879">
        <v>12</v>
      </c>
      <c r="K879">
        <v>6</v>
      </c>
      <c r="L879">
        <v>3</v>
      </c>
      <c r="M879">
        <v>1</v>
      </c>
      <c r="N879">
        <v>4</v>
      </c>
      <c r="P879">
        <f>G879*I879/100</f>
        <v>811.69</v>
      </c>
      <c r="Q879">
        <f t="shared" si="13"/>
        <v>88548</v>
      </c>
      <c r="R879">
        <f>K879/J879</f>
        <v>0.5</v>
      </c>
      <c r="S879">
        <v>2020</v>
      </c>
    </row>
    <row r="880" spans="1:19" x14ac:dyDescent="0.3">
      <c r="A880">
        <v>42</v>
      </c>
      <c r="B880">
        <v>179</v>
      </c>
      <c r="C880" t="s">
        <v>26</v>
      </c>
      <c r="D880" t="s">
        <v>18</v>
      </c>
      <c r="E880">
        <v>79</v>
      </c>
      <c r="F880" t="s">
        <v>26</v>
      </c>
      <c r="G880">
        <v>6272</v>
      </c>
      <c r="H880">
        <v>12858</v>
      </c>
      <c r="I880">
        <v>16</v>
      </c>
      <c r="J880">
        <v>10</v>
      </c>
      <c r="K880">
        <v>4</v>
      </c>
      <c r="L880">
        <v>3</v>
      </c>
      <c r="M880">
        <v>0</v>
      </c>
      <c r="N880">
        <v>3</v>
      </c>
      <c r="P880">
        <f>G880*I880/100</f>
        <v>1003.52</v>
      </c>
      <c r="Q880">
        <f t="shared" si="13"/>
        <v>75264</v>
      </c>
      <c r="R880">
        <f>K880/J880</f>
        <v>0.4</v>
      </c>
      <c r="S880">
        <v>2020</v>
      </c>
    </row>
    <row r="881" spans="1:19" x14ac:dyDescent="0.3">
      <c r="A881">
        <v>60</v>
      </c>
      <c r="B881">
        <v>696</v>
      </c>
      <c r="C881" t="s">
        <v>14</v>
      </c>
      <c r="D881" t="s">
        <v>18</v>
      </c>
      <c r="E881">
        <v>52</v>
      </c>
      <c r="F881" t="s">
        <v>16</v>
      </c>
      <c r="G881">
        <v>5220</v>
      </c>
      <c r="H881">
        <v>10893</v>
      </c>
      <c r="I881">
        <v>18</v>
      </c>
      <c r="J881">
        <v>12</v>
      </c>
      <c r="K881">
        <v>11</v>
      </c>
      <c r="L881">
        <v>7</v>
      </c>
      <c r="M881">
        <v>1</v>
      </c>
      <c r="N881">
        <v>9</v>
      </c>
      <c r="P881">
        <f>G881*I881/100</f>
        <v>939.6</v>
      </c>
      <c r="Q881">
        <f t="shared" si="13"/>
        <v>62640</v>
      </c>
      <c r="R881">
        <f>K881/J881</f>
        <v>0.91666666666666663</v>
      </c>
      <c r="S881">
        <v>2020</v>
      </c>
    </row>
    <row r="882" spans="1:19" x14ac:dyDescent="0.3">
      <c r="A882">
        <v>32</v>
      </c>
      <c r="B882">
        <v>116</v>
      </c>
      <c r="C882" t="s">
        <v>17</v>
      </c>
      <c r="D882" t="s">
        <v>15</v>
      </c>
      <c r="E882">
        <v>77</v>
      </c>
      <c r="F882" t="s">
        <v>20</v>
      </c>
      <c r="G882">
        <v>2743</v>
      </c>
      <c r="H882">
        <v>7331</v>
      </c>
      <c r="I882">
        <v>20</v>
      </c>
      <c r="J882">
        <v>2</v>
      </c>
      <c r="K882">
        <v>2</v>
      </c>
      <c r="L882">
        <v>2</v>
      </c>
      <c r="M882">
        <v>2</v>
      </c>
      <c r="N882">
        <v>2</v>
      </c>
      <c r="P882">
        <f>G882*I882/100</f>
        <v>548.6</v>
      </c>
      <c r="Q882">
        <f t="shared" si="13"/>
        <v>32916</v>
      </c>
      <c r="R882">
        <f>K882/J882</f>
        <v>1</v>
      </c>
      <c r="S882">
        <v>2020</v>
      </c>
    </row>
    <row r="883" spans="1:19" x14ac:dyDescent="0.3">
      <c r="A883">
        <v>32</v>
      </c>
      <c r="B883">
        <v>1316</v>
      </c>
      <c r="C883" t="s">
        <v>17</v>
      </c>
      <c r="D883" t="s">
        <v>15</v>
      </c>
      <c r="E883">
        <v>38</v>
      </c>
      <c r="F883" t="s">
        <v>19</v>
      </c>
      <c r="G883">
        <v>4998</v>
      </c>
      <c r="H883">
        <v>2338</v>
      </c>
      <c r="I883">
        <v>14</v>
      </c>
      <c r="J883">
        <v>10</v>
      </c>
      <c r="K883">
        <v>8</v>
      </c>
      <c r="L883">
        <v>7</v>
      </c>
      <c r="M883">
        <v>0</v>
      </c>
      <c r="N883">
        <v>7</v>
      </c>
      <c r="P883">
        <f>G883*I883/100</f>
        <v>699.72</v>
      </c>
      <c r="Q883">
        <f t="shared" si="13"/>
        <v>59976</v>
      </c>
      <c r="R883">
        <f>K883/J883</f>
        <v>0.8</v>
      </c>
      <c r="S883">
        <v>2020</v>
      </c>
    </row>
    <row r="884" spans="1:19" x14ac:dyDescent="0.3">
      <c r="A884">
        <v>36</v>
      </c>
      <c r="B884">
        <v>363</v>
      </c>
      <c r="C884" t="s">
        <v>17</v>
      </c>
      <c r="D884" t="s">
        <v>15</v>
      </c>
      <c r="E884">
        <v>77</v>
      </c>
      <c r="F884" t="s">
        <v>21</v>
      </c>
      <c r="G884">
        <v>10252</v>
      </c>
      <c r="H884">
        <v>4235</v>
      </c>
      <c r="I884">
        <v>21</v>
      </c>
      <c r="J884">
        <v>17</v>
      </c>
      <c r="K884">
        <v>7</v>
      </c>
      <c r="L884">
        <v>7</v>
      </c>
      <c r="M884">
        <v>7</v>
      </c>
      <c r="N884">
        <v>7</v>
      </c>
      <c r="P884">
        <f>G884*I884/100</f>
        <v>2152.92</v>
      </c>
      <c r="Q884">
        <f t="shared" si="13"/>
        <v>123024</v>
      </c>
      <c r="R884">
        <f>K884/J884</f>
        <v>0.41176470588235292</v>
      </c>
      <c r="S884">
        <v>2020</v>
      </c>
    </row>
    <row r="885" spans="1:19" x14ac:dyDescent="0.3">
      <c r="A885">
        <v>33</v>
      </c>
      <c r="B885">
        <v>117</v>
      </c>
      <c r="C885" t="s">
        <v>17</v>
      </c>
      <c r="D885" t="s">
        <v>18</v>
      </c>
      <c r="E885">
        <v>60</v>
      </c>
      <c r="F885" t="s">
        <v>19</v>
      </c>
      <c r="G885">
        <v>2781</v>
      </c>
      <c r="H885">
        <v>6311</v>
      </c>
      <c r="I885">
        <v>13</v>
      </c>
      <c r="J885">
        <v>15</v>
      </c>
      <c r="K885">
        <v>14</v>
      </c>
      <c r="L885">
        <v>10</v>
      </c>
      <c r="M885">
        <v>4</v>
      </c>
      <c r="N885">
        <v>10</v>
      </c>
      <c r="P885">
        <f>G885*I885/100</f>
        <v>361.53</v>
      </c>
      <c r="Q885">
        <f t="shared" si="13"/>
        <v>33372</v>
      </c>
      <c r="R885">
        <f>K885/J885</f>
        <v>0.93333333333333335</v>
      </c>
      <c r="S885">
        <v>2020</v>
      </c>
    </row>
    <row r="886" spans="1:19" x14ac:dyDescent="0.3">
      <c r="A886">
        <v>40</v>
      </c>
      <c r="B886">
        <v>107</v>
      </c>
      <c r="C886" t="s">
        <v>14</v>
      </c>
      <c r="D886" t="s">
        <v>15</v>
      </c>
      <c r="E886">
        <v>84</v>
      </c>
      <c r="F886" t="s">
        <v>16</v>
      </c>
      <c r="G886">
        <v>6852</v>
      </c>
      <c r="H886">
        <v>11591</v>
      </c>
      <c r="I886">
        <v>12</v>
      </c>
      <c r="J886">
        <v>7</v>
      </c>
      <c r="K886">
        <v>5</v>
      </c>
      <c r="L886">
        <v>1</v>
      </c>
      <c r="M886">
        <v>1</v>
      </c>
      <c r="N886">
        <v>3</v>
      </c>
      <c r="P886">
        <f>G886*I886/100</f>
        <v>822.24</v>
      </c>
      <c r="Q886">
        <f t="shared" si="13"/>
        <v>82224</v>
      </c>
      <c r="R886">
        <f>K886/J886</f>
        <v>0.7142857142857143</v>
      </c>
      <c r="S886">
        <v>2020</v>
      </c>
    </row>
    <row r="887" spans="1:19" x14ac:dyDescent="0.3">
      <c r="A887">
        <v>25</v>
      </c>
      <c r="B887">
        <v>1356</v>
      </c>
      <c r="C887" t="s">
        <v>14</v>
      </c>
      <c r="D887" t="s">
        <v>18</v>
      </c>
      <c r="E887">
        <v>57</v>
      </c>
      <c r="F887" t="s">
        <v>16</v>
      </c>
      <c r="G887">
        <v>4950</v>
      </c>
      <c r="H887">
        <v>20623</v>
      </c>
      <c r="I887">
        <v>14</v>
      </c>
      <c r="J887">
        <v>5</v>
      </c>
      <c r="K887">
        <v>4</v>
      </c>
      <c r="L887">
        <v>3</v>
      </c>
      <c r="M887">
        <v>1</v>
      </c>
      <c r="N887">
        <v>1</v>
      </c>
      <c r="P887">
        <f>G887*I887/100</f>
        <v>693</v>
      </c>
      <c r="Q887">
        <f t="shared" si="13"/>
        <v>59400</v>
      </c>
      <c r="R887">
        <f>K887/J887</f>
        <v>0.8</v>
      </c>
      <c r="S887">
        <v>2020</v>
      </c>
    </row>
    <row r="888" spans="1:19" x14ac:dyDescent="0.3">
      <c r="A888">
        <v>30</v>
      </c>
      <c r="B888">
        <v>1465</v>
      </c>
      <c r="C888" t="s">
        <v>17</v>
      </c>
      <c r="D888" t="s">
        <v>18</v>
      </c>
      <c r="E888">
        <v>63</v>
      </c>
      <c r="F888" t="s">
        <v>19</v>
      </c>
      <c r="G888">
        <v>3579</v>
      </c>
      <c r="H888">
        <v>9369</v>
      </c>
      <c r="I888">
        <v>21</v>
      </c>
      <c r="J888">
        <v>12</v>
      </c>
      <c r="K888">
        <v>11</v>
      </c>
      <c r="L888">
        <v>9</v>
      </c>
      <c r="M888">
        <v>5</v>
      </c>
      <c r="N888">
        <v>7</v>
      </c>
      <c r="P888">
        <f>G888*I888/100</f>
        <v>751.59</v>
      </c>
      <c r="Q888">
        <f t="shared" si="13"/>
        <v>42948</v>
      </c>
      <c r="R888">
        <f>K888/J888</f>
        <v>0.91666666666666663</v>
      </c>
      <c r="S888">
        <v>2020</v>
      </c>
    </row>
    <row r="889" spans="1:19" x14ac:dyDescent="0.3">
      <c r="A889">
        <v>42</v>
      </c>
      <c r="B889">
        <v>458</v>
      </c>
      <c r="C889" t="s">
        <v>17</v>
      </c>
      <c r="D889" t="s">
        <v>15</v>
      </c>
      <c r="E889">
        <v>60</v>
      </c>
      <c r="F889" t="s">
        <v>25</v>
      </c>
      <c r="G889">
        <v>13191</v>
      </c>
      <c r="H889">
        <v>23281</v>
      </c>
      <c r="I889">
        <v>17</v>
      </c>
      <c r="J889">
        <v>20</v>
      </c>
      <c r="K889">
        <v>1</v>
      </c>
      <c r="L889">
        <v>0</v>
      </c>
      <c r="M889">
        <v>0</v>
      </c>
      <c r="N889">
        <v>0</v>
      </c>
      <c r="P889">
        <f>G889*I889/100</f>
        <v>2242.4699999999998</v>
      </c>
      <c r="Q889">
        <f t="shared" si="13"/>
        <v>158292</v>
      </c>
      <c r="R889">
        <f>K889/J889</f>
        <v>0.05</v>
      </c>
      <c r="S889">
        <v>2020</v>
      </c>
    </row>
    <row r="890" spans="1:19" x14ac:dyDescent="0.3">
      <c r="A890">
        <v>35</v>
      </c>
      <c r="B890">
        <v>1212</v>
      </c>
      <c r="C890" t="s">
        <v>14</v>
      </c>
      <c r="D890" t="s">
        <v>15</v>
      </c>
      <c r="E890">
        <v>78</v>
      </c>
      <c r="F890" t="s">
        <v>16</v>
      </c>
      <c r="G890">
        <v>10377</v>
      </c>
      <c r="H890">
        <v>13755</v>
      </c>
      <c r="I890">
        <v>11</v>
      </c>
      <c r="J890">
        <v>16</v>
      </c>
      <c r="K890">
        <v>13</v>
      </c>
      <c r="L890">
        <v>2</v>
      </c>
      <c r="M890">
        <v>4</v>
      </c>
      <c r="N890">
        <v>12</v>
      </c>
      <c r="P890">
        <f>G890*I890/100</f>
        <v>1141.47</v>
      </c>
      <c r="Q890">
        <f t="shared" si="13"/>
        <v>124524</v>
      </c>
      <c r="R890">
        <f>K890/J890</f>
        <v>0.8125</v>
      </c>
      <c r="S890">
        <v>2020</v>
      </c>
    </row>
    <row r="891" spans="1:19" x14ac:dyDescent="0.3">
      <c r="A891">
        <v>27</v>
      </c>
      <c r="B891">
        <v>1103</v>
      </c>
      <c r="C891" t="s">
        <v>17</v>
      </c>
      <c r="D891" t="s">
        <v>18</v>
      </c>
      <c r="E891">
        <v>42</v>
      </c>
      <c r="F891" t="s">
        <v>19</v>
      </c>
      <c r="G891">
        <v>2235</v>
      </c>
      <c r="H891">
        <v>14377</v>
      </c>
      <c r="I891">
        <v>14</v>
      </c>
      <c r="J891">
        <v>9</v>
      </c>
      <c r="K891">
        <v>9</v>
      </c>
      <c r="L891">
        <v>7</v>
      </c>
      <c r="M891">
        <v>6</v>
      </c>
      <c r="N891">
        <v>8</v>
      </c>
      <c r="P891">
        <f>G891*I891/100</f>
        <v>312.89999999999998</v>
      </c>
      <c r="Q891">
        <f t="shared" si="13"/>
        <v>26820</v>
      </c>
      <c r="R891">
        <f>K891/J891</f>
        <v>1</v>
      </c>
      <c r="S891">
        <v>2020</v>
      </c>
    </row>
    <row r="892" spans="1:19" x14ac:dyDescent="0.3">
      <c r="A892">
        <v>54</v>
      </c>
      <c r="B892">
        <v>966</v>
      </c>
      <c r="C892" t="s">
        <v>17</v>
      </c>
      <c r="D892" t="s">
        <v>15</v>
      </c>
      <c r="E892">
        <v>53</v>
      </c>
      <c r="F892" t="s">
        <v>21</v>
      </c>
      <c r="G892">
        <v>10502</v>
      </c>
      <c r="H892">
        <v>9659</v>
      </c>
      <c r="I892">
        <v>17</v>
      </c>
      <c r="J892">
        <v>33</v>
      </c>
      <c r="K892">
        <v>5</v>
      </c>
      <c r="L892">
        <v>4</v>
      </c>
      <c r="M892">
        <v>1</v>
      </c>
      <c r="N892">
        <v>4</v>
      </c>
      <c r="P892">
        <f>G892*I892/100</f>
        <v>1785.34</v>
      </c>
      <c r="Q892">
        <f t="shared" si="13"/>
        <v>126024</v>
      </c>
      <c r="R892">
        <f>K892/J892</f>
        <v>0.15151515151515152</v>
      </c>
      <c r="S892">
        <v>2020</v>
      </c>
    </row>
    <row r="893" spans="1:19" x14ac:dyDescent="0.3">
      <c r="A893">
        <v>44</v>
      </c>
      <c r="B893">
        <v>1117</v>
      </c>
      <c r="C893" t="s">
        <v>17</v>
      </c>
      <c r="D893" t="s">
        <v>15</v>
      </c>
      <c r="E893">
        <v>72</v>
      </c>
      <c r="F893" t="s">
        <v>19</v>
      </c>
      <c r="G893">
        <v>2011</v>
      </c>
      <c r="H893">
        <v>19982</v>
      </c>
      <c r="I893">
        <v>13</v>
      </c>
      <c r="J893">
        <v>10</v>
      </c>
      <c r="K893">
        <v>10</v>
      </c>
      <c r="L893">
        <v>5</v>
      </c>
      <c r="M893">
        <v>7</v>
      </c>
      <c r="N893">
        <v>7</v>
      </c>
      <c r="P893">
        <f>G893*I893/100</f>
        <v>261.43</v>
      </c>
      <c r="Q893">
        <f t="shared" si="13"/>
        <v>24132</v>
      </c>
      <c r="R893">
        <f>K893/J893</f>
        <v>1</v>
      </c>
      <c r="S893">
        <v>2020</v>
      </c>
    </row>
    <row r="894" spans="1:19" x14ac:dyDescent="0.3">
      <c r="A894">
        <v>19</v>
      </c>
      <c r="B894">
        <v>504</v>
      </c>
      <c r="C894" t="s">
        <v>17</v>
      </c>
      <c r="D894" t="s">
        <v>15</v>
      </c>
      <c r="E894">
        <v>96</v>
      </c>
      <c r="F894" t="s">
        <v>19</v>
      </c>
      <c r="G894">
        <v>1859</v>
      </c>
      <c r="H894">
        <v>6148</v>
      </c>
      <c r="I894">
        <v>25</v>
      </c>
      <c r="J894">
        <v>1</v>
      </c>
      <c r="K894">
        <v>1</v>
      </c>
      <c r="L894">
        <v>1</v>
      </c>
      <c r="M894">
        <v>0</v>
      </c>
      <c r="N894">
        <v>0</v>
      </c>
      <c r="P894">
        <f>G894*I894/100</f>
        <v>464.75</v>
      </c>
      <c r="Q894">
        <f t="shared" si="13"/>
        <v>22308</v>
      </c>
      <c r="R894">
        <f>K894/J894</f>
        <v>1</v>
      </c>
      <c r="S894">
        <v>2020</v>
      </c>
    </row>
    <row r="895" spans="1:19" x14ac:dyDescent="0.3">
      <c r="A895">
        <v>29</v>
      </c>
      <c r="B895">
        <v>1010</v>
      </c>
      <c r="C895" t="s">
        <v>17</v>
      </c>
      <c r="D895" t="s">
        <v>15</v>
      </c>
      <c r="E895">
        <v>97</v>
      </c>
      <c r="F895" t="s">
        <v>19</v>
      </c>
      <c r="G895">
        <v>3760</v>
      </c>
      <c r="H895">
        <v>5598</v>
      </c>
      <c r="I895">
        <v>15</v>
      </c>
      <c r="J895">
        <v>3</v>
      </c>
      <c r="K895">
        <v>3</v>
      </c>
      <c r="L895">
        <v>2</v>
      </c>
      <c r="M895">
        <v>1</v>
      </c>
      <c r="N895">
        <v>2</v>
      </c>
      <c r="P895">
        <f>G895*I895/100</f>
        <v>564</v>
      </c>
      <c r="Q895">
        <f t="shared" si="13"/>
        <v>45120</v>
      </c>
      <c r="R895">
        <f>K895/J895</f>
        <v>1</v>
      </c>
      <c r="S895">
        <v>2020</v>
      </c>
    </row>
    <row r="896" spans="1:19" x14ac:dyDescent="0.3">
      <c r="A896">
        <v>54</v>
      </c>
      <c r="B896">
        <v>685</v>
      </c>
      <c r="C896" t="s">
        <v>17</v>
      </c>
      <c r="D896" t="s">
        <v>18</v>
      </c>
      <c r="E896">
        <v>85</v>
      </c>
      <c r="F896" t="s">
        <v>25</v>
      </c>
      <c r="G896">
        <v>17779</v>
      </c>
      <c r="H896">
        <v>23474</v>
      </c>
      <c r="I896">
        <v>14</v>
      </c>
      <c r="J896">
        <v>36</v>
      </c>
      <c r="K896">
        <v>10</v>
      </c>
      <c r="L896">
        <v>9</v>
      </c>
      <c r="M896">
        <v>0</v>
      </c>
      <c r="N896">
        <v>9</v>
      </c>
      <c r="P896">
        <f>G896*I896/100</f>
        <v>2489.06</v>
      </c>
      <c r="Q896">
        <f t="shared" si="13"/>
        <v>213348</v>
      </c>
      <c r="R896">
        <f>K896/J896</f>
        <v>0.27777777777777779</v>
      </c>
      <c r="S896">
        <v>2020</v>
      </c>
    </row>
    <row r="897" spans="1:19" x14ac:dyDescent="0.3">
      <c r="A897">
        <v>31</v>
      </c>
      <c r="B897">
        <v>1332</v>
      </c>
      <c r="C897" t="s">
        <v>17</v>
      </c>
      <c r="D897" t="s">
        <v>18</v>
      </c>
      <c r="E897">
        <v>80</v>
      </c>
      <c r="F897" t="s">
        <v>22</v>
      </c>
      <c r="G897">
        <v>6833</v>
      </c>
      <c r="H897">
        <v>17089</v>
      </c>
      <c r="I897">
        <v>12</v>
      </c>
      <c r="J897">
        <v>6</v>
      </c>
      <c r="K897">
        <v>6</v>
      </c>
      <c r="L897">
        <v>5</v>
      </c>
      <c r="M897">
        <v>0</v>
      </c>
      <c r="N897">
        <v>1</v>
      </c>
      <c r="P897">
        <f>G897*I897/100</f>
        <v>819.96</v>
      </c>
      <c r="Q897">
        <f t="shared" si="13"/>
        <v>81996</v>
      </c>
      <c r="R897">
        <f>K897/J897</f>
        <v>1</v>
      </c>
      <c r="S897">
        <v>2020</v>
      </c>
    </row>
    <row r="898" spans="1:19" x14ac:dyDescent="0.3">
      <c r="A898">
        <v>31</v>
      </c>
      <c r="B898">
        <v>1062</v>
      </c>
      <c r="C898" t="s">
        <v>17</v>
      </c>
      <c r="D898" t="s">
        <v>15</v>
      </c>
      <c r="E898">
        <v>96</v>
      </c>
      <c r="F898" t="s">
        <v>22</v>
      </c>
      <c r="G898">
        <v>6812</v>
      </c>
      <c r="H898">
        <v>17198</v>
      </c>
      <c r="I898">
        <v>19</v>
      </c>
      <c r="J898">
        <v>10</v>
      </c>
      <c r="K898">
        <v>10</v>
      </c>
      <c r="L898">
        <v>9</v>
      </c>
      <c r="M898">
        <v>1</v>
      </c>
      <c r="N898">
        <v>8</v>
      </c>
      <c r="P898">
        <f>G898*I898/100</f>
        <v>1294.28</v>
      </c>
      <c r="Q898">
        <f t="shared" si="13"/>
        <v>81744</v>
      </c>
      <c r="R898">
        <f>K898/J898</f>
        <v>1</v>
      </c>
      <c r="S898">
        <v>2020</v>
      </c>
    </row>
    <row r="899" spans="1:19" x14ac:dyDescent="0.3">
      <c r="A899">
        <v>59</v>
      </c>
      <c r="B899">
        <v>326</v>
      </c>
      <c r="C899" t="s">
        <v>14</v>
      </c>
      <c r="D899" t="s">
        <v>15</v>
      </c>
      <c r="E899">
        <v>48</v>
      </c>
      <c r="F899" t="s">
        <v>16</v>
      </c>
      <c r="G899">
        <v>5171</v>
      </c>
      <c r="H899">
        <v>16490</v>
      </c>
      <c r="I899">
        <v>17</v>
      </c>
      <c r="J899">
        <v>13</v>
      </c>
      <c r="K899">
        <v>6</v>
      </c>
      <c r="L899">
        <v>1</v>
      </c>
      <c r="M899">
        <v>0</v>
      </c>
      <c r="N899">
        <v>5</v>
      </c>
      <c r="P899">
        <f>G899*I899/100</f>
        <v>879.07</v>
      </c>
      <c r="Q899">
        <f t="shared" ref="Q899:Q962" si="14">G899*12</f>
        <v>62052</v>
      </c>
      <c r="R899">
        <f>K899/J899</f>
        <v>0.46153846153846156</v>
      </c>
      <c r="S899">
        <v>2020</v>
      </c>
    </row>
    <row r="900" spans="1:19" x14ac:dyDescent="0.3">
      <c r="A900">
        <v>43</v>
      </c>
      <c r="B900">
        <v>920</v>
      </c>
      <c r="C900" t="s">
        <v>17</v>
      </c>
      <c r="D900" t="s">
        <v>18</v>
      </c>
      <c r="E900">
        <v>96</v>
      </c>
      <c r="F900" t="s">
        <v>25</v>
      </c>
      <c r="G900">
        <v>19740</v>
      </c>
      <c r="H900">
        <v>18625</v>
      </c>
      <c r="I900">
        <v>14</v>
      </c>
      <c r="J900">
        <v>25</v>
      </c>
      <c r="K900">
        <v>8</v>
      </c>
      <c r="L900">
        <v>7</v>
      </c>
      <c r="M900">
        <v>0</v>
      </c>
      <c r="N900">
        <v>7</v>
      </c>
      <c r="P900">
        <f>G900*I900/100</f>
        <v>2763.6</v>
      </c>
      <c r="Q900">
        <f t="shared" si="14"/>
        <v>236880</v>
      </c>
      <c r="R900">
        <f>K900/J900</f>
        <v>0.32</v>
      </c>
      <c r="S900">
        <v>2020</v>
      </c>
    </row>
    <row r="901" spans="1:19" x14ac:dyDescent="0.3">
      <c r="A901">
        <v>49</v>
      </c>
      <c r="B901">
        <v>1098</v>
      </c>
      <c r="C901" t="s">
        <v>17</v>
      </c>
      <c r="D901" t="s">
        <v>18</v>
      </c>
      <c r="E901">
        <v>85</v>
      </c>
      <c r="F901" t="s">
        <v>23</v>
      </c>
      <c r="G901">
        <v>18711</v>
      </c>
      <c r="H901">
        <v>12124</v>
      </c>
      <c r="I901">
        <v>13</v>
      </c>
      <c r="J901">
        <v>23</v>
      </c>
      <c r="K901">
        <v>1</v>
      </c>
      <c r="L901">
        <v>0</v>
      </c>
      <c r="M901">
        <v>0</v>
      </c>
      <c r="N901">
        <v>0</v>
      </c>
      <c r="P901">
        <f>G901*I901/100</f>
        <v>2432.4299999999998</v>
      </c>
      <c r="Q901">
        <f t="shared" si="14"/>
        <v>224532</v>
      </c>
      <c r="R901">
        <f>K901/J901</f>
        <v>4.3478260869565216E-2</v>
      </c>
      <c r="S901">
        <v>2020</v>
      </c>
    </row>
    <row r="902" spans="1:19" x14ac:dyDescent="0.3">
      <c r="A902">
        <v>36</v>
      </c>
      <c r="B902">
        <v>469</v>
      </c>
      <c r="C902" t="s">
        <v>17</v>
      </c>
      <c r="D902" t="s">
        <v>18</v>
      </c>
      <c r="E902">
        <v>46</v>
      </c>
      <c r="F902" t="s">
        <v>19</v>
      </c>
      <c r="G902">
        <v>3692</v>
      </c>
      <c r="H902">
        <v>9256</v>
      </c>
      <c r="I902">
        <v>12</v>
      </c>
      <c r="J902">
        <v>12</v>
      </c>
      <c r="K902">
        <v>11</v>
      </c>
      <c r="L902">
        <v>10</v>
      </c>
      <c r="M902">
        <v>0</v>
      </c>
      <c r="N902">
        <v>7</v>
      </c>
      <c r="P902">
        <f>G902*I902/100</f>
        <v>443.04</v>
      </c>
      <c r="Q902">
        <f t="shared" si="14"/>
        <v>44304</v>
      </c>
      <c r="R902">
        <f>K902/J902</f>
        <v>0.91666666666666663</v>
      </c>
      <c r="S902">
        <v>2020</v>
      </c>
    </row>
    <row r="903" spans="1:19" x14ac:dyDescent="0.3">
      <c r="A903">
        <v>48</v>
      </c>
      <c r="B903">
        <v>969</v>
      </c>
      <c r="C903" t="s">
        <v>17</v>
      </c>
      <c r="D903" t="s">
        <v>18</v>
      </c>
      <c r="E903">
        <v>76</v>
      </c>
      <c r="F903" t="s">
        <v>20</v>
      </c>
      <c r="G903">
        <v>2559</v>
      </c>
      <c r="H903">
        <v>16620</v>
      </c>
      <c r="I903">
        <v>11</v>
      </c>
      <c r="J903">
        <v>7</v>
      </c>
      <c r="K903">
        <v>1</v>
      </c>
      <c r="L903">
        <v>0</v>
      </c>
      <c r="M903">
        <v>0</v>
      </c>
      <c r="N903">
        <v>0</v>
      </c>
      <c r="P903">
        <f>G903*I903/100</f>
        <v>281.49</v>
      </c>
      <c r="Q903">
        <f t="shared" si="14"/>
        <v>30708</v>
      </c>
      <c r="R903">
        <f>K903/J903</f>
        <v>0.14285714285714285</v>
      </c>
      <c r="S903">
        <v>2020</v>
      </c>
    </row>
    <row r="904" spans="1:19" x14ac:dyDescent="0.3">
      <c r="A904">
        <v>27</v>
      </c>
      <c r="B904">
        <v>1167</v>
      </c>
      <c r="C904" t="s">
        <v>17</v>
      </c>
      <c r="D904" t="s">
        <v>18</v>
      </c>
      <c r="E904">
        <v>76</v>
      </c>
      <c r="F904" t="s">
        <v>19</v>
      </c>
      <c r="G904">
        <v>2517</v>
      </c>
      <c r="H904">
        <v>3208</v>
      </c>
      <c r="I904">
        <v>11</v>
      </c>
      <c r="J904">
        <v>5</v>
      </c>
      <c r="K904">
        <v>5</v>
      </c>
      <c r="L904">
        <v>3</v>
      </c>
      <c r="M904">
        <v>0</v>
      </c>
      <c r="N904">
        <v>3</v>
      </c>
      <c r="P904">
        <f>G904*I904/100</f>
        <v>276.87</v>
      </c>
      <c r="Q904">
        <f t="shared" si="14"/>
        <v>30204</v>
      </c>
      <c r="R904">
        <f>K904/J904</f>
        <v>1</v>
      </c>
      <c r="S904">
        <v>2020</v>
      </c>
    </row>
    <row r="905" spans="1:19" x14ac:dyDescent="0.3">
      <c r="A905">
        <v>29</v>
      </c>
      <c r="B905">
        <v>1329</v>
      </c>
      <c r="C905" t="s">
        <v>17</v>
      </c>
      <c r="D905" t="s">
        <v>18</v>
      </c>
      <c r="E905">
        <v>82</v>
      </c>
      <c r="F905" t="s">
        <v>22</v>
      </c>
      <c r="G905">
        <v>6623</v>
      </c>
      <c r="H905">
        <v>4204</v>
      </c>
      <c r="I905">
        <v>11</v>
      </c>
      <c r="J905">
        <v>6</v>
      </c>
      <c r="K905">
        <v>6</v>
      </c>
      <c r="L905">
        <v>0</v>
      </c>
      <c r="M905">
        <v>1</v>
      </c>
      <c r="N905">
        <v>0</v>
      </c>
      <c r="P905">
        <f>G905*I905/100</f>
        <v>728.53</v>
      </c>
      <c r="Q905">
        <f t="shared" si="14"/>
        <v>79476</v>
      </c>
      <c r="R905">
        <f>K905/J905</f>
        <v>1</v>
      </c>
      <c r="S905">
        <v>2020</v>
      </c>
    </row>
    <row r="906" spans="1:19" x14ac:dyDescent="0.3">
      <c r="A906">
        <v>48</v>
      </c>
      <c r="B906">
        <v>715</v>
      </c>
      <c r="C906" t="s">
        <v>17</v>
      </c>
      <c r="D906" t="s">
        <v>18</v>
      </c>
      <c r="E906">
        <v>76</v>
      </c>
      <c r="F906" t="s">
        <v>25</v>
      </c>
      <c r="G906">
        <v>18265</v>
      </c>
      <c r="H906">
        <v>8733</v>
      </c>
      <c r="I906">
        <v>12</v>
      </c>
      <c r="J906">
        <v>25</v>
      </c>
      <c r="K906">
        <v>1</v>
      </c>
      <c r="L906">
        <v>0</v>
      </c>
      <c r="M906">
        <v>0</v>
      </c>
      <c r="N906">
        <v>0</v>
      </c>
      <c r="P906">
        <f>G906*I906/100</f>
        <v>2191.8000000000002</v>
      </c>
      <c r="Q906">
        <f t="shared" si="14"/>
        <v>219180</v>
      </c>
      <c r="R906">
        <f>K906/J906</f>
        <v>0.04</v>
      </c>
      <c r="S906">
        <v>2020</v>
      </c>
    </row>
    <row r="907" spans="1:19" x14ac:dyDescent="0.3">
      <c r="A907">
        <v>29</v>
      </c>
      <c r="B907">
        <v>694</v>
      </c>
      <c r="C907" t="s">
        <v>17</v>
      </c>
      <c r="D907" t="s">
        <v>15</v>
      </c>
      <c r="E907">
        <v>87</v>
      </c>
      <c r="F907" t="s">
        <v>25</v>
      </c>
      <c r="G907">
        <v>16124</v>
      </c>
      <c r="H907">
        <v>3423</v>
      </c>
      <c r="I907">
        <v>14</v>
      </c>
      <c r="J907">
        <v>9</v>
      </c>
      <c r="K907">
        <v>7</v>
      </c>
      <c r="L907">
        <v>7</v>
      </c>
      <c r="M907">
        <v>1</v>
      </c>
      <c r="N907">
        <v>7</v>
      </c>
      <c r="P907">
        <f>G907*I907/100</f>
        <v>2257.36</v>
      </c>
      <c r="Q907">
        <f t="shared" si="14"/>
        <v>193488</v>
      </c>
      <c r="R907">
        <f>K907/J907</f>
        <v>0.77777777777777779</v>
      </c>
      <c r="S907">
        <v>2020</v>
      </c>
    </row>
    <row r="908" spans="1:19" x14ac:dyDescent="0.3">
      <c r="A908">
        <v>34</v>
      </c>
      <c r="B908">
        <v>1320</v>
      </c>
      <c r="C908" t="s">
        <v>17</v>
      </c>
      <c r="D908" t="s">
        <v>15</v>
      </c>
      <c r="E908">
        <v>89</v>
      </c>
      <c r="F908" t="s">
        <v>19</v>
      </c>
      <c r="G908">
        <v>2585</v>
      </c>
      <c r="H908">
        <v>21643</v>
      </c>
      <c r="I908">
        <v>17</v>
      </c>
      <c r="J908">
        <v>2</v>
      </c>
      <c r="K908">
        <v>1</v>
      </c>
      <c r="L908">
        <v>0</v>
      </c>
      <c r="M908">
        <v>0</v>
      </c>
      <c r="N908">
        <v>0</v>
      </c>
      <c r="P908">
        <f>G908*I908/100</f>
        <v>439.45</v>
      </c>
      <c r="Q908">
        <f t="shared" si="14"/>
        <v>31020</v>
      </c>
      <c r="R908">
        <f>K908/J908</f>
        <v>0.5</v>
      </c>
      <c r="S908">
        <v>2020</v>
      </c>
    </row>
    <row r="909" spans="1:19" x14ac:dyDescent="0.3">
      <c r="A909">
        <v>44</v>
      </c>
      <c r="B909">
        <v>1099</v>
      </c>
      <c r="C909" t="s">
        <v>14</v>
      </c>
      <c r="D909" t="s">
        <v>18</v>
      </c>
      <c r="E909">
        <v>88</v>
      </c>
      <c r="F909" t="s">
        <v>23</v>
      </c>
      <c r="G909">
        <v>18213</v>
      </c>
      <c r="H909">
        <v>8751</v>
      </c>
      <c r="I909">
        <v>11</v>
      </c>
      <c r="J909">
        <v>26</v>
      </c>
      <c r="K909">
        <v>22</v>
      </c>
      <c r="L909">
        <v>9</v>
      </c>
      <c r="M909">
        <v>3</v>
      </c>
      <c r="N909">
        <v>10</v>
      </c>
      <c r="P909">
        <f>G909*I909/100</f>
        <v>2003.43</v>
      </c>
      <c r="Q909">
        <f t="shared" si="14"/>
        <v>218556</v>
      </c>
      <c r="R909">
        <f>K909/J909</f>
        <v>0.84615384615384615</v>
      </c>
      <c r="S909">
        <v>2020</v>
      </c>
    </row>
    <row r="910" spans="1:19" x14ac:dyDescent="0.3">
      <c r="A910">
        <v>33</v>
      </c>
      <c r="B910">
        <v>536</v>
      </c>
      <c r="C910" t="s">
        <v>14</v>
      </c>
      <c r="D910" t="s">
        <v>18</v>
      </c>
      <c r="E910">
        <v>82</v>
      </c>
      <c r="F910" t="s">
        <v>16</v>
      </c>
      <c r="G910">
        <v>8380</v>
      </c>
      <c r="H910">
        <v>21708</v>
      </c>
      <c r="I910">
        <v>14</v>
      </c>
      <c r="J910">
        <v>10</v>
      </c>
      <c r="K910">
        <v>9</v>
      </c>
      <c r="L910">
        <v>8</v>
      </c>
      <c r="M910">
        <v>0</v>
      </c>
      <c r="N910">
        <v>8</v>
      </c>
      <c r="P910">
        <f>G910*I910/100</f>
        <v>1173.2</v>
      </c>
      <c r="Q910">
        <f t="shared" si="14"/>
        <v>100560</v>
      </c>
      <c r="R910">
        <f>K910/J910</f>
        <v>0.9</v>
      </c>
      <c r="S910">
        <v>2020</v>
      </c>
    </row>
    <row r="911" spans="1:19" x14ac:dyDescent="0.3">
      <c r="A911">
        <v>19</v>
      </c>
      <c r="B911">
        <v>265</v>
      </c>
      <c r="C911" t="s">
        <v>17</v>
      </c>
      <c r="D911" t="s">
        <v>15</v>
      </c>
      <c r="E911">
        <v>57</v>
      </c>
      <c r="F911" t="s">
        <v>19</v>
      </c>
      <c r="G911">
        <v>2994</v>
      </c>
      <c r="H911">
        <v>21221</v>
      </c>
      <c r="I911">
        <v>12</v>
      </c>
      <c r="J911">
        <v>1</v>
      </c>
      <c r="K911">
        <v>1</v>
      </c>
      <c r="L911">
        <v>0</v>
      </c>
      <c r="M911">
        <v>0</v>
      </c>
      <c r="N911">
        <v>1</v>
      </c>
      <c r="P911">
        <f>G911*I911/100</f>
        <v>359.28</v>
      </c>
      <c r="Q911">
        <f t="shared" si="14"/>
        <v>35928</v>
      </c>
      <c r="R911">
        <f>K911/J911</f>
        <v>1</v>
      </c>
      <c r="S911">
        <v>2020</v>
      </c>
    </row>
    <row r="912" spans="1:19" x14ac:dyDescent="0.3">
      <c r="A912">
        <v>23</v>
      </c>
      <c r="B912">
        <v>373</v>
      </c>
      <c r="C912" t="s">
        <v>17</v>
      </c>
      <c r="D912" t="s">
        <v>18</v>
      </c>
      <c r="E912">
        <v>47</v>
      </c>
      <c r="F912" t="s">
        <v>19</v>
      </c>
      <c r="G912">
        <v>1223</v>
      </c>
      <c r="H912">
        <v>16901</v>
      </c>
      <c r="I912">
        <v>22</v>
      </c>
      <c r="J912">
        <v>1</v>
      </c>
      <c r="K912">
        <v>1</v>
      </c>
      <c r="L912">
        <v>0</v>
      </c>
      <c r="M912">
        <v>0</v>
      </c>
      <c r="N912">
        <v>1</v>
      </c>
      <c r="P912">
        <f>G912*I912/100</f>
        <v>269.06</v>
      </c>
      <c r="Q912">
        <f t="shared" si="14"/>
        <v>14676</v>
      </c>
      <c r="R912">
        <f>K912/J912</f>
        <v>1</v>
      </c>
      <c r="S912">
        <v>2020</v>
      </c>
    </row>
    <row r="913" spans="1:19" x14ac:dyDescent="0.3">
      <c r="A913">
        <v>25</v>
      </c>
      <c r="B913">
        <v>599</v>
      </c>
      <c r="C913" t="s">
        <v>14</v>
      </c>
      <c r="D913" t="s">
        <v>18</v>
      </c>
      <c r="E913">
        <v>73</v>
      </c>
      <c r="F913" t="s">
        <v>24</v>
      </c>
      <c r="G913">
        <v>1118</v>
      </c>
      <c r="H913">
        <v>8040</v>
      </c>
      <c r="I913">
        <v>14</v>
      </c>
      <c r="J913">
        <v>1</v>
      </c>
      <c r="K913">
        <v>1</v>
      </c>
      <c r="L913">
        <v>0</v>
      </c>
      <c r="M913">
        <v>1</v>
      </c>
      <c r="N913">
        <v>0</v>
      </c>
      <c r="P913">
        <f>G913*I913/100</f>
        <v>156.52000000000001</v>
      </c>
      <c r="Q913">
        <f t="shared" si="14"/>
        <v>13416</v>
      </c>
      <c r="R913">
        <f>K913/J913</f>
        <v>1</v>
      </c>
      <c r="S913">
        <v>2020</v>
      </c>
    </row>
    <row r="914" spans="1:19" x14ac:dyDescent="0.3">
      <c r="A914">
        <v>26</v>
      </c>
      <c r="B914">
        <v>583</v>
      </c>
      <c r="C914" t="s">
        <v>17</v>
      </c>
      <c r="D914" t="s">
        <v>18</v>
      </c>
      <c r="E914">
        <v>53</v>
      </c>
      <c r="F914" t="s">
        <v>19</v>
      </c>
      <c r="G914">
        <v>2875</v>
      </c>
      <c r="H914">
        <v>9973</v>
      </c>
      <c r="I914">
        <v>20</v>
      </c>
      <c r="J914">
        <v>8</v>
      </c>
      <c r="K914">
        <v>8</v>
      </c>
      <c r="L914">
        <v>5</v>
      </c>
      <c r="M914">
        <v>2</v>
      </c>
      <c r="N914">
        <v>2</v>
      </c>
      <c r="P914">
        <f>G914*I914/100</f>
        <v>575</v>
      </c>
      <c r="Q914">
        <f t="shared" si="14"/>
        <v>34500</v>
      </c>
      <c r="R914">
        <f>K914/J914</f>
        <v>1</v>
      </c>
      <c r="S914">
        <v>2020</v>
      </c>
    </row>
    <row r="915" spans="1:19" x14ac:dyDescent="0.3">
      <c r="A915">
        <v>45</v>
      </c>
      <c r="B915">
        <v>1449</v>
      </c>
      <c r="C915" t="s">
        <v>14</v>
      </c>
      <c r="D915" t="s">
        <v>15</v>
      </c>
      <c r="E915">
        <v>94</v>
      </c>
      <c r="F915" t="s">
        <v>23</v>
      </c>
      <c r="G915">
        <v>18824</v>
      </c>
      <c r="H915">
        <v>2493</v>
      </c>
      <c r="I915">
        <v>16</v>
      </c>
      <c r="J915">
        <v>26</v>
      </c>
      <c r="K915">
        <v>24</v>
      </c>
      <c r="L915">
        <v>10</v>
      </c>
      <c r="M915">
        <v>1</v>
      </c>
      <c r="N915">
        <v>11</v>
      </c>
      <c r="P915">
        <f>G915*I915/100</f>
        <v>3011.84</v>
      </c>
      <c r="Q915">
        <f t="shared" si="14"/>
        <v>225888</v>
      </c>
      <c r="R915">
        <f>K915/J915</f>
        <v>0.92307692307692313</v>
      </c>
      <c r="S915">
        <v>2020</v>
      </c>
    </row>
    <row r="916" spans="1:19" x14ac:dyDescent="0.3">
      <c r="A916">
        <v>55</v>
      </c>
      <c r="B916">
        <v>177</v>
      </c>
      <c r="C916" t="s">
        <v>17</v>
      </c>
      <c r="D916" t="s">
        <v>18</v>
      </c>
      <c r="E916">
        <v>37</v>
      </c>
      <c r="F916" t="s">
        <v>22</v>
      </c>
      <c r="G916">
        <v>13577</v>
      </c>
      <c r="H916">
        <v>25592</v>
      </c>
      <c r="I916">
        <v>15</v>
      </c>
      <c r="J916">
        <v>34</v>
      </c>
      <c r="K916">
        <v>33</v>
      </c>
      <c r="L916">
        <v>9</v>
      </c>
      <c r="M916">
        <v>15</v>
      </c>
      <c r="N916">
        <v>0</v>
      </c>
      <c r="P916">
        <f>G916*I916/100</f>
        <v>2036.55</v>
      </c>
      <c r="Q916">
        <f t="shared" si="14"/>
        <v>162924</v>
      </c>
      <c r="R916">
        <f>K916/J916</f>
        <v>0.97058823529411764</v>
      </c>
      <c r="S916">
        <v>2020</v>
      </c>
    </row>
    <row r="917" spans="1:19" x14ac:dyDescent="0.3">
      <c r="A917">
        <v>21</v>
      </c>
      <c r="B917">
        <v>251</v>
      </c>
      <c r="C917" t="s">
        <v>17</v>
      </c>
      <c r="D917" t="s">
        <v>15</v>
      </c>
      <c r="E917">
        <v>45</v>
      </c>
      <c r="F917" t="s">
        <v>20</v>
      </c>
      <c r="G917">
        <v>2625</v>
      </c>
      <c r="H917">
        <v>25308</v>
      </c>
      <c r="I917">
        <v>20</v>
      </c>
      <c r="J917">
        <v>2</v>
      </c>
      <c r="K917">
        <v>2</v>
      </c>
      <c r="L917">
        <v>2</v>
      </c>
      <c r="M917">
        <v>2</v>
      </c>
      <c r="N917">
        <v>2</v>
      </c>
      <c r="P917">
        <f>G917*I917/100</f>
        <v>525</v>
      </c>
      <c r="Q917">
        <f t="shared" si="14"/>
        <v>31500</v>
      </c>
      <c r="R917">
        <f>K917/J917</f>
        <v>1</v>
      </c>
      <c r="S917">
        <v>2020</v>
      </c>
    </row>
    <row r="918" spans="1:19" x14ac:dyDescent="0.3">
      <c r="A918">
        <v>46</v>
      </c>
      <c r="B918">
        <v>168</v>
      </c>
      <c r="C918" t="s">
        <v>14</v>
      </c>
      <c r="D918" t="s">
        <v>15</v>
      </c>
      <c r="E918">
        <v>33</v>
      </c>
      <c r="F918" t="s">
        <v>23</v>
      </c>
      <c r="G918">
        <v>18789</v>
      </c>
      <c r="H918">
        <v>9946</v>
      </c>
      <c r="I918">
        <v>14</v>
      </c>
      <c r="J918">
        <v>26</v>
      </c>
      <c r="K918">
        <v>11</v>
      </c>
      <c r="L918">
        <v>4</v>
      </c>
      <c r="M918">
        <v>0</v>
      </c>
      <c r="N918">
        <v>8</v>
      </c>
      <c r="P918">
        <f>G918*I918/100</f>
        <v>2630.46</v>
      </c>
      <c r="Q918">
        <f t="shared" si="14"/>
        <v>225468</v>
      </c>
      <c r="R918">
        <f>K918/J918</f>
        <v>0.42307692307692307</v>
      </c>
      <c r="S918">
        <v>2020</v>
      </c>
    </row>
    <row r="919" spans="1:19" x14ac:dyDescent="0.3">
      <c r="A919">
        <v>34</v>
      </c>
      <c r="B919">
        <v>131</v>
      </c>
      <c r="C919" t="s">
        <v>14</v>
      </c>
      <c r="D919" t="s">
        <v>15</v>
      </c>
      <c r="E919">
        <v>86</v>
      </c>
      <c r="F919" t="s">
        <v>16</v>
      </c>
      <c r="G919">
        <v>4538</v>
      </c>
      <c r="H919">
        <v>6039</v>
      </c>
      <c r="I919">
        <v>12</v>
      </c>
      <c r="J919">
        <v>4</v>
      </c>
      <c r="K919">
        <v>3</v>
      </c>
      <c r="L919">
        <v>2</v>
      </c>
      <c r="M919">
        <v>0</v>
      </c>
      <c r="N919">
        <v>2</v>
      </c>
      <c r="P919">
        <f>G919*I919/100</f>
        <v>544.55999999999995</v>
      </c>
      <c r="Q919">
        <f t="shared" si="14"/>
        <v>54456</v>
      </c>
      <c r="R919">
        <f>K919/J919</f>
        <v>0.75</v>
      </c>
      <c r="S919">
        <v>2020</v>
      </c>
    </row>
    <row r="920" spans="1:19" x14ac:dyDescent="0.3">
      <c r="A920">
        <v>51</v>
      </c>
      <c r="B920">
        <v>237</v>
      </c>
      <c r="C920" t="s">
        <v>14</v>
      </c>
      <c r="D920" t="s">
        <v>18</v>
      </c>
      <c r="E920">
        <v>83</v>
      </c>
      <c r="F920" t="s">
        <v>23</v>
      </c>
      <c r="G920">
        <v>19847</v>
      </c>
      <c r="H920">
        <v>19196</v>
      </c>
      <c r="I920">
        <v>24</v>
      </c>
      <c r="J920">
        <v>31</v>
      </c>
      <c r="K920">
        <v>29</v>
      </c>
      <c r="L920">
        <v>10</v>
      </c>
      <c r="M920">
        <v>11</v>
      </c>
      <c r="N920">
        <v>10</v>
      </c>
      <c r="P920">
        <f>G920*I920/100</f>
        <v>4763.28</v>
      </c>
      <c r="Q920">
        <f t="shared" si="14"/>
        <v>238164</v>
      </c>
      <c r="R920">
        <f>K920/J920</f>
        <v>0.93548387096774188</v>
      </c>
      <c r="S920">
        <v>2020</v>
      </c>
    </row>
    <row r="921" spans="1:19" x14ac:dyDescent="0.3">
      <c r="A921">
        <v>59</v>
      </c>
      <c r="B921">
        <v>1429</v>
      </c>
      <c r="C921" t="s">
        <v>17</v>
      </c>
      <c r="D921" t="s">
        <v>18</v>
      </c>
      <c r="E921">
        <v>67</v>
      </c>
      <c r="F921" t="s">
        <v>21</v>
      </c>
      <c r="G921">
        <v>10512</v>
      </c>
      <c r="H921">
        <v>20002</v>
      </c>
      <c r="I921">
        <v>12</v>
      </c>
      <c r="J921">
        <v>25</v>
      </c>
      <c r="K921">
        <v>9</v>
      </c>
      <c r="L921">
        <v>7</v>
      </c>
      <c r="M921">
        <v>5</v>
      </c>
      <c r="N921">
        <v>4</v>
      </c>
      <c r="P921">
        <f>G921*I921/100</f>
        <v>1261.44</v>
      </c>
      <c r="Q921">
        <f t="shared" si="14"/>
        <v>126144</v>
      </c>
      <c r="R921">
        <f>K921/J921</f>
        <v>0.36</v>
      </c>
      <c r="S921">
        <v>2020</v>
      </c>
    </row>
    <row r="922" spans="1:19" x14ac:dyDescent="0.3">
      <c r="A922">
        <v>34</v>
      </c>
      <c r="B922">
        <v>135</v>
      </c>
      <c r="C922" t="s">
        <v>17</v>
      </c>
      <c r="D922" t="s">
        <v>15</v>
      </c>
      <c r="E922">
        <v>46</v>
      </c>
      <c r="F922" t="s">
        <v>20</v>
      </c>
      <c r="G922">
        <v>4444</v>
      </c>
      <c r="H922">
        <v>22534</v>
      </c>
      <c r="I922">
        <v>13</v>
      </c>
      <c r="J922">
        <v>15</v>
      </c>
      <c r="K922">
        <v>11</v>
      </c>
      <c r="L922">
        <v>8</v>
      </c>
      <c r="M922">
        <v>5</v>
      </c>
      <c r="N922">
        <v>10</v>
      </c>
      <c r="P922">
        <f>G922*I922/100</f>
        <v>577.72</v>
      </c>
      <c r="Q922">
        <f t="shared" si="14"/>
        <v>53328</v>
      </c>
      <c r="R922">
        <f>K922/J922</f>
        <v>0.73333333333333328</v>
      </c>
      <c r="S922">
        <v>2020</v>
      </c>
    </row>
    <row r="923" spans="1:19" x14ac:dyDescent="0.3">
      <c r="A923">
        <v>28</v>
      </c>
      <c r="B923">
        <v>791</v>
      </c>
      <c r="C923" t="s">
        <v>17</v>
      </c>
      <c r="D923" t="s">
        <v>18</v>
      </c>
      <c r="E923">
        <v>44</v>
      </c>
      <c r="F923" t="s">
        <v>20</v>
      </c>
      <c r="G923">
        <v>2154</v>
      </c>
      <c r="H923">
        <v>6842</v>
      </c>
      <c r="I923">
        <v>11</v>
      </c>
      <c r="J923">
        <v>5</v>
      </c>
      <c r="K923">
        <v>4</v>
      </c>
      <c r="L923">
        <v>2</v>
      </c>
      <c r="M923">
        <v>0</v>
      </c>
      <c r="N923">
        <v>2</v>
      </c>
      <c r="P923">
        <f>G923*I923/100</f>
        <v>236.94</v>
      </c>
      <c r="Q923">
        <f t="shared" si="14"/>
        <v>25848</v>
      </c>
      <c r="R923">
        <f>K923/J923</f>
        <v>0.8</v>
      </c>
      <c r="S923">
        <v>2020</v>
      </c>
    </row>
    <row r="924" spans="1:19" x14ac:dyDescent="0.3">
      <c r="A924">
        <v>44</v>
      </c>
      <c r="B924">
        <v>1199</v>
      </c>
      <c r="C924" t="s">
        <v>17</v>
      </c>
      <c r="D924" t="s">
        <v>18</v>
      </c>
      <c r="E924">
        <v>92</v>
      </c>
      <c r="F924" t="s">
        <v>23</v>
      </c>
      <c r="G924">
        <v>19190</v>
      </c>
      <c r="H924">
        <v>17477</v>
      </c>
      <c r="I924">
        <v>14</v>
      </c>
      <c r="J924">
        <v>26</v>
      </c>
      <c r="K924">
        <v>25</v>
      </c>
      <c r="L924">
        <v>9</v>
      </c>
      <c r="M924">
        <v>14</v>
      </c>
      <c r="N924">
        <v>13</v>
      </c>
      <c r="P924">
        <f>G924*I924/100</f>
        <v>2686.6</v>
      </c>
      <c r="Q924">
        <f t="shared" si="14"/>
        <v>230280</v>
      </c>
      <c r="R924">
        <f>K924/J924</f>
        <v>0.96153846153846156</v>
      </c>
      <c r="S924">
        <v>2020</v>
      </c>
    </row>
    <row r="925" spans="1:19" x14ac:dyDescent="0.3">
      <c r="A925">
        <v>34</v>
      </c>
      <c r="B925">
        <v>648</v>
      </c>
      <c r="C925" t="s">
        <v>26</v>
      </c>
      <c r="D925" t="s">
        <v>18</v>
      </c>
      <c r="E925">
        <v>56</v>
      </c>
      <c r="F925" t="s">
        <v>26</v>
      </c>
      <c r="G925">
        <v>4490</v>
      </c>
      <c r="H925">
        <v>21833</v>
      </c>
      <c r="I925">
        <v>11</v>
      </c>
      <c r="J925">
        <v>14</v>
      </c>
      <c r="K925">
        <v>10</v>
      </c>
      <c r="L925">
        <v>9</v>
      </c>
      <c r="M925">
        <v>1</v>
      </c>
      <c r="N925">
        <v>8</v>
      </c>
      <c r="P925">
        <f>G925*I925/100</f>
        <v>493.9</v>
      </c>
      <c r="Q925">
        <f t="shared" si="14"/>
        <v>53880</v>
      </c>
      <c r="R925">
        <f>K925/J925</f>
        <v>0.7142857142857143</v>
      </c>
      <c r="S925">
        <v>2020</v>
      </c>
    </row>
    <row r="926" spans="1:19" x14ac:dyDescent="0.3">
      <c r="A926">
        <v>35</v>
      </c>
      <c r="B926">
        <v>735</v>
      </c>
      <c r="C926" t="s">
        <v>17</v>
      </c>
      <c r="D926" t="s">
        <v>18</v>
      </c>
      <c r="E926">
        <v>66</v>
      </c>
      <c r="F926" t="s">
        <v>19</v>
      </c>
      <c r="G926">
        <v>3506</v>
      </c>
      <c r="H926">
        <v>6020</v>
      </c>
      <c r="I926">
        <v>14</v>
      </c>
      <c r="J926">
        <v>4</v>
      </c>
      <c r="K926">
        <v>3</v>
      </c>
      <c r="L926">
        <v>2</v>
      </c>
      <c r="M926">
        <v>2</v>
      </c>
      <c r="N926">
        <v>2</v>
      </c>
      <c r="P926">
        <f>G926*I926/100</f>
        <v>490.84</v>
      </c>
      <c r="Q926">
        <f t="shared" si="14"/>
        <v>42072</v>
      </c>
      <c r="R926">
        <f>K926/J926</f>
        <v>0.75</v>
      </c>
      <c r="S926">
        <v>2020</v>
      </c>
    </row>
    <row r="927" spans="1:19" x14ac:dyDescent="0.3">
      <c r="A927">
        <v>42</v>
      </c>
      <c r="B927">
        <v>603</v>
      </c>
      <c r="C927" t="s">
        <v>17</v>
      </c>
      <c r="D927" t="s">
        <v>15</v>
      </c>
      <c r="E927">
        <v>78</v>
      </c>
      <c r="F927" t="s">
        <v>19</v>
      </c>
      <c r="G927">
        <v>2372</v>
      </c>
      <c r="H927">
        <v>5628</v>
      </c>
      <c r="I927">
        <v>16</v>
      </c>
      <c r="J927">
        <v>18</v>
      </c>
      <c r="K927">
        <v>1</v>
      </c>
      <c r="L927">
        <v>0</v>
      </c>
      <c r="M927">
        <v>0</v>
      </c>
      <c r="N927">
        <v>0</v>
      </c>
      <c r="P927">
        <f>G927*I927/100</f>
        <v>379.52</v>
      </c>
      <c r="Q927">
        <f t="shared" si="14"/>
        <v>28464</v>
      </c>
      <c r="R927">
        <f>K927/J927</f>
        <v>5.5555555555555552E-2</v>
      </c>
      <c r="S927">
        <v>2020</v>
      </c>
    </row>
    <row r="928" spans="1:19" x14ac:dyDescent="0.3">
      <c r="A928">
        <v>43</v>
      </c>
      <c r="B928">
        <v>531</v>
      </c>
      <c r="C928" t="s">
        <v>14</v>
      </c>
      <c r="D928" t="s">
        <v>15</v>
      </c>
      <c r="E928">
        <v>56</v>
      </c>
      <c r="F928" t="s">
        <v>16</v>
      </c>
      <c r="G928">
        <v>10231</v>
      </c>
      <c r="H928">
        <v>20364</v>
      </c>
      <c r="I928">
        <v>14</v>
      </c>
      <c r="J928">
        <v>23</v>
      </c>
      <c r="K928">
        <v>21</v>
      </c>
      <c r="L928">
        <v>7</v>
      </c>
      <c r="M928">
        <v>15</v>
      </c>
      <c r="N928">
        <v>17</v>
      </c>
      <c r="P928">
        <f>G928*I928/100</f>
        <v>1432.34</v>
      </c>
      <c r="Q928">
        <f t="shared" si="14"/>
        <v>122772</v>
      </c>
      <c r="R928">
        <f>K928/J928</f>
        <v>0.91304347826086951</v>
      </c>
      <c r="S928">
        <v>2020</v>
      </c>
    </row>
    <row r="929" spans="1:19" x14ac:dyDescent="0.3">
      <c r="A929">
        <v>36</v>
      </c>
      <c r="B929">
        <v>429</v>
      </c>
      <c r="C929" t="s">
        <v>17</v>
      </c>
      <c r="D929" t="s">
        <v>15</v>
      </c>
      <c r="E929">
        <v>53</v>
      </c>
      <c r="F929" t="s">
        <v>21</v>
      </c>
      <c r="G929">
        <v>5410</v>
      </c>
      <c r="H929">
        <v>2323</v>
      </c>
      <c r="I929">
        <v>11</v>
      </c>
      <c r="J929">
        <v>18</v>
      </c>
      <c r="K929">
        <v>16</v>
      </c>
      <c r="L929">
        <v>14</v>
      </c>
      <c r="M929">
        <v>5</v>
      </c>
      <c r="N929">
        <v>12</v>
      </c>
      <c r="P929">
        <f>G929*I929/100</f>
        <v>595.1</v>
      </c>
      <c r="Q929">
        <f t="shared" si="14"/>
        <v>64920</v>
      </c>
      <c r="R929">
        <f>K929/J929</f>
        <v>0.88888888888888884</v>
      </c>
      <c r="S929">
        <v>2020</v>
      </c>
    </row>
    <row r="930" spans="1:19" x14ac:dyDescent="0.3">
      <c r="A930">
        <v>44</v>
      </c>
      <c r="B930">
        <v>621</v>
      </c>
      <c r="C930" t="s">
        <v>17</v>
      </c>
      <c r="D930" t="s">
        <v>15</v>
      </c>
      <c r="E930">
        <v>73</v>
      </c>
      <c r="F930" t="s">
        <v>22</v>
      </c>
      <c r="G930">
        <v>7978</v>
      </c>
      <c r="H930">
        <v>14075</v>
      </c>
      <c r="I930">
        <v>11</v>
      </c>
      <c r="J930">
        <v>10</v>
      </c>
      <c r="K930">
        <v>10</v>
      </c>
      <c r="L930">
        <v>7</v>
      </c>
      <c r="M930">
        <v>0</v>
      </c>
      <c r="N930">
        <v>5</v>
      </c>
      <c r="P930">
        <f>G930*I930/100</f>
        <v>877.58</v>
      </c>
      <c r="Q930">
        <f t="shared" si="14"/>
        <v>95736</v>
      </c>
      <c r="R930">
        <f>K930/J930</f>
        <v>1</v>
      </c>
      <c r="S930">
        <v>2020</v>
      </c>
    </row>
    <row r="931" spans="1:19" x14ac:dyDescent="0.3">
      <c r="A931">
        <v>28</v>
      </c>
      <c r="B931">
        <v>193</v>
      </c>
      <c r="C931" t="s">
        <v>17</v>
      </c>
      <c r="D931" t="s">
        <v>18</v>
      </c>
      <c r="E931">
        <v>52</v>
      </c>
      <c r="F931" t="s">
        <v>20</v>
      </c>
      <c r="G931">
        <v>3867</v>
      </c>
      <c r="H931">
        <v>14222</v>
      </c>
      <c r="I931">
        <v>12</v>
      </c>
      <c r="J931">
        <v>2</v>
      </c>
      <c r="K931">
        <v>2</v>
      </c>
      <c r="L931">
        <v>2</v>
      </c>
      <c r="M931">
        <v>2</v>
      </c>
      <c r="N931">
        <v>2</v>
      </c>
      <c r="P931">
        <f>G931*I931/100</f>
        <v>464.04</v>
      </c>
      <c r="Q931">
        <f t="shared" si="14"/>
        <v>46404</v>
      </c>
      <c r="R931">
        <f>K931/J931</f>
        <v>1</v>
      </c>
      <c r="S931">
        <v>2020</v>
      </c>
    </row>
    <row r="932" spans="1:19" x14ac:dyDescent="0.3">
      <c r="A932">
        <v>51</v>
      </c>
      <c r="B932">
        <v>968</v>
      </c>
      <c r="C932" t="s">
        <v>17</v>
      </c>
      <c r="D932" t="s">
        <v>15</v>
      </c>
      <c r="E932">
        <v>40</v>
      </c>
      <c r="F932" t="s">
        <v>20</v>
      </c>
      <c r="G932">
        <v>2838</v>
      </c>
      <c r="H932">
        <v>4257</v>
      </c>
      <c r="I932">
        <v>14</v>
      </c>
      <c r="J932">
        <v>8</v>
      </c>
      <c r="K932">
        <v>7</v>
      </c>
      <c r="L932">
        <v>0</v>
      </c>
      <c r="M932">
        <v>7</v>
      </c>
      <c r="N932">
        <v>7</v>
      </c>
      <c r="P932">
        <f>G932*I932/100</f>
        <v>397.32</v>
      </c>
      <c r="Q932">
        <f t="shared" si="14"/>
        <v>34056</v>
      </c>
      <c r="R932">
        <f>K932/J932</f>
        <v>0.875</v>
      </c>
      <c r="S932">
        <v>2020</v>
      </c>
    </row>
    <row r="933" spans="1:19" x14ac:dyDescent="0.3">
      <c r="A933">
        <v>30</v>
      </c>
      <c r="B933">
        <v>879</v>
      </c>
      <c r="C933" t="s">
        <v>17</v>
      </c>
      <c r="D933" t="s">
        <v>15</v>
      </c>
      <c r="E933">
        <v>72</v>
      </c>
      <c r="F933" t="s">
        <v>21</v>
      </c>
      <c r="G933">
        <v>4695</v>
      </c>
      <c r="H933">
        <v>12858</v>
      </c>
      <c r="I933">
        <v>18</v>
      </c>
      <c r="J933">
        <v>10</v>
      </c>
      <c r="K933">
        <v>8</v>
      </c>
      <c r="L933">
        <v>4</v>
      </c>
      <c r="M933">
        <v>1</v>
      </c>
      <c r="N933">
        <v>7</v>
      </c>
      <c r="P933">
        <f>G933*I933/100</f>
        <v>845.1</v>
      </c>
      <c r="Q933">
        <f t="shared" si="14"/>
        <v>56340</v>
      </c>
      <c r="R933">
        <f>K933/J933</f>
        <v>0.8</v>
      </c>
      <c r="S933">
        <v>2020</v>
      </c>
    </row>
    <row r="934" spans="1:19" x14ac:dyDescent="0.3">
      <c r="A934">
        <v>29</v>
      </c>
      <c r="B934">
        <v>806</v>
      </c>
      <c r="C934" t="s">
        <v>17</v>
      </c>
      <c r="D934" t="s">
        <v>15</v>
      </c>
      <c r="E934">
        <v>39</v>
      </c>
      <c r="F934" t="s">
        <v>20</v>
      </c>
      <c r="G934">
        <v>3339</v>
      </c>
      <c r="H934">
        <v>17285</v>
      </c>
      <c r="I934">
        <v>13</v>
      </c>
      <c r="J934">
        <v>10</v>
      </c>
      <c r="K934">
        <v>7</v>
      </c>
      <c r="L934">
        <v>7</v>
      </c>
      <c r="M934">
        <v>7</v>
      </c>
      <c r="N934">
        <v>7</v>
      </c>
      <c r="P934">
        <f>G934*I934/100</f>
        <v>434.07</v>
      </c>
      <c r="Q934">
        <f t="shared" si="14"/>
        <v>40068</v>
      </c>
      <c r="R934">
        <f>K934/J934</f>
        <v>0.7</v>
      </c>
      <c r="S934">
        <v>2020</v>
      </c>
    </row>
    <row r="935" spans="1:19" x14ac:dyDescent="0.3">
      <c r="A935">
        <v>28</v>
      </c>
      <c r="B935">
        <v>640</v>
      </c>
      <c r="C935" t="s">
        <v>17</v>
      </c>
      <c r="D935" t="s">
        <v>18</v>
      </c>
      <c r="E935">
        <v>84</v>
      </c>
      <c r="F935" t="s">
        <v>19</v>
      </c>
      <c r="G935">
        <v>2080</v>
      </c>
      <c r="H935">
        <v>4732</v>
      </c>
      <c r="I935">
        <v>11</v>
      </c>
      <c r="J935">
        <v>5</v>
      </c>
      <c r="K935">
        <v>3</v>
      </c>
      <c r="L935">
        <v>2</v>
      </c>
      <c r="M935">
        <v>1</v>
      </c>
      <c r="N935">
        <v>2</v>
      </c>
      <c r="P935">
        <f>G935*I935/100</f>
        <v>228.8</v>
      </c>
      <c r="Q935">
        <f t="shared" si="14"/>
        <v>24960</v>
      </c>
      <c r="R935">
        <f>K935/J935</f>
        <v>0.6</v>
      </c>
      <c r="S935">
        <v>2020</v>
      </c>
    </row>
    <row r="936" spans="1:19" x14ac:dyDescent="0.3">
      <c r="A936">
        <v>25</v>
      </c>
      <c r="B936">
        <v>266</v>
      </c>
      <c r="C936" t="s">
        <v>17</v>
      </c>
      <c r="D936" t="s">
        <v>15</v>
      </c>
      <c r="E936">
        <v>40</v>
      </c>
      <c r="F936" t="s">
        <v>19</v>
      </c>
      <c r="G936">
        <v>2096</v>
      </c>
      <c r="H936">
        <v>18830</v>
      </c>
      <c r="I936">
        <v>18</v>
      </c>
      <c r="J936">
        <v>2</v>
      </c>
      <c r="K936">
        <v>2</v>
      </c>
      <c r="L936">
        <v>2</v>
      </c>
      <c r="M936">
        <v>2</v>
      </c>
      <c r="N936">
        <v>1</v>
      </c>
      <c r="P936">
        <f>G936*I936/100</f>
        <v>377.28</v>
      </c>
      <c r="Q936">
        <f t="shared" si="14"/>
        <v>25152</v>
      </c>
      <c r="R936">
        <f>K936/J936</f>
        <v>1</v>
      </c>
      <c r="S936">
        <v>2020</v>
      </c>
    </row>
    <row r="937" spans="1:19" x14ac:dyDescent="0.3">
      <c r="A937">
        <v>32</v>
      </c>
      <c r="B937">
        <v>604</v>
      </c>
      <c r="C937" t="s">
        <v>14</v>
      </c>
      <c r="D937" t="s">
        <v>18</v>
      </c>
      <c r="E937">
        <v>56</v>
      </c>
      <c r="F937" t="s">
        <v>16</v>
      </c>
      <c r="G937">
        <v>6209</v>
      </c>
      <c r="H937">
        <v>11693</v>
      </c>
      <c r="I937">
        <v>15</v>
      </c>
      <c r="J937">
        <v>10</v>
      </c>
      <c r="K937">
        <v>10</v>
      </c>
      <c r="L937">
        <v>7</v>
      </c>
      <c r="M937">
        <v>0</v>
      </c>
      <c r="N937">
        <v>8</v>
      </c>
      <c r="P937">
        <f>G937*I937/100</f>
        <v>931.35</v>
      </c>
      <c r="Q937">
        <f t="shared" si="14"/>
        <v>74508</v>
      </c>
      <c r="R937">
        <f>K937/J937</f>
        <v>1</v>
      </c>
      <c r="S937">
        <v>2020</v>
      </c>
    </row>
    <row r="938" spans="1:19" x14ac:dyDescent="0.3">
      <c r="A938">
        <v>45</v>
      </c>
      <c r="B938">
        <v>364</v>
      </c>
      <c r="C938" t="s">
        <v>17</v>
      </c>
      <c r="D938" t="s">
        <v>15</v>
      </c>
      <c r="E938">
        <v>83</v>
      </c>
      <c r="F938" t="s">
        <v>23</v>
      </c>
      <c r="G938">
        <v>18061</v>
      </c>
      <c r="H938">
        <v>13035</v>
      </c>
      <c r="I938">
        <v>22</v>
      </c>
      <c r="J938">
        <v>22</v>
      </c>
      <c r="K938">
        <v>0</v>
      </c>
      <c r="L938">
        <v>0</v>
      </c>
      <c r="M938">
        <v>0</v>
      </c>
      <c r="N938">
        <v>0</v>
      </c>
      <c r="P938">
        <f>G938*I938/100</f>
        <v>3973.42</v>
      </c>
      <c r="Q938">
        <f t="shared" si="14"/>
        <v>216732</v>
      </c>
      <c r="R938">
        <f>K938/J938</f>
        <v>0</v>
      </c>
      <c r="S938">
        <v>2020</v>
      </c>
    </row>
    <row r="939" spans="1:19" x14ac:dyDescent="0.3">
      <c r="A939">
        <v>39</v>
      </c>
      <c r="B939">
        <v>412</v>
      </c>
      <c r="C939" t="s">
        <v>17</v>
      </c>
      <c r="D939" t="s">
        <v>15</v>
      </c>
      <c r="E939">
        <v>94</v>
      </c>
      <c r="F939" t="s">
        <v>23</v>
      </c>
      <c r="G939">
        <v>17123</v>
      </c>
      <c r="H939">
        <v>17334</v>
      </c>
      <c r="I939">
        <v>13</v>
      </c>
      <c r="J939">
        <v>21</v>
      </c>
      <c r="K939">
        <v>19</v>
      </c>
      <c r="L939">
        <v>9</v>
      </c>
      <c r="M939">
        <v>15</v>
      </c>
      <c r="N939">
        <v>2</v>
      </c>
      <c r="P939">
        <f>G939*I939/100</f>
        <v>2225.9899999999998</v>
      </c>
      <c r="Q939">
        <f t="shared" si="14"/>
        <v>205476</v>
      </c>
      <c r="R939">
        <f>K939/J939</f>
        <v>0.90476190476190477</v>
      </c>
      <c r="S939">
        <v>2020</v>
      </c>
    </row>
    <row r="940" spans="1:19" x14ac:dyDescent="0.3">
      <c r="A940">
        <v>58</v>
      </c>
      <c r="B940">
        <v>848</v>
      </c>
      <c r="C940" t="s">
        <v>17</v>
      </c>
      <c r="D940" t="s">
        <v>18</v>
      </c>
      <c r="E940">
        <v>88</v>
      </c>
      <c r="F940" t="s">
        <v>19</v>
      </c>
      <c r="G940">
        <v>2372</v>
      </c>
      <c r="H940">
        <v>26076</v>
      </c>
      <c r="I940">
        <v>12</v>
      </c>
      <c r="J940">
        <v>2</v>
      </c>
      <c r="K940">
        <v>2</v>
      </c>
      <c r="L940">
        <v>2</v>
      </c>
      <c r="M940">
        <v>2</v>
      </c>
      <c r="N940">
        <v>2</v>
      </c>
      <c r="P940">
        <f>G940*I940/100</f>
        <v>284.64</v>
      </c>
      <c r="Q940">
        <f t="shared" si="14"/>
        <v>28464</v>
      </c>
      <c r="R940">
        <f>K940/J940</f>
        <v>1</v>
      </c>
      <c r="S940">
        <v>2020</v>
      </c>
    </row>
    <row r="941" spans="1:19" x14ac:dyDescent="0.3">
      <c r="A941">
        <v>32</v>
      </c>
      <c r="B941">
        <v>1089</v>
      </c>
      <c r="C941" t="s">
        <v>17</v>
      </c>
      <c r="D941" t="s">
        <v>18</v>
      </c>
      <c r="E941">
        <v>79</v>
      </c>
      <c r="F941" t="s">
        <v>20</v>
      </c>
      <c r="G941">
        <v>4883</v>
      </c>
      <c r="H941">
        <v>22845</v>
      </c>
      <c r="I941">
        <v>18</v>
      </c>
      <c r="J941">
        <v>10</v>
      </c>
      <c r="K941">
        <v>10</v>
      </c>
      <c r="L941">
        <v>4</v>
      </c>
      <c r="M941">
        <v>1</v>
      </c>
      <c r="N941">
        <v>1</v>
      </c>
      <c r="P941">
        <f>G941*I941/100</f>
        <v>878.94</v>
      </c>
      <c r="Q941">
        <f t="shared" si="14"/>
        <v>58596</v>
      </c>
      <c r="R941">
        <f>K941/J941</f>
        <v>1</v>
      </c>
      <c r="S941">
        <v>2020</v>
      </c>
    </row>
    <row r="942" spans="1:19" x14ac:dyDescent="0.3">
      <c r="A942">
        <v>39</v>
      </c>
      <c r="B942">
        <v>360</v>
      </c>
      <c r="C942" t="s">
        <v>17</v>
      </c>
      <c r="D942" t="s">
        <v>18</v>
      </c>
      <c r="E942">
        <v>93</v>
      </c>
      <c r="F942" t="s">
        <v>19</v>
      </c>
      <c r="G942">
        <v>3904</v>
      </c>
      <c r="H942">
        <v>22154</v>
      </c>
      <c r="I942">
        <v>13</v>
      </c>
      <c r="J942">
        <v>6</v>
      </c>
      <c r="K942">
        <v>5</v>
      </c>
      <c r="L942">
        <v>2</v>
      </c>
      <c r="M942">
        <v>0</v>
      </c>
      <c r="N942">
        <v>3</v>
      </c>
      <c r="P942">
        <f>G942*I942/100</f>
        <v>507.52</v>
      </c>
      <c r="Q942">
        <f t="shared" si="14"/>
        <v>46848</v>
      </c>
      <c r="R942">
        <f>K942/J942</f>
        <v>0.83333333333333337</v>
      </c>
      <c r="S942">
        <v>2020</v>
      </c>
    </row>
    <row r="943" spans="1:19" x14ac:dyDescent="0.3">
      <c r="A943">
        <v>30</v>
      </c>
      <c r="B943">
        <v>1138</v>
      </c>
      <c r="C943" t="s">
        <v>17</v>
      </c>
      <c r="D943" t="s">
        <v>15</v>
      </c>
      <c r="E943">
        <v>48</v>
      </c>
      <c r="F943" t="s">
        <v>20</v>
      </c>
      <c r="G943">
        <v>4627</v>
      </c>
      <c r="H943">
        <v>23631</v>
      </c>
      <c r="I943">
        <v>12</v>
      </c>
      <c r="J943">
        <v>10</v>
      </c>
      <c r="K943">
        <v>9</v>
      </c>
      <c r="L943">
        <v>2</v>
      </c>
      <c r="M943">
        <v>6</v>
      </c>
      <c r="N943">
        <v>7</v>
      </c>
      <c r="P943">
        <f>G943*I943/100</f>
        <v>555.24</v>
      </c>
      <c r="Q943">
        <f t="shared" si="14"/>
        <v>55524</v>
      </c>
      <c r="R943">
        <f>K943/J943</f>
        <v>0.9</v>
      </c>
      <c r="S943">
        <v>2020</v>
      </c>
    </row>
    <row r="944" spans="1:19" x14ac:dyDescent="0.3">
      <c r="A944">
        <v>36</v>
      </c>
      <c r="B944">
        <v>325</v>
      </c>
      <c r="C944" t="s">
        <v>17</v>
      </c>
      <c r="D944" t="s">
        <v>15</v>
      </c>
      <c r="E944">
        <v>63</v>
      </c>
      <c r="F944" t="s">
        <v>22</v>
      </c>
      <c r="G944">
        <v>7094</v>
      </c>
      <c r="H944">
        <v>5747</v>
      </c>
      <c r="I944">
        <v>12</v>
      </c>
      <c r="J944">
        <v>10</v>
      </c>
      <c r="K944">
        <v>7</v>
      </c>
      <c r="L944">
        <v>7</v>
      </c>
      <c r="M944">
        <v>1</v>
      </c>
      <c r="N944">
        <v>7</v>
      </c>
      <c r="P944">
        <f>G944*I944/100</f>
        <v>851.28</v>
      </c>
      <c r="Q944">
        <f t="shared" si="14"/>
        <v>85128</v>
      </c>
      <c r="R944">
        <f>K944/J944</f>
        <v>0.7</v>
      </c>
      <c r="S944">
        <v>2020</v>
      </c>
    </row>
    <row r="945" spans="1:19" x14ac:dyDescent="0.3">
      <c r="A945">
        <v>46</v>
      </c>
      <c r="B945">
        <v>991</v>
      </c>
      <c r="C945" t="s">
        <v>26</v>
      </c>
      <c r="D945" t="s">
        <v>15</v>
      </c>
      <c r="E945">
        <v>44</v>
      </c>
      <c r="F945" t="s">
        <v>26</v>
      </c>
      <c r="G945">
        <v>3423</v>
      </c>
      <c r="H945">
        <v>22957</v>
      </c>
      <c r="I945">
        <v>12</v>
      </c>
      <c r="J945">
        <v>10</v>
      </c>
      <c r="K945">
        <v>7</v>
      </c>
      <c r="L945">
        <v>6</v>
      </c>
      <c r="M945">
        <v>5</v>
      </c>
      <c r="N945">
        <v>7</v>
      </c>
      <c r="P945">
        <f>G945*I945/100</f>
        <v>410.76</v>
      </c>
      <c r="Q945">
        <f t="shared" si="14"/>
        <v>41076</v>
      </c>
      <c r="R945">
        <f>K945/J945</f>
        <v>0.7</v>
      </c>
      <c r="S945">
        <v>2020</v>
      </c>
    </row>
    <row r="946" spans="1:19" x14ac:dyDescent="0.3">
      <c r="A946">
        <v>28</v>
      </c>
      <c r="B946">
        <v>1476</v>
      </c>
      <c r="C946" t="s">
        <v>17</v>
      </c>
      <c r="D946" t="s">
        <v>15</v>
      </c>
      <c r="E946">
        <v>55</v>
      </c>
      <c r="F946" t="s">
        <v>20</v>
      </c>
      <c r="G946">
        <v>6674</v>
      </c>
      <c r="H946">
        <v>16392</v>
      </c>
      <c r="I946">
        <v>11</v>
      </c>
      <c r="J946">
        <v>10</v>
      </c>
      <c r="K946">
        <v>9</v>
      </c>
      <c r="L946">
        <v>8</v>
      </c>
      <c r="M946">
        <v>7</v>
      </c>
      <c r="N946">
        <v>5</v>
      </c>
      <c r="P946">
        <f>G946*I946/100</f>
        <v>734.14</v>
      </c>
      <c r="Q946">
        <f t="shared" si="14"/>
        <v>80088</v>
      </c>
      <c r="R946">
        <f>K946/J946</f>
        <v>0.9</v>
      </c>
      <c r="S946">
        <v>2020</v>
      </c>
    </row>
    <row r="947" spans="1:19" x14ac:dyDescent="0.3">
      <c r="A947">
        <v>50</v>
      </c>
      <c r="B947">
        <v>1322</v>
      </c>
      <c r="C947" t="s">
        <v>17</v>
      </c>
      <c r="D947" t="s">
        <v>15</v>
      </c>
      <c r="E947">
        <v>43</v>
      </c>
      <c r="F947" t="s">
        <v>25</v>
      </c>
      <c r="G947">
        <v>16880</v>
      </c>
      <c r="H947">
        <v>22422</v>
      </c>
      <c r="I947">
        <v>11</v>
      </c>
      <c r="J947">
        <v>25</v>
      </c>
      <c r="K947">
        <v>3</v>
      </c>
      <c r="L947">
        <v>2</v>
      </c>
      <c r="M947">
        <v>1</v>
      </c>
      <c r="N947">
        <v>2</v>
      </c>
      <c r="P947">
        <f>G947*I947/100</f>
        <v>1856.8</v>
      </c>
      <c r="Q947">
        <f t="shared" si="14"/>
        <v>202560</v>
      </c>
      <c r="R947">
        <f>K947/J947</f>
        <v>0.12</v>
      </c>
      <c r="S947">
        <v>2020</v>
      </c>
    </row>
    <row r="948" spans="1:19" x14ac:dyDescent="0.3">
      <c r="A948">
        <v>40</v>
      </c>
      <c r="B948">
        <v>299</v>
      </c>
      <c r="C948" t="s">
        <v>14</v>
      </c>
      <c r="D948" t="s">
        <v>18</v>
      </c>
      <c r="E948">
        <v>57</v>
      </c>
      <c r="F948" t="s">
        <v>16</v>
      </c>
      <c r="G948">
        <v>9094</v>
      </c>
      <c r="H948">
        <v>17235</v>
      </c>
      <c r="I948">
        <v>12</v>
      </c>
      <c r="J948">
        <v>9</v>
      </c>
      <c r="K948">
        <v>5</v>
      </c>
      <c r="L948">
        <v>4</v>
      </c>
      <c r="M948">
        <v>1</v>
      </c>
      <c r="N948">
        <v>0</v>
      </c>
      <c r="P948">
        <f>G948*I948/100</f>
        <v>1091.28</v>
      </c>
      <c r="Q948">
        <f t="shared" si="14"/>
        <v>109128</v>
      </c>
      <c r="R948">
        <f>K948/J948</f>
        <v>0.55555555555555558</v>
      </c>
      <c r="S948">
        <v>2020</v>
      </c>
    </row>
    <row r="949" spans="1:19" x14ac:dyDescent="0.3">
      <c r="A949">
        <v>52</v>
      </c>
      <c r="B949">
        <v>1030</v>
      </c>
      <c r="C949" t="s">
        <v>14</v>
      </c>
      <c r="D949" t="s">
        <v>18</v>
      </c>
      <c r="E949">
        <v>64</v>
      </c>
      <c r="F949" t="s">
        <v>16</v>
      </c>
      <c r="G949">
        <v>8446</v>
      </c>
      <c r="H949">
        <v>21534</v>
      </c>
      <c r="I949">
        <v>19</v>
      </c>
      <c r="J949">
        <v>10</v>
      </c>
      <c r="K949">
        <v>8</v>
      </c>
      <c r="L949">
        <v>7</v>
      </c>
      <c r="M949">
        <v>7</v>
      </c>
      <c r="N949">
        <v>7</v>
      </c>
      <c r="P949">
        <f>G949*I949/100</f>
        <v>1604.74</v>
      </c>
      <c r="Q949">
        <f t="shared" si="14"/>
        <v>101352</v>
      </c>
      <c r="R949">
        <f>K949/J949</f>
        <v>0.8</v>
      </c>
      <c r="S949">
        <v>2020</v>
      </c>
    </row>
    <row r="950" spans="1:19" x14ac:dyDescent="0.3">
      <c r="A950">
        <v>30</v>
      </c>
      <c r="B950">
        <v>634</v>
      </c>
      <c r="C950" t="s">
        <v>17</v>
      </c>
      <c r="D950" t="s">
        <v>15</v>
      </c>
      <c r="E950">
        <v>95</v>
      </c>
      <c r="F950" t="s">
        <v>23</v>
      </c>
      <c r="G950">
        <v>11916</v>
      </c>
      <c r="H950">
        <v>25927</v>
      </c>
      <c r="I950">
        <v>23</v>
      </c>
      <c r="J950">
        <v>9</v>
      </c>
      <c r="K950">
        <v>9</v>
      </c>
      <c r="L950">
        <v>1</v>
      </c>
      <c r="M950">
        <v>0</v>
      </c>
      <c r="N950">
        <v>8</v>
      </c>
      <c r="P950">
        <f>G950*I950/100</f>
        <v>2740.68</v>
      </c>
      <c r="Q950">
        <f t="shared" si="14"/>
        <v>142992</v>
      </c>
      <c r="R950">
        <f>K950/J950</f>
        <v>1</v>
      </c>
      <c r="S950">
        <v>2020</v>
      </c>
    </row>
    <row r="951" spans="1:19" x14ac:dyDescent="0.3">
      <c r="A951">
        <v>39</v>
      </c>
      <c r="B951">
        <v>524</v>
      </c>
      <c r="C951" t="s">
        <v>17</v>
      </c>
      <c r="D951" t="s">
        <v>18</v>
      </c>
      <c r="E951">
        <v>32</v>
      </c>
      <c r="F951" t="s">
        <v>21</v>
      </c>
      <c r="G951">
        <v>4534</v>
      </c>
      <c r="H951">
        <v>13352</v>
      </c>
      <c r="I951">
        <v>11</v>
      </c>
      <c r="J951">
        <v>9</v>
      </c>
      <c r="K951">
        <v>8</v>
      </c>
      <c r="L951">
        <v>7</v>
      </c>
      <c r="M951">
        <v>1</v>
      </c>
      <c r="N951">
        <v>7</v>
      </c>
      <c r="P951">
        <f>G951*I951/100</f>
        <v>498.74</v>
      </c>
      <c r="Q951">
        <f t="shared" si="14"/>
        <v>54408</v>
      </c>
      <c r="R951">
        <f>K951/J951</f>
        <v>0.88888888888888884</v>
      </c>
      <c r="S951">
        <v>2020</v>
      </c>
    </row>
    <row r="952" spans="1:19" x14ac:dyDescent="0.3">
      <c r="A952">
        <v>31</v>
      </c>
      <c r="B952">
        <v>587</v>
      </c>
      <c r="C952" t="s">
        <v>14</v>
      </c>
      <c r="D952" t="s">
        <v>15</v>
      </c>
      <c r="E952">
        <v>57</v>
      </c>
      <c r="F952" t="s">
        <v>16</v>
      </c>
      <c r="G952">
        <v>9852</v>
      </c>
      <c r="H952">
        <v>8935</v>
      </c>
      <c r="I952">
        <v>19</v>
      </c>
      <c r="J952">
        <v>10</v>
      </c>
      <c r="K952">
        <v>10</v>
      </c>
      <c r="L952">
        <v>8</v>
      </c>
      <c r="M952">
        <v>9</v>
      </c>
      <c r="N952">
        <v>6</v>
      </c>
      <c r="P952">
        <f>G952*I952/100</f>
        <v>1871.88</v>
      </c>
      <c r="Q952">
        <f t="shared" si="14"/>
        <v>118224</v>
      </c>
      <c r="R952">
        <f>K952/J952</f>
        <v>1</v>
      </c>
      <c r="S952">
        <v>2020</v>
      </c>
    </row>
    <row r="953" spans="1:19" x14ac:dyDescent="0.3">
      <c r="A953">
        <v>41</v>
      </c>
      <c r="B953">
        <v>256</v>
      </c>
      <c r="C953" t="s">
        <v>14</v>
      </c>
      <c r="D953" t="s">
        <v>18</v>
      </c>
      <c r="E953">
        <v>40</v>
      </c>
      <c r="F953" t="s">
        <v>16</v>
      </c>
      <c r="G953">
        <v>6151</v>
      </c>
      <c r="H953">
        <v>22074</v>
      </c>
      <c r="I953">
        <v>13</v>
      </c>
      <c r="J953">
        <v>19</v>
      </c>
      <c r="K953">
        <v>19</v>
      </c>
      <c r="L953">
        <v>2</v>
      </c>
      <c r="M953">
        <v>11</v>
      </c>
      <c r="N953">
        <v>9</v>
      </c>
      <c r="P953">
        <f>G953*I953/100</f>
        <v>799.63</v>
      </c>
      <c r="Q953">
        <f t="shared" si="14"/>
        <v>73812</v>
      </c>
      <c r="R953">
        <f>K953/J953</f>
        <v>1</v>
      </c>
      <c r="S953">
        <v>2020</v>
      </c>
    </row>
    <row r="954" spans="1:19" x14ac:dyDescent="0.3">
      <c r="A954">
        <v>31</v>
      </c>
      <c r="B954">
        <v>1060</v>
      </c>
      <c r="C954" t="s">
        <v>14</v>
      </c>
      <c r="D954" t="s">
        <v>15</v>
      </c>
      <c r="E954">
        <v>54</v>
      </c>
      <c r="F954" t="s">
        <v>24</v>
      </c>
      <c r="G954">
        <v>2302</v>
      </c>
      <c r="H954">
        <v>8319</v>
      </c>
      <c r="I954">
        <v>11</v>
      </c>
      <c r="J954">
        <v>3</v>
      </c>
      <c r="K954">
        <v>3</v>
      </c>
      <c r="L954">
        <v>2</v>
      </c>
      <c r="M954">
        <v>2</v>
      </c>
      <c r="N954">
        <v>2</v>
      </c>
      <c r="P954">
        <f>G954*I954/100</f>
        <v>253.22</v>
      </c>
      <c r="Q954">
        <f t="shared" si="14"/>
        <v>27624</v>
      </c>
      <c r="R954">
        <f>K954/J954</f>
        <v>1</v>
      </c>
      <c r="S954">
        <v>2020</v>
      </c>
    </row>
    <row r="955" spans="1:19" x14ac:dyDescent="0.3">
      <c r="A955">
        <v>44</v>
      </c>
      <c r="B955">
        <v>935</v>
      </c>
      <c r="C955" t="s">
        <v>17</v>
      </c>
      <c r="D955" t="s">
        <v>18</v>
      </c>
      <c r="E955">
        <v>89</v>
      </c>
      <c r="F955" t="s">
        <v>20</v>
      </c>
      <c r="G955">
        <v>2362</v>
      </c>
      <c r="H955">
        <v>14669</v>
      </c>
      <c r="I955">
        <v>12</v>
      </c>
      <c r="J955">
        <v>10</v>
      </c>
      <c r="K955">
        <v>3</v>
      </c>
      <c r="L955">
        <v>2</v>
      </c>
      <c r="M955">
        <v>1</v>
      </c>
      <c r="N955">
        <v>2</v>
      </c>
      <c r="P955">
        <f>G955*I955/100</f>
        <v>283.44</v>
      </c>
      <c r="Q955">
        <f t="shared" si="14"/>
        <v>28344</v>
      </c>
      <c r="R955">
        <f>K955/J955</f>
        <v>0.3</v>
      </c>
      <c r="S955">
        <v>2020</v>
      </c>
    </row>
    <row r="956" spans="1:19" x14ac:dyDescent="0.3">
      <c r="A956">
        <v>42</v>
      </c>
      <c r="B956">
        <v>495</v>
      </c>
      <c r="C956" t="s">
        <v>17</v>
      </c>
      <c r="D956" t="s">
        <v>18</v>
      </c>
      <c r="E956">
        <v>37</v>
      </c>
      <c r="F956" t="s">
        <v>23</v>
      </c>
      <c r="G956">
        <v>17861</v>
      </c>
      <c r="H956">
        <v>26582</v>
      </c>
      <c r="I956">
        <v>13</v>
      </c>
      <c r="J956">
        <v>21</v>
      </c>
      <c r="K956">
        <v>20</v>
      </c>
      <c r="L956">
        <v>8</v>
      </c>
      <c r="M956">
        <v>2</v>
      </c>
      <c r="N956">
        <v>10</v>
      </c>
      <c r="P956">
        <f>G956*I956/100</f>
        <v>2321.9299999999998</v>
      </c>
      <c r="Q956">
        <f t="shared" si="14"/>
        <v>214332</v>
      </c>
      <c r="R956">
        <f>K956/J956</f>
        <v>0.95238095238095233</v>
      </c>
      <c r="S956">
        <v>2020</v>
      </c>
    </row>
    <row r="957" spans="1:19" x14ac:dyDescent="0.3">
      <c r="A957">
        <v>55</v>
      </c>
      <c r="B957">
        <v>282</v>
      </c>
      <c r="C957" t="s">
        <v>17</v>
      </c>
      <c r="D957" t="s">
        <v>15</v>
      </c>
      <c r="E957">
        <v>58</v>
      </c>
      <c r="F957" t="s">
        <v>23</v>
      </c>
      <c r="G957">
        <v>19187</v>
      </c>
      <c r="H957">
        <v>6992</v>
      </c>
      <c r="I957">
        <v>14</v>
      </c>
      <c r="J957">
        <v>23</v>
      </c>
      <c r="K957">
        <v>19</v>
      </c>
      <c r="L957">
        <v>9</v>
      </c>
      <c r="M957">
        <v>9</v>
      </c>
      <c r="N957">
        <v>11</v>
      </c>
      <c r="P957">
        <f>G957*I957/100</f>
        <v>2686.18</v>
      </c>
      <c r="Q957">
        <f t="shared" si="14"/>
        <v>230244</v>
      </c>
      <c r="R957">
        <f>K957/J957</f>
        <v>0.82608695652173914</v>
      </c>
      <c r="S957">
        <v>2020</v>
      </c>
    </row>
    <row r="958" spans="1:19" x14ac:dyDescent="0.3">
      <c r="A958">
        <v>56</v>
      </c>
      <c r="B958">
        <v>206</v>
      </c>
      <c r="C958" t="s">
        <v>26</v>
      </c>
      <c r="D958" t="s">
        <v>18</v>
      </c>
      <c r="E958">
        <v>99</v>
      </c>
      <c r="F958" t="s">
        <v>23</v>
      </c>
      <c r="G958">
        <v>19717</v>
      </c>
      <c r="H958">
        <v>4022</v>
      </c>
      <c r="I958">
        <v>14</v>
      </c>
      <c r="J958">
        <v>36</v>
      </c>
      <c r="K958">
        <v>7</v>
      </c>
      <c r="L958">
        <v>3</v>
      </c>
      <c r="M958">
        <v>7</v>
      </c>
      <c r="N958">
        <v>7</v>
      </c>
      <c r="P958">
        <f>G958*I958/100</f>
        <v>2760.38</v>
      </c>
      <c r="Q958">
        <f t="shared" si="14"/>
        <v>236604</v>
      </c>
      <c r="R958">
        <f>K958/J958</f>
        <v>0.19444444444444445</v>
      </c>
      <c r="S958">
        <v>2020</v>
      </c>
    </row>
    <row r="959" spans="1:19" x14ac:dyDescent="0.3">
      <c r="A959">
        <v>40</v>
      </c>
      <c r="B959">
        <v>458</v>
      </c>
      <c r="C959" t="s">
        <v>17</v>
      </c>
      <c r="D959" t="s">
        <v>18</v>
      </c>
      <c r="E959">
        <v>74</v>
      </c>
      <c r="F959" t="s">
        <v>19</v>
      </c>
      <c r="G959">
        <v>3544</v>
      </c>
      <c r="H959">
        <v>8532</v>
      </c>
      <c r="I959">
        <v>16</v>
      </c>
      <c r="J959">
        <v>6</v>
      </c>
      <c r="K959">
        <v>4</v>
      </c>
      <c r="L959">
        <v>2</v>
      </c>
      <c r="M959">
        <v>0</v>
      </c>
      <c r="N959">
        <v>0</v>
      </c>
      <c r="P959">
        <f>G959*I959/100</f>
        <v>567.04</v>
      </c>
      <c r="Q959">
        <f t="shared" si="14"/>
        <v>42528</v>
      </c>
      <c r="R959">
        <f>K959/J959</f>
        <v>0.66666666666666663</v>
      </c>
      <c r="S959">
        <v>2020</v>
      </c>
    </row>
    <row r="960" spans="1:19" x14ac:dyDescent="0.3">
      <c r="A960">
        <v>34</v>
      </c>
      <c r="B960">
        <v>943</v>
      </c>
      <c r="C960" t="s">
        <v>17</v>
      </c>
      <c r="D960" t="s">
        <v>18</v>
      </c>
      <c r="E960">
        <v>86</v>
      </c>
      <c r="F960" t="s">
        <v>22</v>
      </c>
      <c r="G960">
        <v>8500</v>
      </c>
      <c r="H960">
        <v>5494</v>
      </c>
      <c r="I960">
        <v>11</v>
      </c>
      <c r="J960">
        <v>10</v>
      </c>
      <c r="K960">
        <v>9</v>
      </c>
      <c r="L960">
        <v>7</v>
      </c>
      <c r="M960">
        <v>1</v>
      </c>
      <c r="N960">
        <v>6</v>
      </c>
      <c r="P960">
        <f>G960*I960/100</f>
        <v>935</v>
      </c>
      <c r="Q960">
        <f t="shared" si="14"/>
        <v>102000</v>
      </c>
      <c r="R960">
        <f>K960/J960</f>
        <v>0.9</v>
      </c>
      <c r="S960">
        <v>2020</v>
      </c>
    </row>
    <row r="961" spans="1:19" x14ac:dyDescent="0.3">
      <c r="A961">
        <v>40</v>
      </c>
      <c r="B961">
        <v>523</v>
      </c>
      <c r="C961" t="s">
        <v>17</v>
      </c>
      <c r="D961" t="s">
        <v>18</v>
      </c>
      <c r="E961">
        <v>98</v>
      </c>
      <c r="F961" t="s">
        <v>19</v>
      </c>
      <c r="G961">
        <v>4661</v>
      </c>
      <c r="H961">
        <v>22455</v>
      </c>
      <c r="I961">
        <v>13</v>
      </c>
      <c r="J961">
        <v>9</v>
      </c>
      <c r="K961">
        <v>9</v>
      </c>
      <c r="L961">
        <v>8</v>
      </c>
      <c r="M961">
        <v>8</v>
      </c>
      <c r="N961">
        <v>8</v>
      </c>
      <c r="P961">
        <f>G961*I961/100</f>
        <v>605.92999999999995</v>
      </c>
      <c r="Q961">
        <f t="shared" si="14"/>
        <v>55932</v>
      </c>
      <c r="R961">
        <f>K961/J961</f>
        <v>1</v>
      </c>
      <c r="S961">
        <v>2020</v>
      </c>
    </row>
    <row r="962" spans="1:19" x14ac:dyDescent="0.3">
      <c r="A962">
        <v>41</v>
      </c>
      <c r="B962">
        <v>1018</v>
      </c>
      <c r="C962" t="s">
        <v>14</v>
      </c>
      <c r="D962" t="s">
        <v>15</v>
      </c>
      <c r="E962">
        <v>66</v>
      </c>
      <c r="F962" t="s">
        <v>16</v>
      </c>
      <c r="G962">
        <v>4103</v>
      </c>
      <c r="H962">
        <v>4297</v>
      </c>
      <c r="I962">
        <v>17</v>
      </c>
      <c r="J962">
        <v>10</v>
      </c>
      <c r="K962">
        <v>9</v>
      </c>
      <c r="L962">
        <v>3</v>
      </c>
      <c r="M962">
        <v>1</v>
      </c>
      <c r="N962">
        <v>7</v>
      </c>
      <c r="P962">
        <f>G962*I962/100</f>
        <v>697.51</v>
      </c>
      <c r="Q962">
        <f t="shared" si="14"/>
        <v>49236</v>
      </c>
      <c r="R962">
        <f>K962/J962</f>
        <v>0.9</v>
      </c>
      <c r="S962">
        <v>2020</v>
      </c>
    </row>
    <row r="963" spans="1:19" x14ac:dyDescent="0.3">
      <c r="A963">
        <v>35</v>
      </c>
      <c r="B963">
        <v>482</v>
      </c>
      <c r="C963" t="s">
        <v>17</v>
      </c>
      <c r="D963" t="s">
        <v>18</v>
      </c>
      <c r="E963">
        <v>87</v>
      </c>
      <c r="F963" t="s">
        <v>19</v>
      </c>
      <c r="G963">
        <v>4249</v>
      </c>
      <c r="H963">
        <v>2690</v>
      </c>
      <c r="I963">
        <v>11</v>
      </c>
      <c r="J963">
        <v>9</v>
      </c>
      <c r="K963">
        <v>9</v>
      </c>
      <c r="L963">
        <v>6</v>
      </c>
      <c r="M963">
        <v>1</v>
      </c>
      <c r="N963">
        <v>1</v>
      </c>
      <c r="P963">
        <f>G963*I963/100</f>
        <v>467.39</v>
      </c>
      <c r="Q963">
        <f t="shared" ref="Q963:Q1026" si="15">G963*12</f>
        <v>50988</v>
      </c>
      <c r="R963">
        <f>K963/J963</f>
        <v>1</v>
      </c>
      <c r="S963">
        <v>2020</v>
      </c>
    </row>
    <row r="964" spans="1:19" x14ac:dyDescent="0.3">
      <c r="A964">
        <v>51</v>
      </c>
      <c r="B964">
        <v>770</v>
      </c>
      <c r="C964" t="s">
        <v>26</v>
      </c>
      <c r="D964" t="s">
        <v>18</v>
      </c>
      <c r="E964">
        <v>84</v>
      </c>
      <c r="F964" t="s">
        <v>23</v>
      </c>
      <c r="G964">
        <v>14026</v>
      </c>
      <c r="H964">
        <v>17588</v>
      </c>
      <c r="I964">
        <v>11</v>
      </c>
      <c r="J964">
        <v>33</v>
      </c>
      <c r="K964">
        <v>33</v>
      </c>
      <c r="L964">
        <v>9</v>
      </c>
      <c r="M964">
        <v>0</v>
      </c>
      <c r="N964">
        <v>10</v>
      </c>
      <c r="P964">
        <f>G964*I964/100</f>
        <v>1542.86</v>
      </c>
      <c r="Q964">
        <f t="shared" si="15"/>
        <v>168312</v>
      </c>
      <c r="R964">
        <f>K964/J964</f>
        <v>1</v>
      </c>
      <c r="S964">
        <v>2020</v>
      </c>
    </row>
    <row r="965" spans="1:19" x14ac:dyDescent="0.3">
      <c r="A965">
        <v>38</v>
      </c>
      <c r="B965">
        <v>1009</v>
      </c>
      <c r="C965" t="s">
        <v>14</v>
      </c>
      <c r="D965" t="s">
        <v>15</v>
      </c>
      <c r="E965">
        <v>31</v>
      </c>
      <c r="F965" t="s">
        <v>16</v>
      </c>
      <c r="G965">
        <v>6893</v>
      </c>
      <c r="H965">
        <v>19461</v>
      </c>
      <c r="I965">
        <v>15</v>
      </c>
      <c r="J965">
        <v>11</v>
      </c>
      <c r="K965">
        <v>7</v>
      </c>
      <c r="L965">
        <v>7</v>
      </c>
      <c r="M965">
        <v>1</v>
      </c>
      <c r="N965">
        <v>7</v>
      </c>
      <c r="P965">
        <f>G965*I965/100</f>
        <v>1033.95</v>
      </c>
      <c r="Q965">
        <f t="shared" si="15"/>
        <v>82716</v>
      </c>
      <c r="R965">
        <f>K965/J965</f>
        <v>0.63636363636363635</v>
      </c>
      <c r="S965">
        <v>2020</v>
      </c>
    </row>
    <row r="966" spans="1:19" x14ac:dyDescent="0.3">
      <c r="A966">
        <v>34</v>
      </c>
      <c r="B966">
        <v>507</v>
      </c>
      <c r="C966" t="s">
        <v>14</v>
      </c>
      <c r="D966" t="s">
        <v>15</v>
      </c>
      <c r="E966">
        <v>66</v>
      </c>
      <c r="F966" t="s">
        <v>16</v>
      </c>
      <c r="G966">
        <v>6125</v>
      </c>
      <c r="H966">
        <v>23553</v>
      </c>
      <c r="I966">
        <v>12</v>
      </c>
      <c r="J966">
        <v>10</v>
      </c>
      <c r="K966">
        <v>10</v>
      </c>
      <c r="L966">
        <v>8</v>
      </c>
      <c r="M966">
        <v>9</v>
      </c>
      <c r="N966">
        <v>6</v>
      </c>
      <c r="P966">
        <f>G966*I966/100</f>
        <v>735</v>
      </c>
      <c r="Q966">
        <f t="shared" si="15"/>
        <v>73500</v>
      </c>
      <c r="R966">
        <f>K966/J966</f>
        <v>1</v>
      </c>
      <c r="S966">
        <v>2020</v>
      </c>
    </row>
    <row r="967" spans="1:19" x14ac:dyDescent="0.3">
      <c r="A967">
        <v>25</v>
      </c>
      <c r="B967">
        <v>882</v>
      </c>
      <c r="C967" t="s">
        <v>17</v>
      </c>
      <c r="D967" t="s">
        <v>18</v>
      </c>
      <c r="E967">
        <v>67</v>
      </c>
      <c r="F967" t="s">
        <v>20</v>
      </c>
      <c r="G967">
        <v>3669</v>
      </c>
      <c r="H967">
        <v>9075</v>
      </c>
      <c r="I967">
        <v>11</v>
      </c>
      <c r="J967">
        <v>7</v>
      </c>
      <c r="K967">
        <v>3</v>
      </c>
      <c r="L967">
        <v>2</v>
      </c>
      <c r="M967">
        <v>1</v>
      </c>
      <c r="N967">
        <v>2</v>
      </c>
      <c r="P967">
        <f>G967*I967/100</f>
        <v>403.59</v>
      </c>
      <c r="Q967">
        <f t="shared" si="15"/>
        <v>44028</v>
      </c>
      <c r="R967">
        <f>K967/J967</f>
        <v>0.42857142857142855</v>
      </c>
      <c r="S967">
        <v>2020</v>
      </c>
    </row>
    <row r="968" spans="1:19" x14ac:dyDescent="0.3">
      <c r="A968">
        <v>58</v>
      </c>
      <c r="B968">
        <v>601</v>
      </c>
      <c r="C968" t="s">
        <v>17</v>
      </c>
      <c r="D968" t="s">
        <v>15</v>
      </c>
      <c r="E968">
        <v>53</v>
      </c>
      <c r="F968" t="s">
        <v>21</v>
      </c>
      <c r="G968">
        <v>10008</v>
      </c>
      <c r="H968">
        <v>12023</v>
      </c>
      <c r="I968">
        <v>14</v>
      </c>
      <c r="J968">
        <v>31</v>
      </c>
      <c r="K968">
        <v>10</v>
      </c>
      <c r="L968">
        <v>9</v>
      </c>
      <c r="M968">
        <v>5</v>
      </c>
      <c r="N968">
        <v>9</v>
      </c>
      <c r="P968">
        <f>G968*I968/100</f>
        <v>1401.12</v>
      </c>
      <c r="Q968">
        <f t="shared" si="15"/>
        <v>120096</v>
      </c>
      <c r="R968">
        <f>K968/J968</f>
        <v>0.32258064516129031</v>
      </c>
      <c r="S968">
        <v>2020</v>
      </c>
    </row>
    <row r="969" spans="1:19" x14ac:dyDescent="0.3">
      <c r="A969">
        <v>40</v>
      </c>
      <c r="B969">
        <v>329</v>
      </c>
      <c r="C969" t="s">
        <v>17</v>
      </c>
      <c r="D969" t="s">
        <v>18</v>
      </c>
      <c r="E969">
        <v>88</v>
      </c>
      <c r="F969" t="s">
        <v>20</v>
      </c>
      <c r="G969">
        <v>2387</v>
      </c>
      <c r="H969">
        <v>6762</v>
      </c>
      <c r="I969">
        <v>22</v>
      </c>
      <c r="J969">
        <v>7</v>
      </c>
      <c r="K969">
        <v>4</v>
      </c>
      <c r="L969">
        <v>2</v>
      </c>
      <c r="M969">
        <v>0</v>
      </c>
      <c r="N969">
        <v>3</v>
      </c>
      <c r="P969">
        <f>G969*I969/100</f>
        <v>525.14</v>
      </c>
      <c r="Q969">
        <f t="shared" si="15"/>
        <v>28644</v>
      </c>
      <c r="R969">
        <f>K969/J969</f>
        <v>0.5714285714285714</v>
      </c>
      <c r="S969">
        <v>2020</v>
      </c>
    </row>
    <row r="970" spans="1:19" x14ac:dyDescent="0.3">
      <c r="A970">
        <v>36</v>
      </c>
      <c r="B970">
        <v>607</v>
      </c>
      <c r="C970" t="s">
        <v>14</v>
      </c>
      <c r="D970" t="s">
        <v>15</v>
      </c>
      <c r="E970">
        <v>83</v>
      </c>
      <c r="F970" t="s">
        <v>16</v>
      </c>
      <c r="G970">
        <v>4639</v>
      </c>
      <c r="H970">
        <v>2261</v>
      </c>
      <c r="I970">
        <v>16</v>
      </c>
      <c r="J970">
        <v>17</v>
      </c>
      <c r="K970">
        <v>15</v>
      </c>
      <c r="L970">
        <v>7</v>
      </c>
      <c r="M970">
        <v>6</v>
      </c>
      <c r="N970">
        <v>13</v>
      </c>
      <c r="P970">
        <f>G970*I970/100</f>
        <v>742.24</v>
      </c>
      <c r="Q970">
        <f t="shared" si="15"/>
        <v>55668</v>
      </c>
      <c r="R970">
        <f>K970/J970</f>
        <v>0.88235294117647056</v>
      </c>
      <c r="S970">
        <v>2020</v>
      </c>
    </row>
    <row r="971" spans="1:19" x14ac:dyDescent="0.3">
      <c r="A971">
        <v>48</v>
      </c>
      <c r="B971">
        <v>855</v>
      </c>
      <c r="C971" t="s">
        <v>17</v>
      </c>
      <c r="D971" t="s">
        <v>18</v>
      </c>
      <c r="E971">
        <v>54</v>
      </c>
      <c r="F971" t="s">
        <v>21</v>
      </c>
      <c r="G971">
        <v>7898</v>
      </c>
      <c r="H971">
        <v>18706</v>
      </c>
      <c r="I971">
        <v>11</v>
      </c>
      <c r="J971">
        <v>11</v>
      </c>
      <c r="K971">
        <v>10</v>
      </c>
      <c r="L971">
        <v>9</v>
      </c>
      <c r="M971">
        <v>0</v>
      </c>
      <c r="N971">
        <v>8</v>
      </c>
      <c r="P971">
        <f>G971*I971/100</f>
        <v>868.78</v>
      </c>
      <c r="Q971">
        <f t="shared" si="15"/>
        <v>94776</v>
      </c>
      <c r="R971">
        <f>K971/J971</f>
        <v>0.90909090909090906</v>
      </c>
      <c r="S971">
        <v>2020</v>
      </c>
    </row>
    <row r="972" spans="1:19" x14ac:dyDescent="0.3">
      <c r="A972">
        <v>27</v>
      </c>
      <c r="B972">
        <v>1291</v>
      </c>
      <c r="C972" t="s">
        <v>14</v>
      </c>
      <c r="D972" t="s">
        <v>15</v>
      </c>
      <c r="E972">
        <v>98</v>
      </c>
      <c r="F972" t="s">
        <v>24</v>
      </c>
      <c r="G972">
        <v>2534</v>
      </c>
      <c r="H972">
        <v>6527</v>
      </c>
      <c r="I972">
        <v>14</v>
      </c>
      <c r="J972">
        <v>5</v>
      </c>
      <c r="K972">
        <v>1</v>
      </c>
      <c r="L972">
        <v>0</v>
      </c>
      <c r="M972">
        <v>0</v>
      </c>
      <c r="N972">
        <v>0</v>
      </c>
      <c r="P972">
        <f>G972*I972/100</f>
        <v>354.76</v>
      </c>
      <c r="Q972">
        <f t="shared" si="15"/>
        <v>30408</v>
      </c>
      <c r="R972">
        <f>K972/J972</f>
        <v>0.2</v>
      </c>
      <c r="S972">
        <v>2020</v>
      </c>
    </row>
    <row r="973" spans="1:19" x14ac:dyDescent="0.3">
      <c r="A973">
        <v>51</v>
      </c>
      <c r="B973">
        <v>1405</v>
      </c>
      <c r="C973" t="s">
        <v>17</v>
      </c>
      <c r="D973" t="s">
        <v>15</v>
      </c>
      <c r="E973">
        <v>82</v>
      </c>
      <c r="F973" t="s">
        <v>21</v>
      </c>
      <c r="G973">
        <v>13142</v>
      </c>
      <c r="H973">
        <v>24439</v>
      </c>
      <c r="I973">
        <v>16</v>
      </c>
      <c r="J973">
        <v>29</v>
      </c>
      <c r="K973">
        <v>5</v>
      </c>
      <c r="L973">
        <v>2</v>
      </c>
      <c r="M973">
        <v>0</v>
      </c>
      <c r="N973">
        <v>3</v>
      </c>
      <c r="P973">
        <f>G973*I973/100</f>
        <v>2102.7199999999998</v>
      </c>
      <c r="Q973">
        <f t="shared" si="15"/>
        <v>157704</v>
      </c>
      <c r="R973">
        <f>K973/J973</f>
        <v>0.17241379310344829</v>
      </c>
      <c r="S973">
        <v>2020</v>
      </c>
    </row>
    <row r="974" spans="1:19" x14ac:dyDescent="0.3">
      <c r="A974">
        <v>18</v>
      </c>
      <c r="B974">
        <v>1124</v>
      </c>
      <c r="C974" t="s">
        <v>17</v>
      </c>
      <c r="D974" t="s">
        <v>15</v>
      </c>
      <c r="E974">
        <v>97</v>
      </c>
      <c r="F974" t="s">
        <v>20</v>
      </c>
      <c r="G974">
        <v>1611</v>
      </c>
      <c r="H974">
        <v>19305</v>
      </c>
      <c r="I974">
        <v>15</v>
      </c>
      <c r="J974">
        <v>0</v>
      </c>
      <c r="K974">
        <v>0</v>
      </c>
      <c r="L974">
        <v>0</v>
      </c>
      <c r="M974">
        <v>0</v>
      </c>
      <c r="N974">
        <v>0</v>
      </c>
      <c r="P974">
        <f>G974*I974/100</f>
        <v>241.65</v>
      </c>
      <c r="Q974">
        <f t="shared" si="15"/>
        <v>19332</v>
      </c>
      <c r="R974" t="e">
        <f>K974/J974</f>
        <v>#DIV/0!</v>
      </c>
      <c r="S974">
        <v>2020</v>
      </c>
    </row>
    <row r="975" spans="1:19" x14ac:dyDescent="0.3">
      <c r="A975">
        <v>35</v>
      </c>
      <c r="B975">
        <v>817</v>
      </c>
      <c r="C975" t="s">
        <v>17</v>
      </c>
      <c r="D975" t="s">
        <v>15</v>
      </c>
      <c r="E975">
        <v>60</v>
      </c>
      <c r="F975" t="s">
        <v>20</v>
      </c>
      <c r="G975">
        <v>5363</v>
      </c>
      <c r="H975">
        <v>10846</v>
      </c>
      <c r="I975">
        <v>12</v>
      </c>
      <c r="J975">
        <v>10</v>
      </c>
      <c r="K975">
        <v>9</v>
      </c>
      <c r="L975">
        <v>7</v>
      </c>
      <c r="M975">
        <v>0</v>
      </c>
      <c r="N975">
        <v>0</v>
      </c>
      <c r="P975">
        <f>G975*I975/100</f>
        <v>643.55999999999995</v>
      </c>
      <c r="Q975">
        <f t="shared" si="15"/>
        <v>64356</v>
      </c>
      <c r="R975">
        <f>K975/J975</f>
        <v>0.9</v>
      </c>
      <c r="S975">
        <v>2020</v>
      </c>
    </row>
    <row r="976" spans="1:19" x14ac:dyDescent="0.3">
      <c r="A976">
        <v>27</v>
      </c>
      <c r="B976">
        <v>793</v>
      </c>
      <c r="C976" t="s">
        <v>14</v>
      </c>
      <c r="D976" t="s">
        <v>18</v>
      </c>
      <c r="E976">
        <v>43</v>
      </c>
      <c r="F976" t="s">
        <v>16</v>
      </c>
      <c r="G976">
        <v>5071</v>
      </c>
      <c r="H976">
        <v>20392</v>
      </c>
      <c r="I976">
        <v>20</v>
      </c>
      <c r="J976">
        <v>8</v>
      </c>
      <c r="K976">
        <v>6</v>
      </c>
      <c r="L976">
        <v>2</v>
      </c>
      <c r="M976">
        <v>0</v>
      </c>
      <c r="N976">
        <v>0</v>
      </c>
      <c r="P976">
        <f>G976*I976/100</f>
        <v>1014.2</v>
      </c>
      <c r="Q976">
        <f t="shared" si="15"/>
        <v>60852</v>
      </c>
      <c r="R976">
        <f>K976/J976</f>
        <v>0.75</v>
      </c>
      <c r="S976">
        <v>2020</v>
      </c>
    </row>
    <row r="977" spans="1:19" x14ac:dyDescent="0.3">
      <c r="A977">
        <v>55</v>
      </c>
      <c r="B977">
        <v>267</v>
      </c>
      <c r="C977" t="s">
        <v>14</v>
      </c>
      <c r="D977" t="s">
        <v>18</v>
      </c>
      <c r="E977">
        <v>85</v>
      </c>
      <c r="F977" t="s">
        <v>16</v>
      </c>
      <c r="G977">
        <v>13695</v>
      </c>
      <c r="H977">
        <v>9277</v>
      </c>
      <c r="I977">
        <v>17</v>
      </c>
      <c r="J977">
        <v>24</v>
      </c>
      <c r="K977">
        <v>19</v>
      </c>
      <c r="L977">
        <v>7</v>
      </c>
      <c r="M977">
        <v>3</v>
      </c>
      <c r="N977">
        <v>8</v>
      </c>
      <c r="P977">
        <f>G977*I977/100</f>
        <v>2328.15</v>
      </c>
      <c r="Q977">
        <f t="shared" si="15"/>
        <v>164340</v>
      </c>
      <c r="R977">
        <f>K977/J977</f>
        <v>0.79166666666666663</v>
      </c>
      <c r="S977">
        <v>2020</v>
      </c>
    </row>
    <row r="978" spans="1:19" x14ac:dyDescent="0.3">
      <c r="A978">
        <v>56</v>
      </c>
      <c r="B978">
        <v>1369</v>
      </c>
      <c r="C978" t="s">
        <v>17</v>
      </c>
      <c r="D978" t="s">
        <v>18</v>
      </c>
      <c r="E978">
        <v>68</v>
      </c>
      <c r="F978" t="s">
        <v>21</v>
      </c>
      <c r="G978">
        <v>13402</v>
      </c>
      <c r="H978">
        <v>18235</v>
      </c>
      <c r="I978">
        <v>12</v>
      </c>
      <c r="J978">
        <v>33</v>
      </c>
      <c r="K978">
        <v>19</v>
      </c>
      <c r="L978">
        <v>16</v>
      </c>
      <c r="M978">
        <v>15</v>
      </c>
      <c r="N978">
        <v>9</v>
      </c>
      <c r="P978">
        <f>G978*I978/100</f>
        <v>1608.24</v>
      </c>
      <c r="Q978">
        <f t="shared" si="15"/>
        <v>160824</v>
      </c>
      <c r="R978">
        <f>K978/J978</f>
        <v>0.5757575757575758</v>
      </c>
      <c r="S978">
        <v>2020</v>
      </c>
    </row>
    <row r="979" spans="1:19" x14ac:dyDescent="0.3">
      <c r="A979">
        <v>34</v>
      </c>
      <c r="B979">
        <v>999</v>
      </c>
      <c r="C979" t="s">
        <v>17</v>
      </c>
      <c r="D979" t="s">
        <v>15</v>
      </c>
      <c r="E979">
        <v>92</v>
      </c>
      <c r="F979" t="s">
        <v>19</v>
      </c>
      <c r="G979">
        <v>2029</v>
      </c>
      <c r="H979">
        <v>15891</v>
      </c>
      <c r="I979">
        <v>20</v>
      </c>
      <c r="J979">
        <v>5</v>
      </c>
      <c r="K979">
        <v>5</v>
      </c>
      <c r="L979">
        <v>4</v>
      </c>
      <c r="M979">
        <v>0</v>
      </c>
      <c r="N979">
        <v>0</v>
      </c>
      <c r="P979">
        <f>G979*I979/100</f>
        <v>405.8</v>
      </c>
      <c r="Q979">
        <f t="shared" si="15"/>
        <v>24348</v>
      </c>
      <c r="R979">
        <f>K979/J979</f>
        <v>1</v>
      </c>
      <c r="S979">
        <v>2020</v>
      </c>
    </row>
    <row r="980" spans="1:19" x14ac:dyDescent="0.3">
      <c r="A980">
        <v>40</v>
      </c>
      <c r="B980">
        <v>1202</v>
      </c>
      <c r="C980" t="s">
        <v>17</v>
      </c>
      <c r="D980" t="s">
        <v>15</v>
      </c>
      <c r="E980">
        <v>89</v>
      </c>
      <c r="F980" t="s">
        <v>22</v>
      </c>
      <c r="G980">
        <v>6377</v>
      </c>
      <c r="H980">
        <v>13888</v>
      </c>
      <c r="I980">
        <v>20</v>
      </c>
      <c r="J980">
        <v>15</v>
      </c>
      <c r="K980">
        <v>12</v>
      </c>
      <c r="L980">
        <v>11</v>
      </c>
      <c r="M980">
        <v>11</v>
      </c>
      <c r="N980">
        <v>8</v>
      </c>
      <c r="P980">
        <f>G980*I980/100</f>
        <v>1275.4000000000001</v>
      </c>
      <c r="Q980">
        <f t="shared" si="15"/>
        <v>76524</v>
      </c>
      <c r="R980">
        <f>K980/J980</f>
        <v>0.8</v>
      </c>
      <c r="S980">
        <v>2020</v>
      </c>
    </row>
    <row r="981" spans="1:19" x14ac:dyDescent="0.3">
      <c r="A981">
        <v>34</v>
      </c>
      <c r="B981">
        <v>285</v>
      </c>
      <c r="C981" t="s">
        <v>17</v>
      </c>
      <c r="D981" t="s">
        <v>18</v>
      </c>
      <c r="E981">
        <v>86</v>
      </c>
      <c r="F981" t="s">
        <v>20</v>
      </c>
      <c r="G981">
        <v>5429</v>
      </c>
      <c r="H981">
        <v>17491</v>
      </c>
      <c r="I981">
        <v>13</v>
      </c>
      <c r="J981">
        <v>10</v>
      </c>
      <c r="K981">
        <v>8</v>
      </c>
      <c r="L981">
        <v>7</v>
      </c>
      <c r="M981">
        <v>7</v>
      </c>
      <c r="N981">
        <v>7</v>
      </c>
      <c r="P981">
        <f>G981*I981/100</f>
        <v>705.77</v>
      </c>
      <c r="Q981">
        <f t="shared" si="15"/>
        <v>65148</v>
      </c>
      <c r="R981">
        <f>K981/J981</f>
        <v>0.8</v>
      </c>
      <c r="S981">
        <v>2020</v>
      </c>
    </row>
    <row r="982" spans="1:19" x14ac:dyDescent="0.3">
      <c r="A982">
        <v>31</v>
      </c>
      <c r="B982">
        <v>703</v>
      </c>
      <c r="C982" t="s">
        <v>14</v>
      </c>
      <c r="D982" t="s">
        <v>15</v>
      </c>
      <c r="E982">
        <v>90</v>
      </c>
      <c r="F982" t="s">
        <v>24</v>
      </c>
      <c r="G982">
        <v>2785</v>
      </c>
      <c r="H982">
        <v>11882</v>
      </c>
      <c r="I982">
        <v>14</v>
      </c>
      <c r="J982">
        <v>3</v>
      </c>
      <c r="K982">
        <v>1</v>
      </c>
      <c r="L982">
        <v>0</v>
      </c>
      <c r="M982">
        <v>0</v>
      </c>
      <c r="N982">
        <v>0</v>
      </c>
      <c r="P982">
        <f>G982*I982/100</f>
        <v>389.9</v>
      </c>
      <c r="Q982">
        <f t="shared" si="15"/>
        <v>33420</v>
      </c>
      <c r="R982">
        <f>K982/J982</f>
        <v>0.33333333333333331</v>
      </c>
      <c r="S982">
        <v>2020</v>
      </c>
    </row>
    <row r="983" spans="1:19" x14ac:dyDescent="0.3">
      <c r="A983">
        <v>35</v>
      </c>
      <c r="B983">
        <v>662</v>
      </c>
      <c r="C983" t="s">
        <v>14</v>
      </c>
      <c r="D983" t="s">
        <v>15</v>
      </c>
      <c r="E983">
        <v>67</v>
      </c>
      <c r="F983" t="s">
        <v>16</v>
      </c>
      <c r="G983">
        <v>4614</v>
      </c>
      <c r="H983">
        <v>23288</v>
      </c>
      <c r="I983">
        <v>18</v>
      </c>
      <c r="J983">
        <v>5</v>
      </c>
      <c r="K983">
        <v>4</v>
      </c>
      <c r="L983">
        <v>2</v>
      </c>
      <c r="M983">
        <v>3</v>
      </c>
      <c r="N983">
        <v>2</v>
      </c>
      <c r="P983">
        <f>G983*I983/100</f>
        <v>830.52</v>
      </c>
      <c r="Q983">
        <f t="shared" si="15"/>
        <v>55368</v>
      </c>
      <c r="R983">
        <f>K983/J983</f>
        <v>0.8</v>
      </c>
      <c r="S983">
        <v>2020</v>
      </c>
    </row>
    <row r="984" spans="1:19" x14ac:dyDescent="0.3">
      <c r="A984">
        <v>38</v>
      </c>
      <c r="B984">
        <v>693</v>
      </c>
      <c r="C984" t="s">
        <v>17</v>
      </c>
      <c r="D984" t="s">
        <v>18</v>
      </c>
      <c r="E984">
        <v>57</v>
      </c>
      <c r="F984" t="s">
        <v>19</v>
      </c>
      <c r="G984">
        <v>2610</v>
      </c>
      <c r="H984">
        <v>15748</v>
      </c>
      <c r="I984">
        <v>11</v>
      </c>
      <c r="J984">
        <v>4</v>
      </c>
      <c r="K984">
        <v>4</v>
      </c>
      <c r="L984">
        <v>2</v>
      </c>
      <c r="M984">
        <v>0</v>
      </c>
      <c r="N984">
        <v>3</v>
      </c>
      <c r="P984">
        <f>G984*I984/100</f>
        <v>287.10000000000002</v>
      </c>
      <c r="Q984">
        <f t="shared" si="15"/>
        <v>31320</v>
      </c>
      <c r="R984">
        <f>K984/J984</f>
        <v>1</v>
      </c>
      <c r="S984">
        <v>2020</v>
      </c>
    </row>
    <row r="985" spans="1:19" x14ac:dyDescent="0.3">
      <c r="A985">
        <v>34</v>
      </c>
      <c r="B985">
        <v>404</v>
      </c>
      <c r="C985" t="s">
        <v>17</v>
      </c>
      <c r="D985" t="s">
        <v>15</v>
      </c>
      <c r="E985">
        <v>98</v>
      </c>
      <c r="F985" t="s">
        <v>22</v>
      </c>
      <c r="G985">
        <v>6687</v>
      </c>
      <c r="H985">
        <v>6163</v>
      </c>
      <c r="I985">
        <v>11</v>
      </c>
      <c r="J985">
        <v>14</v>
      </c>
      <c r="K985">
        <v>14</v>
      </c>
      <c r="L985">
        <v>11</v>
      </c>
      <c r="M985">
        <v>4</v>
      </c>
      <c r="N985">
        <v>11</v>
      </c>
      <c r="P985">
        <f>G985*I985/100</f>
        <v>735.57</v>
      </c>
      <c r="Q985">
        <f t="shared" si="15"/>
        <v>80244</v>
      </c>
      <c r="R985">
        <f>K985/J985</f>
        <v>1</v>
      </c>
      <c r="S985">
        <v>2020</v>
      </c>
    </row>
    <row r="986" spans="1:19" x14ac:dyDescent="0.3">
      <c r="A986">
        <v>28</v>
      </c>
      <c r="B986">
        <v>736</v>
      </c>
      <c r="C986" t="s">
        <v>14</v>
      </c>
      <c r="D986" t="s">
        <v>18</v>
      </c>
      <c r="E986">
        <v>48</v>
      </c>
      <c r="F986" t="s">
        <v>16</v>
      </c>
      <c r="G986">
        <v>4724</v>
      </c>
      <c r="H986">
        <v>24232</v>
      </c>
      <c r="I986">
        <v>11</v>
      </c>
      <c r="J986">
        <v>5</v>
      </c>
      <c r="K986">
        <v>5</v>
      </c>
      <c r="L986">
        <v>3</v>
      </c>
      <c r="M986">
        <v>0</v>
      </c>
      <c r="N986">
        <v>4</v>
      </c>
      <c r="P986">
        <f>G986*I986/100</f>
        <v>519.64</v>
      </c>
      <c r="Q986">
        <f t="shared" si="15"/>
        <v>56688</v>
      </c>
      <c r="R986">
        <f>K986/J986</f>
        <v>1</v>
      </c>
      <c r="S986">
        <v>2020</v>
      </c>
    </row>
    <row r="987" spans="1:19" x14ac:dyDescent="0.3">
      <c r="A987">
        <v>31</v>
      </c>
      <c r="B987">
        <v>330</v>
      </c>
      <c r="C987" t="s">
        <v>17</v>
      </c>
      <c r="D987" t="s">
        <v>18</v>
      </c>
      <c r="E987">
        <v>98</v>
      </c>
      <c r="F987" t="s">
        <v>21</v>
      </c>
      <c r="G987">
        <v>6179</v>
      </c>
      <c r="H987">
        <v>21057</v>
      </c>
      <c r="I987">
        <v>15</v>
      </c>
      <c r="J987">
        <v>10</v>
      </c>
      <c r="K987">
        <v>10</v>
      </c>
      <c r="L987">
        <v>2</v>
      </c>
      <c r="M987">
        <v>6</v>
      </c>
      <c r="N987">
        <v>7</v>
      </c>
      <c r="P987">
        <f>G987*I987/100</f>
        <v>926.85</v>
      </c>
      <c r="Q987">
        <f t="shared" si="15"/>
        <v>74148</v>
      </c>
      <c r="R987">
        <f>K987/J987</f>
        <v>1</v>
      </c>
      <c r="S987">
        <v>2020</v>
      </c>
    </row>
    <row r="988" spans="1:19" x14ac:dyDescent="0.3">
      <c r="A988">
        <v>39</v>
      </c>
      <c r="B988">
        <v>1498</v>
      </c>
      <c r="C988" t="s">
        <v>14</v>
      </c>
      <c r="D988" t="s">
        <v>18</v>
      </c>
      <c r="E988">
        <v>44</v>
      </c>
      <c r="F988" t="s">
        <v>16</v>
      </c>
      <c r="G988">
        <v>6120</v>
      </c>
      <c r="H988">
        <v>3567</v>
      </c>
      <c r="I988">
        <v>12</v>
      </c>
      <c r="J988">
        <v>8</v>
      </c>
      <c r="K988">
        <v>5</v>
      </c>
      <c r="L988">
        <v>4</v>
      </c>
      <c r="M988">
        <v>1</v>
      </c>
      <c r="N988">
        <v>4</v>
      </c>
      <c r="P988">
        <f>G988*I988/100</f>
        <v>734.4</v>
      </c>
      <c r="Q988">
        <f t="shared" si="15"/>
        <v>73440</v>
      </c>
      <c r="R988">
        <f>K988/J988</f>
        <v>0.625</v>
      </c>
      <c r="S988">
        <v>2020</v>
      </c>
    </row>
    <row r="989" spans="1:19" x14ac:dyDescent="0.3">
      <c r="A989">
        <v>51</v>
      </c>
      <c r="B989">
        <v>541</v>
      </c>
      <c r="C989" t="s">
        <v>14</v>
      </c>
      <c r="D989" t="s">
        <v>18</v>
      </c>
      <c r="E989">
        <v>52</v>
      </c>
      <c r="F989" t="s">
        <v>16</v>
      </c>
      <c r="G989">
        <v>10596</v>
      </c>
      <c r="H989">
        <v>15395</v>
      </c>
      <c r="I989">
        <v>11</v>
      </c>
      <c r="J989">
        <v>14</v>
      </c>
      <c r="K989">
        <v>4</v>
      </c>
      <c r="L989">
        <v>2</v>
      </c>
      <c r="M989">
        <v>3</v>
      </c>
      <c r="N989">
        <v>2</v>
      </c>
      <c r="P989">
        <f>G989*I989/100</f>
        <v>1165.56</v>
      </c>
      <c r="Q989">
        <f t="shared" si="15"/>
        <v>127152</v>
      </c>
      <c r="R989">
        <f>K989/J989</f>
        <v>0.2857142857142857</v>
      </c>
      <c r="S989">
        <v>2020</v>
      </c>
    </row>
    <row r="990" spans="1:19" x14ac:dyDescent="0.3">
      <c r="A990">
        <v>41</v>
      </c>
      <c r="B990">
        <v>1200</v>
      </c>
      <c r="C990" t="s">
        <v>17</v>
      </c>
      <c r="D990" t="s">
        <v>15</v>
      </c>
      <c r="E990">
        <v>75</v>
      </c>
      <c r="F990" t="s">
        <v>19</v>
      </c>
      <c r="G990">
        <v>5467</v>
      </c>
      <c r="H990">
        <v>13953</v>
      </c>
      <c r="I990">
        <v>14</v>
      </c>
      <c r="J990">
        <v>12</v>
      </c>
      <c r="K990">
        <v>6</v>
      </c>
      <c r="L990">
        <v>2</v>
      </c>
      <c r="M990">
        <v>3</v>
      </c>
      <c r="N990">
        <v>3</v>
      </c>
      <c r="P990">
        <f>G990*I990/100</f>
        <v>765.38</v>
      </c>
      <c r="Q990">
        <f t="shared" si="15"/>
        <v>65604</v>
      </c>
      <c r="R990">
        <f>K990/J990</f>
        <v>0.5</v>
      </c>
      <c r="S990">
        <v>2020</v>
      </c>
    </row>
    <row r="991" spans="1:19" x14ac:dyDescent="0.3">
      <c r="A991">
        <v>37</v>
      </c>
      <c r="B991">
        <v>1439</v>
      </c>
      <c r="C991" t="s">
        <v>17</v>
      </c>
      <c r="D991" t="s">
        <v>18</v>
      </c>
      <c r="E991">
        <v>54</v>
      </c>
      <c r="F991" t="s">
        <v>19</v>
      </c>
      <c r="G991">
        <v>2996</v>
      </c>
      <c r="H991">
        <v>5182</v>
      </c>
      <c r="I991">
        <v>15</v>
      </c>
      <c r="J991">
        <v>8</v>
      </c>
      <c r="K991">
        <v>6</v>
      </c>
      <c r="L991">
        <v>4</v>
      </c>
      <c r="M991">
        <v>1</v>
      </c>
      <c r="N991">
        <v>3</v>
      </c>
      <c r="P991">
        <f>G991*I991/100</f>
        <v>449.4</v>
      </c>
      <c r="Q991">
        <f t="shared" si="15"/>
        <v>35952</v>
      </c>
      <c r="R991">
        <f>K991/J991</f>
        <v>0.75</v>
      </c>
      <c r="S991">
        <v>2020</v>
      </c>
    </row>
    <row r="992" spans="1:19" x14ac:dyDescent="0.3">
      <c r="A992">
        <v>33</v>
      </c>
      <c r="B992">
        <v>1111</v>
      </c>
      <c r="C992" t="s">
        <v>14</v>
      </c>
      <c r="D992" t="s">
        <v>18</v>
      </c>
      <c r="E992">
        <v>61</v>
      </c>
      <c r="F992" t="s">
        <v>16</v>
      </c>
      <c r="G992">
        <v>9998</v>
      </c>
      <c r="H992">
        <v>19293</v>
      </c>
      <c r="I992">
        <v>13</v>
      </c>
      <c r="J992">
        <v>8</v>
      </c>
      <c r="K992">
        <v>5</v>
      </c>
      <c r="L992">
        <v>4</v>
      </c>
      <c r="M992">
        <v>1</v>
      </c>
      <c r="N992">
        <v>2</v>
      </c>
      <c r="P992">
        <f>G992*I992/100</f>
        <v>1299.74</v>
      </c>
      <c r="Q992">
        <f t="shared" si="15"/>
        <v>119976</v>
      </c>
      <c r="R992">
        <f>K992/J992</f>
        <v>0.625</v>
      </c>
      <c r="S992">
        <v>2020</v>
      </c>
    </row>
    <row r="993" spans="1:19" x14ac:dyDescent="0.3">
      <c r="A993">
        <v>32</v>
      </c>
      <c r="B993">
        <v>499</v>
      </c>
      <c r="C993" t="s">
        <v>14</v>
      </c>
      <c r="D993" t="s">
        <v>18</v>
      </c>
      <c r="E993">
        <v>36</v>
      </c>
      <c r="F993" t="s">
        <v>16</v>
      </c>
      <c r="G993">
        <v>4078</v>
      </c>
      <c r="H993">
        <v>20497</v>
      </c>
      <c r="I993">
        <v>13</v>
      </c>
      <c r="J993">
        <v>4</v>
      </c>
      <c r="K993">
        <v>3</v>
      </c>
      <c r="L993">
        <v>2</v>
      </c>
      <c r="M993">
        <v>1</v>
      </c>
      <c r="N993">
        <v>2</v>
      </c>
      <c r="P993">
        <f>G993*I993/100</f>
        <v>530.14</v>
      </c>
      <c r="Q993">
        <f t="shared" si="15"/>
        <v>48936</v>
      </c>
      <c r="R993">
        <f>K993/J993</f>
        <v>0.75</v>
      </c>
      <c r="S993">
        <v>2020</v>
      </c>
    </row>
    <row r="994" spans="1:19" x14ac:dyDescent="0.3">
      <c r="A994">
        <v>39</v>
      </c>
      <c r="B994">
        <v>1485</v>
      </c>
      <c r="C994" t="s">
        <v>17</v>
      </c>
      <c r="D994" t="s">
        <v>18</v>
      </c>
      <c r="E994">
        <v>71</v>
      </c>
      <c r="F994" t="s">
        <v>22</v>
      </c>
      <c r="G994">
        <v>10920</v>
      </c>
      <c r="H994">
        <v>3449</v>
      </c>
      <c r="I994">
        <v>21</v>
      </c>
      <c r="J994">
        <v>13</v>
      </c>
      <c r="K994">
        <v>6</v>
      </c>
      <c r="L994">
        <v>4</v>
      </c>
      <c r="M994">
        <v>0</v>
      </c>
      <c r="N994">
        <v>5</v>
      </c>
      <c r="P994">
        <f>G994*I994/100</f>
        <v>2293.1999999999998</v>
      </c>
      <c r="Q994">
        <f t="shared" si="15"/>
        <v>131040</v>
      </c>
      <c r="R994">
        <f>K994/J994</f>
        <v>0.46153846153846156</v>
      </c>
      <c r="S994">
        <v>2020</v>
      </c>
    </row>
    <row r="995" spans="1:19" x14ac:dyDescent="0.3">
      <c r="A995">
        <v>25</v>
      </c>
      <c r="B995">
        <v>1372</v>
      </c>
      <c r="C995" t="s">
        <v>14</v>
      </c>
      <c r="D995" t="s">
        <v>18</v>
      </c>
      <c r="E995">
        <v>93</v>
      </c>
      <c r="F995" t="s">
        <v>16</v>
      </c>
      <c r="G995">
        <v>6232</v>
      </c>
      <c r="H995">
        <v>12477</v>
      </c>
      <c r="I995">
        <v>11</v>
      </c>
      <c r="J995">
        <v>6</v>
      </c>
      <c r="K995">
        <v>3</v>
      </c>
      <c r="L995">
        <v>2</v>
      </c>
      <c r="M995">
        <v>1</v>
      </c>
      <c r="N995">
        <v>2</v>
      </c>
      <c r="P995">
        <f>G995*I995/100</f>
        <v>685.52</v>
      </c>
      <c r="Q995">
        <f t="shared" si="15"/>
        <v>74784</v>
      </c>
      <c r="R995">
        <f>K995/J995</f>
        <v>0.5</v>
      </c>
      <c r="S995">
        <v>2020</v>
      </c>
    </row>
    <row r="996" spans="1:19" x14ac:dyDescent="0.3">
      <c r="A996">
        <v>52</v>
      </c>
      <c r="B996">
        <v>322</v>
      </c>
      <c r="C996" t="s">
        <v>17</v>
      </c>
      <c r="D996" t="s">
        <v>15</v>
      </c>
      <c r="E996">
        <v>59</v>
      </c>
      <c r="F996" t="s">
        <v>21</v>
      </c>
      <c r="G996">
        <v>13247</v>
      </c>
      <c r="H996">
        <v>9731</v>
      </c>
      <c r="I996">
        <v>11</v>
      </c>
      <c r="J996">
        <v>24</v>
      </c>
      <c r="K996">
        <v>5</v>
      </c>
      <c r="L996">
        <v>3</v>
      </c>
      <c r="M996">
        <v>0</v>
      </c>
      <c r="N996">
        <v>2</v>
      </c>
      <c r="P996">
        <f>G996*I996/100</f>
        <v>1457.17</v>
      </c>
      <c r="Q996">
        <f t="shared" si="15"/>
        <v>158964</v>
      </c>
      <c r="R996">
        <f>K996/J996</f>
        <v>0.20833333333333334</v>
      </c>
      <c r="S996">
        <v>2020</v>
      </c>
    </row>
    <row r="997" spans="1:19" x14ac:dyDescent="0.3">
      <c r="A997">
        <v>43</v>
      </c>
      <c r="B997">
        <v>930</v>
      </c>
      <c r="C997" t="s">
        <v>17</v>
      </c>
      <c r="D997" t="s">
        <v>15</v>
      </c>
      <c r="E997">
        <v>73</v>
      </c>
      <c r="F997" t="s">
        <v>19</v>
      </c>
      <c r="G997">
        <v>4081</v>
      </c>
      <c r="H997">
        <v>20003</v>
      </c>
      <c r="I997">
        <v>14</v>
      </c>
      <c r="J997">
        <v>20</v>
      </c>
      <c r="K997">
        <v>20</v>
      </c>
      <c r="L997">
        <v>7</v>
      </c>
      <c r="M997">
        <v>1</v>
      </c>
      <c r="N997">
        <v>8</v>
      </c>
      <c r="P997">
        <f>G997*I997/100</f>
        <v>571.34</v>
      </c>
      <c r="Q997">
        <f t="shared" si="15"/>
        <v>48972</v>
      </c>
      <c r="R997">
        <f>K997/J997</f>
        <v>1</v>
      </c>
      <c r="S997">
        <v>2020</v>
      </c>
    </row>
    <row r="998" spans="1:19" x14ac:dyDescent="0.3">
      <c r="A998">
        <v>27</v>
      </c>
      <c r="B998">
        <v>205</v>
      </c>
      <c r="C998" t="s">
        <v>14</v>
      </c>
      <c r="D998" t="s">
        <v>15</v>
      </c>
      <c r="E998">
        <v>98</v>
      </c>
      <c r="F998" t="s">
        <v>16</v>
      </c>
      <c r="G998">
        <v>5769</v>
      </c>
      <c r="H998">
        <v>7100</v>
      </c>
      <c r="I998">
        <v>11</v>
      </c>
      <c r="J998">
        <v>6</v>
      </c>
      <c r="K998">
        <v>6</v>
      </c>
      <c r="L998">
        <v>2</v>
      </c>
      <c r="M998">
        <v>4</v>
      </c>
      <c r="N998">
        <v>4</v>
      </c>
      <c r="P998">
        <f>G998*I998/100</f>
        <v>634.59</v>
      </c>
      <c r="Q998">
        <f t="shared" si="15"/>
        <v>69228</v>
      </c>
      <c r="R998">
        <f>K998/J998</f>
        <v>1</v>
      </c>
      <c r="S998">
        <v>2020</v>
      </c>
    </row>
    <row r="999" spans="1:19" x14ac:dyDescent="0.3">
      <c r="A999">
        <v>27</v>
      </c>
      <c r="B999">
        <v>135</v>
      </c>
      <c r="C999" t="s">
        <v>17</v>
      </c>
      <c r="D999" t="s">
        <v>15</v>
      </c>
      <c r="E999">
        <v>51</v>
      </c>
      <c r="F999" t="s">
        <v>19</v>
      </c>
      <c r="G999">
        <v>2394</v>
      </c>
      <c r="H999">
        <v>25681</v>
      </c>
      <c r="I999">
        <v>13</v>
      </c>
      <c r="J999">
        <v>8</v>
      </c>
      <c r="K999">
        <v>8</v>
      </c>
      <c r="L999">
        <v>2</v>
      </c>
      <c r="M999">
        <v>7</v>
      </c>
      <c r="N999">
        <v>7</v>
      </c>
      <c r="P999">
        <f>G999*I999/100</f>
        <v>311.22000000000003</v>
      </c>
      <c r="Q999">
        <f t="shared" si="15"/>
        <v>28728</v>
      </c>
      <c r="R999">
        <f>K999/J999</f>
        <v>1</v>
      </c>
      <c r="S999">
        <v>2020</v>
      </c>
    </row>
    <row r="1000" spans="1:19" x14ac:dyDescent="0.3">
      <c r="A1000">
        <v>26</v>
      </c>
      <c r="B1000">
        <v>683</v>
      </c>
      <c r="C1000" t="s">
        <v>17</v>
      </c>
      <c r="D1000" t="s">
        <v>18</v>
      </c>
      <c r="E1000">
        <v>36</v>
      </c>
      <c r="F1000" t="s">
        <v>19</v>
      </c>
      <c r="G1000">
        <v>3904</v>
      </c>
      <c r="H1000">
        <v>4050</v>
      </c>
      <c r="I1000">
        <v>12</v>
      </c>
      <c r="J1000">
        <v>5</v>
      </c>
      <c r="K1000">
        <v>4</v>
      </c>
      <c r="L1000">
        <v>3</v>
      </c>
      <c r="M1000">
        <v>1</v>
      </c>
      <c r="N1000">
        <v>1</v>
      </c>
      <c r="P1000">
        <f>G1000*I1000/100</f>
        <v>468.48</v>
      </c>
      <c r="Q1000">
        <f t="shared" si="15"/>
        <v>46848</v>
      </c>
      <c r="R1000">
        <f>K1000/J1000</f>
        <v>0.8</v>
      </c>
      <c r="S1000">
        <v>2020</v>
      </c>
    </row>
    <row r="1001" spans="1:19" x14ac:dyDescent="0.3">
      <c r="A1001">
        <v>42</v>
      </c>
      <c r="B1001">
        <v>1147</v>
      </c>
      <c r="C1001" t="s">
        <v>26</v>
      </c>
      <c r="D1001" t="s">
        <v>15</v>
      </c>
      <c r="E1001">
        <v>31</v>
      </c>
      <c r="F1001" t="s">
        <v>23</v>
      </c>
      <c r="G1001">
        <v>16799</v>
      </c>
      <c r="H1001">
        <v>16616</v>
      </c>
      <c r="I1001">
        <v>14</v>
      </c>
      <c r="J1001">
        <v>21</v>
      </c>
      <c r="K1001">
        <v>20</v>
      </c>
      <c r="L1001">
        <v>7</v>
      </c>
      <c r="M1001">
        <v>0</v>
      </c>
      <c r="N1001">
        <v>9</v>
      </c>
      <c r="P1001">
        <f>G1001*I1001/100</f>
        <v>2351.86</v>
      </c>
      <c r="Q1001">
        <f t="shared" si="15"/>
        <v>201588</v>
      </c>
      <c r="R1001">
        <f>K1001/J1001</f>
        <v>0.95238095238095233</v>
      </c>
      <c r="S1001">
        <v>2020</v>
      </c>
    </row>
    <row r="1002" spans="1:19" x14ac:dyDescent="0.3">
      <c r="A1002">
        <v>52</v>
      </c>
      <c r="B1002">
        <v>258</v>
      </c>
      <c r="C1002" t="s">
        <v>17</v>
      </c>
      <c r="D1002" t="s">
        <v>15</v>
      </c>
      <c r="E1002">
        <v>54</v>
      </c>
      <c r="F1002" t="s">
        <v>20</v>
      </c>
      <c r="G1002">
        <v>2950</v>
      </c>
      <c r="H1002">
        <v>17363</v>
      </c>
      <c r="I1002">
        <v>13</v>
      </c>
      <c r="J1002">
        <v>12</v>
      </c>
      <c r="K1002">
        <v>5</v>
      </c>
      <c r="L1002">
        <v>4</v>
      </c>
      <c r="M1002">
        <v>0</v>
      </c>
      <c r="N1002">
        <v>4</v>
      </c>
      <c r="P1002">
        <f>G1002*I1002/100</f>
        <v>383.5</v>
      </c>
      <c r="Q1002">
        <f t="shared" si="15"/>
        <v>35400</v>
      </c>
      <c r="R1002">
        <f>K1002/J1002</f>
        <v>0.41666666666666669</v>
      </c>
      <c r="S1002">
        <v>2020</v>
      </c>
    </row>
    <row r="1003" spans="1:19" x14ac:dyDescent="0.3">
      <c r="A1003">
        <v>37</v>
      </c>
      <c r="B1003">
        <v>1462</v>
      </c>
      <c r="C1003" t="s">
        <v>17</v>
      </c>
      <c r="D1003" t="s">
        <v>15</v>
      </c>
      <c r="E1003">
        <v>94</v>
      </c>
      <c r="F1003" t="s">
        <v>20</v>
      </c>
      <c r="G1003">
        <v>3629</v>
      </c>
      <c r="H1003">
        <v>19106</v>
      </c>
      <c r="I1003">
        <v>18</v>
      </c>
      <c r="J1003">
        <v>8</v>
      </c>
      <c r="K1003">
        <v>3</v>
      </c>
      <c r="L1003">
        <v>2</v>
      </c>
      <c r="M1003">
        <v>0</v>
      </c>
      <c r="N1003">
        <v>2</v>
      </c>
      <c r="P1003">
        <f>G1003*I1003/100</f>
        <v>653.22</v>
      </c>
      <c r="Q1003">
        <f t="shared" si="15"/>
        <v>43548</v>
      </c>
      <c r="R1003">
        <f>K1003/J1003</f>
        <v>0.375</v>
      </c>
      <c r="S1003">
        <v>2020</v>
      </c>
    </row>
    <row r="1004" spans="1:19" x14ac:dyDescent="0.3">
      <c r="A1004">
        <v>35</v>
      </c>
      <c r="B1004">
        <v>200</v>
      </c>
      <c r="C1004" t="s">
        <v>17</v>
      </c>
      <c r="D1004" t="s">
        <v>18</v>
      </c>
      <c r="E1004">
        <v>60</v>
      </c>
      <c r="F1004" t="s">
        <v>21</v>
      </c>
      <c r="G1004">
        <v>9362</v>
      </c>
      <c r="H1004">
        <v>19944</v>
      </c>
      <c r="I1004">
        <v>11</v>
      </c>
      <c r="J1004">
        <v>10</v>
      </c>
      <c r="K1004">
        <v>2</v>
      </c>
      <c r="L1004">
        <v>2</v>
      </c>
      <c r="M1004">
        <v>2</v>
      </c>
      <c r="N1004">
        <v>2</v>
      </c>
      <c r="P1004">
        <f>G1004*I1004/100</f>
        <v>1029.82</v>
      </c>
      <c r="Q1004">
        <f t="shared" si="15"/>
        <v>112344</v>
      </c>
      <c r="R1004">
        <f>K1004/J1004</f>
        <v>0.2</v>
      </c>
      <c r="S1004">
        <v>2020</v>
      </c>
    </row>
    <row r="1005" spans="1:19" x14ac:dyDescent="0.3">
      <c r="A1005">
        <v>25</v>
      </c>
      <c r="B1005">
        <v>949</v>
      </c>
      <c r="C1005" t="s">
        <v>17</v>
      </c>
      <c r="D1005" t="s">
        <v>18</v>
      </c>
      <c r="E1005">
        <v>81</v>
      </c>
      <c r="F1005" t="s">
        <v>20</v>
      </c>
      <c r="G1005">
        <v>3229</v>
      </c>
      <c r="H1005">
        <v>4910</v>
      </c>
      <c r="I1005">
        <v>11</v>
      </c>
      <c r="J1005">
        <v>7</v>
      </c>
      <c r="K1005">
        <v>3</v>
      </c>
      <c r="L1005">
        <v>2</v>
      </c>
      <c r="M1005">
        <v>0</v>
      </c>
      <c r="N1005">
        <v>2</v>
      </c>
      <c r="P1005">
        <f>G1005*I1005/100</f>
        <v>355.19</v>
      </c>
      <c r="Q1005">
        <f t="shared" si="15"/>
        <v>38748</v>
      </c>
      <c r="R1005">
        <f>K1005/J1005</f>
        <v>0.42857142857142855</v>
      </c>
      <c r="S1005">
        <v>2020</v>
      </c>
    </row>
    <row r="1006" spans="1:19" x14ac:dyDescent="0.3">
      <c r="A1006">
        <v>26</v>
      </c>
      <c r="B1006">
        <v>652</v>
      </c>
      <c r="C1006" t="s">
        <v>17</v>
      </c>
      <c r="D1006" t="s">
        <v>18</v>
      </c>
      <c r="E1006">
        <v>100</v>
      </c>
      <c r="F1006" t="s">
        <v>20</v>
      </c>
      <c r="G1006">
        <v>3578</v>
      </c>
      <c r="H1006">
        <v>23577</v>
      </c>
      <c r="I1006">
        <v>12</v>
      </c>
      <c r="J1006">
        <v>8</v>
      </c>
      <c r="K1006">
        <v>7</v>
      </c>
      <c r="L1006">
        <v>7</v>
      </c>
      <c r="M1006">
        <v>0</v>
      </c>
      <c r="N1006">
        <v>7</v>
      </c>
      <c r="P1006">
        <f>G1006*I1006/100</f>
        <v>429.36</v>
      </c>
      <c r="Q1006">
        <f t="shared" si="15"/>
        <v>42936</v>
      </c>
      <c r="R1006">
        <f>K1006/J1006</f>
        <v>0.875</v>
      </c>
      <c r="S1006">
        <v>2020</v>
      </c>
    </row>
    <row r="1007" spans="1:19" x14ac:dyDescent="0.3">
      <c r="A1007">
        <v>29</v>
      </c>
      <c r="B1007">
        <v>332</v>
      </c>
      <c r="C1007" t="s">
        <v>26</v>
      </c>
      <c r="D1007" t="s">
        <v>18</v>
      </c>
      <c r="E1007">
        <v>51</v>
      </c>
      <c r="F1007" t="s">
        <v>26</v>
      </c>
      <c r="G1007">
        <v>7988</v>
      </c>
      <c r="H1007">
        <v>9769</v>
      </c>
      <c r="I1007">
        <v>13</v>
      </c>
      <c r="J1007">
        <v>10</v>
      </c>
      <c r="K1007">
        <v>10</v>
      </c>
      <c r="L1007">
        <v>9</v>
      </c>
      <c r="M1007">
        <v>0</v>
      </c>
      <c r="N1007">
        <v>9</v>
      </c>
      <c r="P1007">
        <f>G1007*I1007/100</f>
        <v>1038.44</v>
      </c>
      <c r="Q1007">
        <f t="shared" si="15"/>
        <v>95856</v>
      </c>
      <c r="R1007">
        <f>K1007/J1007</f>
        <v>1</v>
      </c>
      <c r="S1007">
        <v>2020</v>
      </c>
    </row>
    <row r="1008" spans="1:19" x14ac:dyDescent="0.3">
      <c r="A1008">
        <v>49</v>
      </c>
      <c r="B1008">
        <v>1475</v>
      </c>
      <c r="C1008" t="s">
        <v>17</v>
      </c>
      <c r="D1008" t="s">
        <v>18</v>
      </c>
      <c r="E1008">
        <v>97</v>
      </c>
      <c r="F1008" t="s">
        <v>20</v>
      </c>
      <c r="G1008">
        <v>4284</v>
      </c>
      <c r="H1008">
        <v>22710</v>
      </c>
      <c r="I1008">
        <v>20</v>
      </c>
      <c r="J1008">
        <v>20</v>
      </c>
      <c r="K1008">
        <v>4</v>
      </c>
      <c r="L1008">
        <v>3</v>
      </c>
      <c r="M1008">
        <v>1</v>
      </c>
      <c r="N1008">
        <v>3</v>
      </c>
      <c r="P1008">
        <f>G1008*I1008/100</f>
        <v>856.8</v>
      </c>
      <c r="Q1008">
        <f t="shared" si="15"/>
        <v>51408</v>
      </c>
      <c r="R1008">
        <f>K1008/J1008</f>
        <v>0.2</v>
      </c>
      <c r="S1008">
        <v>2020</v>
      </c>
    </row>
    <row r="1009" spans="1:19" x14ac:dyDescent="0.3">
      <c r="A1009">
        <v>29</v>
      </c>
      <c r="B1009">
        <v>337</v>
      </c>
      <c r="C1009" t="s">
        <v>17</v>
      </c>
      <c r="D1009" t="s">
        <v>15</v>
      </c>
      <c r="E1009">
        <v>84</v>
      </c>
      <c r="F1009" t="s">
        <v>22</v>
      </c>
      <c r="G1009">
        <v>7553</v>
      </c>
      <c r="H1009">
        <v>22930</v>
      </c>
      <c r="I1009">
        <v>12</v>
      </c>
      <c r="J1009">
        <v>9</v>
      </c>
      <c r="K1009">
        <v>8</v>
      </c>
      <c r="L1009">
        <v>7</v>
      </c>
      <c r="M1009">
        <v>7</v>
      </c>
      <c r="N1009">
        <v>7</v>
      </c>
      <c r="P1009">
        <f>G1009*I1009/100</f>
        <v>906.36</v>
      </c>
      <c r="Q1009">
        <f t="shared" si="15"/>
        <v>90636</v>
      </c>
      <c r="R1009">
        <f>K1009/J1009</f>
        <v>0.88888888888888884</v>
      </c>
      <c r="S1009">
        <v>2020</v>
      </c>
    </row>
    <row r="1010" spans="1:19" x14ac:dyDescent="0.3">
      <c r="A1010">
        <v>54</v>
      </c>
      <c r="B1010">
        <v>971</v>
      </c>
      <c r="C1010" t="s">
        <v>17</v>
      </c>
      <c r="D1010" t="s">
        <v>15</v>
      </c>
      <c r="E1010">
        <v>54</v>
      </c>
      <c r="F1010" t="s">
        <v>25</v>
      </c>
      <c r="G1010">
        <v>17328</v>
      </c>
      <c r="H1010">
        <v>5652</v>
      </c>
      <c r="I1010">
        <v>19</v>
      </c>
      <c r="J1010">
        <v>29</v>
      </c>
      <c r="K1010">
        <v>20</v>
      </c>
      <c r="L1010">
        <v>7</v>
      </c>
      <c r="M1010">
        <v>12</v>
      </c>
      <c r="N1010">
        <v>7</v>
      </c>
      <c r="P1010">
        <f>G1010*I1010/100</f>
        <v>3292.32</v>
      </c>
      <c r="Q1010">
        <f t="shared" si="15"/>
        <v>207936</v>
      </c>
      <c r="R1010">
        <f>K1010/J1010</f>
        <v>0.68965517241379315</v>
      </c>
      <c r="S1010">
        <v>2020</v>
      </c>
    </row>
    <row r="1011" spans="1:19" x14ac:dyDescent="0.3">
      <c r="A1011">
        <v>58</v>
      </c>
      <c r="B1011">
        <v>1055</v>
      </c>
      <c r="C1011" t="s">
        <v>17</v>
      </c>
      <c r="D1011" t="s">
        <v>15</v>
      </c>
      <c r="E1011">
        <v>76</v>
      </c>
      <c r="F1011" t="s">
        <v>25</v>
      </c>
      <c r="G1011">
        <v>19701</v>
      </c>
      <c r="H1011">
        <v>22456</v>
      </c>
      <c r="I1011">
        <v>21</v>
      </c>
      <c r="J1011">
        <v>32</v>
      </c>
      <c r="K1011">
        <v>9</v>
      </c>
      <c r="L1011">
        <v>8</v>
      </c>
      <c r="M1011">
        <v>1</v>
      </c>
      <c r="N1011">
        <v>5</v>
      </c>
      <c r="P1011">
        <f>G1011*I1011/100</f>
        <v>4137.21</v>
      </c>
      <c r="Q1011">
        <f t="shared" si="15"/>
        <v>236412</v>
      </c>
      <c r="R1011">
        <f>K1011/J1011</f>
        <v>0.28125</v>
      </c>
      <c r="S1011">
        <v>2020</v>
      </c>
    </row>
    <row r="1012" spans="1:19" x14ac:dyDescent="0.3">
      <c r="A1012">
        <v>55</v>
      </c>
      <c r="B1012">
        <v>1136</v>
      </c>
      <c r="C1012" t="s">
        <v>17</v>
      </c>
      <c r="D1012" t="s">
        <v>18</v>
      </c>
      <c r="E1012">
        <v>81</v>
      </c>
      <c r="F1012" t="s">
        <v>25</v>
      </c>
      <c r="G1012">
        <v>14732</v>
      </c>
      <c r="H1012">
        <v>12414</v>
      </c>
      <c r="I1012">
        <v>13</v>
      </c>
      <c r="J1012">
        <v>31</v>
      </c>
      <c r="K1012">
        <v>7</v>
      </c>
      <c r="L1012">
        <v>7</v>
      </c>
      <c r="M1012">
        <v>0</v>
      </c>
      <c r="N1012">
        <v>0</v>
      </c>
      <c r="P1012">
        <f>G1012*I1012/100</f>
        <v>1915.16</v>
      </c>
      <c r="Q1012">
        <f t="shared" si="15"/>
        <v>176784</v>
      </c>
      <c r="R1012">
        <f>K1012/J1012</f>
        <v>0.22580645161290322</v>
      </c>
      <c r="S1012">
        <v>2020</v>
      </c>
    </row>
    <row r="1013" spans="1:19" x14ac:dyDescent="0.3">
      <c r="A1013">
        <v>36</v>
      </c>
      <c r="B1013">
        <v>1174</v>
      </c>
      <c r="C1013" t="s">
        <v>14</v>
      </c>
      <c r="D1013" t="s">
        <v>15</v>
      </c>
      <c r="E1013">
        <v>99</v>
      </c>
      <c r="F1013" t="s">
        <v>16</v>
      </c>
      <c r="G1013">
        <v>9278</v>
      </c>
      <c r="H1013">
        <v>20763</v>
      </c>
      <c r="I1013">
        <v>16</v>
      </c>
      <c r="J1013">
        <v>15</v>
      </c>
      <c r="K1013">
        <v>5</v>
      </c>
      <c r="L1013">
        <v>4</v>
      </c>
      <c r="M1013">
        <v>0</v>
      </c>
      <c r="N1013">
        <v>1</v>
      </c>
      <c r="P1013">
        <f>G1013*I1013/100</f>
        <v>1484.48</v>
      </c>
      <c r="Q1013">
        <f t="shared" si="15"/>
        <v>111336</v>
      </c>
      <c r="R1013">
        <f>K1013/J1013</f>
        <v>0.33333333333333331</v>
      </c>
      <c r="S1013">
        <v>2020</v>
      </c>
    </row>
    <row r="1014" spans="1:19" x14ac:dyDescent="0.3">
      <c r="A1014">
        <v>31</v>
      </c>
      <c r="B1014">
        <v>667</v>
      </c>
      <c r="C1014" t="s">
        <v>14</v>
      </c>
      <c r="D1014" t="s">
        <v>15</v>
      </c>
      <c r="E1014">
        <v>50</v>
      </c>
      <c r="F1014" t="s">
        <v>24</v>
      </c>
      <c r="G1014">
        <v>1359</v>
      </c>
      <c r="H1014">
        <v>16154</v>
      </c>
      <c r="I1014">
        <v>12</v>
      </c>
      <c r="J1014">
        <v>1</v>
      </c>
      <c r="K1014">
        <v>1</v>
      </c>
      <c r="L1014">
        <v>0</v>
      </c>
      <c r="M1014">
        <v>0</v>
      </c>
      <c r="N1014">
        <v>0</v>
      </c>
      <c r="P1014">
        <f>G1014*I1014/100</f>
        <v>163.08000000000001</v>
      </c>
      <c r="Q1014">
        <f t="shared" si="15"/>
        <v>16308</v>
      </c>
      <c r="R1014">
        <f>K1014/J1014</f>
        <v>1</v>
      </c>
      <c r="S1014">
        <v>2020</v>
      </c>
    </row>
    <row r="1015" spans="1:19" x14ac:dyDescent="0.3">
      <c r="A1015">
        <v>30</v>
      </c>
      <c r="B1015">
        <v>855</v>
      </c>
      <c r="C1015" t="s">
        <v>14</v>
      </c>
      <c r="D1015" t="s">
        <v>15</v>
      </c>
      <c r="E1015">
        <v>73</v>
      </c>
      <c r="F1015" t="s">
        <v>16</v>
      </c>
      <c r="G1015">
        <v>4779</v>
      </c>
      <c r="H1015">
        <v>12761</v>
      </c>
      <c r="I1015">
        <v>14</v>
      </c>
      <c r="J1015">
        <v>8</v>
      </c>
      <c r="K1015">
        <v>3</v>
      </c>
      <c r="L1015">
        <v>2</v>
      </c>
      <c r="M1015">
        <v>0</v>
      </c>
      <c r="N1015">
        <v>2</v>
      </c>
      <c r="P1015">
        <f>G1015*I1015/100</f>
        <v>669.06</v>
      </c>
      <c r="Q1015">
        <f t="shared" si="15"/>
        <v>57348</v>
      </c>
      <c r="R1015">
        <f>K1015/J1015</f>
        <v>0.375</v>
      </c>
      <c r="S1015">
        <v>2020</v>
      </c>
    </row>
    <row r="1016" spans="1:19" x14ac:dyDescent="0.3">
      <c r="A1016">
        <v>31</v>
      </c>
      <c r="B1016">
        <v>182</v>
      </c>
      <c r="C1016" t="s">
        <v>17</v>
      </c>
      <c r="D1016" t="s">
        <v>15</v>
      </c>
      <c r="E1016">
        <v>93</v>
      </c>
      <c r="F1016" t="s">
        <v>25</v>
      </c>
      <c r="G1016">
        <v>16422</v>
      </c>
      <c r="H1016">
        <v>8847</v>
      </c>
      <c r="I1016">
        <v>11</v>
      </c>
      <c r="J1016">
        <v>9</v>
      </c>
      <c r="K1016">
        <v>3</v>
      </c>
      <c r="L1016">
        <v>2</v>
      </c>
      <c r="M1016">
        <v>1</v>
      </c>
      <c r="N1016">
        <v>0</v>
      </c>
      <c r="P1016">
        <f>G1016*I1016/100</f>
        <v>1806.42</v>
      </c>
      <c r="Q1016">
        <f t="shared" si="15"/>
        <v>197064</v>
      </c>
      <c r="R1016">
        <f>K1016/J1016</f>
        <v>0.33333333333333331</v>
      </c>
      <c r="S1016">
        <v>2020</v>
      </c>
    </row>
    <row r="1017" spans="1:19" x14ac:dyDescent="0.3">
      <c r="A1017">
        <v>34</v>
      </c>
      <c r="B1017">
        <v>560</v>
      </c>
      <c r="C1017" t="s">
        <v>17</v>
      </c>
      <c r="D1017" t="s">
        <v>18</v>
      </c>
      <c r="E1017">
        <v>91</v>
      </c>
      <c r="F1017" t="s">
        <v>19</v>
      </c>
      <c r="G1017">
        <v>2996</v>
      </c>
      <c r="H1017">
        <v>20284</v>
      </c>
      <c r="I1017">
        <v>14</v>
      </c>
      <c r="J1017">
        <v>10</v>
      </c>
      <c r="K1017">
        <v>4</v>
      </c>
      <c r="L1017">
        <v>3</v>
      </c>
      <c r="M1017">
        <v>1</v>
      </c>
      <c r="N1017">
        <v>3</v>
      </c>
      <c r="P1017">
        <f>G1017*I1017/100</f>
        <v>419.44</v>
      </c>
      <c r="Q1017">
        <f t="shared" si="15"/>
        <v>35952</v>
      </c>
      <c r="R1017">
        <f>K1017/J1017</f>
        <v>0.4</v>
      </c>
      <c r="S1017">
        <v>2020</v>
      </c>
    </row>
    <row r="1018" spans="1:19" x14ac:dyDescent="0.3">
      <c r="A1018">
        <v>31</v>
      </c>
      <c r="B1018">
        <v>202</v>
      </c>
      <c r="C1018" t="s">
        <v>17</v>
      </c>
      <c r="D1018" t="s">
        <v>15</v>
      </c>
      <c r="E1018">
        <v>34</v>
      </c>
      <c r="F1018" t="s">
        <v>19</v>
      </c>
      <c r="G1018">
        <v>1261</v>
      </c>
      <c r="H1018">
        <v>22262</v>
      </c>
      <c r="I1018">
        <v>12</v>
      </c>
      <c r="J1018">
        <v>1</v>
      </c>
      <c r="K1018">
        <v>1</v>
      </c>
      <c r="L1018">
        <v>0</v>
      </c>
      <c r="M1018">
        <v>0</v>
      </c>
      <c r="N1018">
        <v>0</v>
      </c>
      <c r="P1018">
        <f>G1018*I1018/100</f>
        <v>151.32</v>
      </c>
      <c r="Q1018">
        <f t="shared" si="15"/>
        <v>15132</v>
      </c>
      <c r="R1018">
        <f>K1018/J1018</f>
        <v>1</v>
      </c>
      <c r="S1018">
        <v>2020</v>
      </c>
    </row>
    <row r="1019" spans="1:19" x14ac:dyDescent="0.3">
      <c r="A1019">
        <v>27</v>
      </c>
      <c r="B1019">
        <v>1377</v>
      </c>
      <c r="C1019" t="s">
        <v>17</v>
      </c>
      <c r="D1019" t="s">
        <v>18</v>
      </c>
      <c r="E1019">
        <v>91</v>
      </c>
      <c r="F1019" t="s">
        <v>20</v>
      </c>
      <c r="G1019">
        <v>2099</v>
      </c>
      <c r="H1019">
        <v>7679</v>
      </c>
      <c r="I1019">
        <v>14</v>
      </c>
      <c r="J1019">
        <v>6</v>
      </c>
      <c r="K1019">
        <v>5</v>
      </c>
      <c r="L1019">
        <v>0</v>
      </c>
      <c r="M1019">
        <v>1</v>
      </c>
      <c r="N1019">
        <v>4</v>
      </c>
      <c r="P1019">
        <f>G1019*I1019/100</f>
        <v>293.86</v>
      </c>
      <c r="Q1019">
        <f t="shared" si="15"/>
        <v>25188</v>
      </c>
      <c r="R1019">
        <f>K1019/J1019</f>
        <v>0.83333333333333337</v>
      </c>
      <c r="S1019">
        <v>2020</v>
      </c>
    </row>
    <row r="1020" spans="1:19" x14ac:dyDescent="0.3">
      <c r="A1020">
        <v>36</v>
      </c>
      <c r="B1020">
        <v>172</v>
      </c>
      <c r="C1020" t="s">
        <v>17</v>
      </c>
      <c r="D1020" t="s">
        <v>18</v>
      </c>
      <c r="E1020">
        <v>37</v>
      </c>
      <c r="F1020" t="s">
        <v>20</v>
      </c>
      <c r="G1020">
        <v>5810</v>
      </c>
      <c r="H1020">
        <v>22604</v>
      </c>
      <c r="I1020">
        <v>16</v>
      </c>
      <c r="J1020">
        <v>10</v>
      </c>
      <c r="K1020">
        <v>10</v>
      </c>
      <c r="L1020">
        <v>4</v>
      </c>
      <c r="M1020">
        <v>1</v>
      </c>
      <c r="N1020">
        <v>8</v>
      </c>
      <c r="P1020">
        <f>G1020*I1020/100</f>
        <v>929.6</v>
      </c>
      <c r="Q1020">
        <f t="shared" si="15"/>
        <v>69720</v>
      </c>
      <c r="R1020">
        <f>K1020/J1020</f>
        <v>1</v>
      </c>
      <c r="S1020">
        <v>2020</v>
      </c>
    </row>
    <row r="1021" spans="1:19" x14ac:dyDescent="0.3">
      <c r="A1021">
        <v>36</v>
      </c>
      <c r="B1021">
        <v>329</v>
      </c>
      <c r="C1021" t="s">
        <v>14</v>
      </c>
      <c r="D1021" t="s">
        <v>15</v>
      </c>
      <c r="E1021">
        <v>98</v>
      </c>
      <c r="F1021" t="s">
        <v>16</v>
      </c>
      <c r="G1021">
        <v>5647</v>
      </c>
      <c r="H1021">
        <v>13494</v>
      </c>
      <c r="I1021">
        <v>13</v>
      </c>
      <c r="J1021">
        <v>11</v>
      </c>
      <c r="K1021">
        <v>3</v>
      </c>
      <c r="L1021">
        <v>2</v>
      </c>
      <c r="M1021">
        <v>0</v>
      </c>
      <c r="N1021">
        <v>2</v>
      </c>
      <c r="P1021">
        <f>G1021*I1021/100</f>
        <v>734.11</v>
      </c>
      <c r="Q1021">
        <f t="shared" si="15"/>
        <v>67764</v>
      </c>
      <c r="R1021">
        <f>K1021/J1021</f>
        <v>0.27272727272727271</v>
      </c>
      <c r="S1021">
        <v>2020</v>
      </c>
    </row>
    <row r="1022" spans="1:19" x14ac:dyDescent="0.3">
      <c r="A1022">
        <v>47</v>
      </c>
      <c r="B1022">
        <v>465</v>
      </c>
      <c r="C1022" t="s">
        <v>17</v>
      </c>
      <c r="D1022" t="s">
        <v>18</v>
      </c>
      <c r="E1022">
        <v>74</v>
      </c>
      <c r="F1022" t="s">
        <v>19</v>
      </c>
      <c r="G1022">
        <v>3420</v>
      </c>
      <c r="H1022">
        <v>10205</v>
      </c>
      <c r="I1022">
        <v>12</v>
      </c>
      <c r="J1022">
        <v>17</v>
      </c>
      <c r="K1022">
        <v>6</v>
      </c>
      <c r="L1022">
        <v>5</v>
      </c>
      <c r="M1022">
        <v>1</v>
      </c>
      <c r="N1022">
        <v>2</v>
      </c>
      <c r="P1022">
        <f>G1022*I1022/100</f>
        <v>410.4</v>
      </c>
      <c r="Q1022">
        <f t="shared" si="15"/>
        <v>41040</v>
      </c>
      <c r="R1022">
        <f>K1022/J1022</f>
        <v>0.35294117647058826</v>
      </c>
      <c r="S1022">
        <v>2020</v>
      </c>
    </row>
    <row r="1023" spans="1:19" x14ac:dyDescent="0.3">
      <c r="A1023">
        <v>25</v>
      </c>
      <c r="B1023">
        <v>383</v>
      </c>
      <c r="C1023" t="s">
        <v>14</v>
      </c>
      <c r="D1023" t="s">
        <v>18</v>
      </c>
      <c r="E1023">
        <v>68</v>
      </c>
      <c r="F1023" t="s">
        <v>24</v>
      </c>
      <c r="G1023">
        <v>4400</v>
      </c>
      <c r="H1023">
        <v>15182</v>
      </c>
      <c r="I1023">
        <v>12</v>
      </c>
      <c r="J1023">
        <v>6</v>
      </c>
      <c r="K1023">
        <v>3</v>
      </c>
      <c r="L1023">
        <v>2</v>
      </c>
      <c r="M1023">
        <v>2</v>
      </c>
      <c r="N1023">
        <v>2</v>
      </c>
      <c r="P1023">
        <f>G1023*I1023/100</f>
        <v>528</v>
      </c>
      <c r="Q1023">
        <f t="shared" si="15"/>
        <v>52800</v>
      </c>
      <c r="R1023">
        <f>K1023/J1023</f>
        <v>0.5</v>
      </c>
      <c r="S1023">
        <v>2020</v>
      </c>
    </row>
    <row r="1024" spans="1:19" x14ac:dyDescent="0.3">
      <c r="A1024">
        <v>37</v>
      </c>
      <c r="B1024">
        <v>1413</v>
      </c>
      <c r="C1024" t="s">
        <v>17</v>
      </c>
      <c r="D1024" t="s">
        <v>18</v>
      </c>
      <c r="E1024">
        <v>84</v>
      </c>
      <c r="F1024" t="s">
        <v>20</v>
      </c>
      <c r="G1024">
        <v>3500</v>
      </c>
      <c r="H1024">
        <v>25470</v>
      </c>
      <c r="I1024">
        <v>14</v>
      </c>
      <c r="J1024">
        <v>7</v>
      </c>
      <c r="K1024">
        <v>6</v>
      </c>
      <c r="L1024">
        <v>5</v>
      </c>
      <c r="M1024">
        <v>1</v>
      </c>
      <c r="N1024">
        <v>3</v>
      </c>
      <c r="P1024">
        <f>G1024*I1024/100</f>
        <v>490</v>
      </c>
      <c r="Q1024">
        <f t="shared" si="15"/>
        <v>42000</v>
      </c>
      <c r="R1024">
        <f>K1024/J1024</f>
        <v>0.8571428571428571</v>
      </c>
      <c r="S1024">
        <v>2020</v>
      </c>
    </row>
    <row r="1025" spans="1:19" x14ac:dyDescent="0.3">
      <c r="A1025">
        <v>56</v>
      </c>
      <c r="B1025">
        <v>1255</v>
      </c>
      <c r="C1025" t="s">
        <v>17</v>
      </c>
      <c r="D1025" t="s">
        <v>15</v>
      </c>
      <c r="E1025">
        <v>90</v>
      </c>
      <c r="F1025" t="s">
        <v>19</v>
      </c>
      <c r="G1025">
        <v>2066</v>
      </c>
      <c r="H1025">
        <v>10494</v>
      </c>
      <c r="I1025">
        <v>22</v>
      </c>
      <c r="J1025">
        <v>5</v>
      </c>
      <c r="K1025">
        <v>3</v>
      </c>
      <c r="L1025">
        <v>2</v>
      </c>
      <c r="M1025">
        <v>1</v>
      </c>
      <c r="N1025">
        <v>0</v>
      </c>
      <c r="P1025">
        <f>G1025*I1025/100</f>
        <v>454.52</v>
      </c>
      <c r="Q1025">
        <f t="shared" si="15"/>
        <v>24792</v>
      </c>
      <c r="R1025">
        <f>K1025/J1025</f>
        <v>0.6</v>
      </c>
      <c r="S1025">
        <v>2020</v>
      </c>
    </row>
    <row r="1026" spans="1:19" x14ac:dyDescent="0.3">
      <c r="A1026">
        <v>47</v>
      </c>
      <c r="B1026">
        <v>359</v>
      </c>
      <c r="C1026" t="s">
        <v>17</v>
      </c>
      <c r="D1026" t="s">
        <v>15</v>
      </c>
      <c r="E1026">
        <v>82</v>
      </c>
      <c r="F1026" t="s">
        <v>25</v>
      </c>
      <c r="G1026">
        <v>17169</v>
      </c>
      <c r="H1026">
        <v>26703</v>
      </c>
      <c r="I1026">
        <v>19</v>
      </c>
      <c r="J1026">
        <v>26</v>
      </c>
      <c r="K1026">
        <v>20</v>
      </c>
      <c r="L1026">
        <v>17</v>
      </c>
      <c r="M1026">
        <v>5</v>
      </c>
      <c r="N1026">
        <v>6</v>
      </c>
      <c r="P1026">
        <f>G1026*I1026/100</f>
        <v>3262.11</v>
      </c>
      <c r="Q1026">
        <f t="shared" si="15"/>
        <v>206028</v>
      </c>
      <c r="R1026">
        <f>K1026/J1026</f>
        <v>0.76923076923076927</v>
      </c>
      <c r="S1026">
        <v>2020</v>
      </c>
    </row>
    <row r="1027" spans="1:19" x14ac:dyDescent="0.3">
      <c r="A1027">
        <v>24</v>
      </c>
      <c r="B1027">
        <v>1476</v>
      </c>
      <c r="C1027" t="s">
        <v>14</v>
      </c>
      <c r="D1027" t="s">
        <v>15</v>
      </c>
      <c r="E1027">
        <v>42</v>
      </c>
      <c r="F1027" t="s">
        <v>16</v>
      </c>
      <c r="G1027">
        <v>4162</v>
      </c>
      <c r="H1027">
        <v>15211</v>
      </c>
      <c r="I1027">
        <v>12</v>
      </c>
      <c r="J1027">
        <v>5</v>
      </c>
      <c r="K1027">
        <v>5</v>
      </c>
      <c r="L1027">
        <v>4</v>
      </c>
      <c r="M1027">
        <v>0</v>
      </c>
      <c r="N1027">
        <v>3</v>
      </c>
      <c r="P1027">
        <f>G1027*I1027/100</f>
        <v>499.44</v>
      </c>
      <c r="Q1027">
        <f t="shared" ref="Q1027:Q1090" si="16">G1027*12</f>
        <v>49944</v>
      </c>
      <c r="R1027">
        <f>K1027/J1027</f>
        <v>1</v>
      </c>
      <c r="S1027">
        <v>2020</v>
      </c>
    </row>
    <row r="1028" spans="1:19" x14ac:dyDescent="0.3">
      <c r="A1028">
        <v>32</v>
      </c>
      <c r="B1028">
        <v>601</v>
      </c>
      <c r="C1028" t="s">
        <v>14</v>
      </c>
      <c r="D1028" t="s">
        <v>18</v>
      </c>
      <c r="E1028">
        <v>97</v>
      </c>
      <c r="F1028" t="s">
        <v>16</v>
      </c>
      <c r="G1028">
        <v>9204</v>
      </c>
      <c r="H1028">
        <v>23343</v>
      </c>
      <c r="I1028">
        <v>12</v>
      </c>
      <c r="J1028">
        <v>7</v>
      </c>
      <c r="K1028">
        <v>4</v>
      </c>
      <c r="L1028">
        <v>3</v>
      </c>
      <c r="M1028">
        <v>0</v>
      </c>
      <c r="N1028">
        <v>3</v>
      </c>
      <c r="P1028">
        <f>G1028*I1028/100</f>
        <v>1104.48</v>
      </c>
      <c r="Q1028">
        <f t="shared" si="16"/>
        <v>110448</v>
      </c>
      <c r="R1028">
        <f>K1028/J1028</f>
        <v>0.5714285714285714</v>
      </c>
      <c r="S1028">
        <v>2020</v>
      </c>
    </row>
    <row r="1029" spans="1:19" x14ac:dyDescent="0.3">
      <c r="A1029">
        <v>34</v>
      </c>
      <c r="B1029">
        <v>401</v>
      </c>
      <c r="C1029" t="s">
        <v>17</v>
      </c>
      <c r="D1029" t="s">
        <v>15</v>
      </c>
      <c r="E1029">
        <v>86</v>
      </c>
      <c r="F1029" t="s">
        <v>20</v>
      </c>
      <c r="G1029">
        <v>3294</v>
      </c>
      <c r="H1029">
        <v>3708</v>
      </c>
      <c r="I1029">
        <v>17</v>
      </c>
      <c r="J1029">
        <v>7</v>
      </c>
      <c r="K1029">
        <v>5</v>
      </c>
      <c r="L1029">
        <v>4</v>
      </c>
      <c r="M1029">
        <v>0</v>
      </c>
      <c r="N1029">
        <v>2</v>
      </c>
      <c r="P1029">
        <f>G1029*I1029/100</f>
        <v>559.98</v>
      </c>
      <c r="Q1029">
        <f t="shared" si="16"/>
        <v>39528</v>
      </c>
      <c r="R1029">
        <f>K1029/J1029</f>
        <v>0.7142857142857143</v>
      </c>
      <c r="S1029">
        <v>2020</v>
      </c>
    </row>
    <row r="1030" spans="1:19" x14ac:dyDescent="0.3">
      <c r="A1030">
        <v>41</v>
      </c>
      <c r="B1030">
        <v>1283</v>
      </c>
      <c r="C1030" t="s">
        <v>17</v>
      </c>
      <c r="D1030" t="s">
        <v>18</v>
      </c>
      <c r="E1030">
        <v>90</v>
      </c>
      <c r="F1030" t="s">
        <v>19</v>
      </c>
      <c r="G1030">
        <v>2127</v>
      </c>
      <c r="H1030">
        <v>5561</v>
      </c>
      <c r="I1030">
        <v>12</v>
      </c>
      <c r="J1030">
        <v>7</v>
      </c>
      <c r="K1030">
        <v>4</v>
      </c>
      <c r="L1030">
        <v>2</v>
      </c>
      <c r="M1030">
        <v>0</v>
      </c>
      <c r="N1030">
        <v>3</v>
      </c>
      <c r="P1030">
        <f>G1030*I1030/100</f>
        <v>255.24</v>
      </c>
      <c r="Q1030">
        <f t="shared" si="16"/>
        <v>25524</v>
      </c>
      <c r="R1030">
        <f>K1030/J1030</f>
        <v>0.5714285714285714</v>
      </c>
      <c r="S1030">
        <v>2020</v>
      </c>
    </row>
    <row r="1031" spans="1:19" x14ac:dyDescent="0.3">
      <c r="A1031">
        <v>40</v>
      </c>
      <c r="B1031">
        <v>663</v>
      </c>
      <c r="C1031" t="s">
        <v>17</v>
      </c>
      <c r="D1031" t="s">
        <v>18</v>
      </c>
      <c r="E1031">
        <v>81</v>
      </c>
      <c r="F1031" t="s">
        <v>20</v>
      </c>
      <c r="G1031">
        <v>3975</v>
      </c>
      <c r="H1031">
        <v>23099</v>
      </c>
      <c r="I1031">
        <v>11</v>
      </c>
      <c r="J1031">
        <v>11</v>
      </c>
      <c r="K1031">
        <v>8</v>
      </c>
      <c r="L1031">
        <v>7</v>
      </c>
      <c r="M1031">
        <v>0</v>
      </c>
      <c r="N1031">
        <v>7</v>
      </c>
      <c r="P1031">
        <f>G1031*I1031/100</f>
        <v>437.25</v>
      </c>
      <c r="Q1031">
        <f t="shared" si="16"/>
        <v>47700</v>
      </c>
      <c r="R1031">
        <f>K1031/J1031</f>
        <v>0.72727272727272729</v>
      </c>
      <c r="S1031">
        <v>2020</v>
      </c>
    </row>
    <row r="1032" spans="1:19" x14ac:dyDescent="0.3">
      <c r="A1032">
        <v>31</v>
      </c>
      <c r="B1032">
        <v>326</v>
      </c>
      <c r="C1032" t="s">
        <v>14</v>
      </c>
      <c r="D1032" t="s">
        <v>18</v>
      </c>
      <c r="E1032">
        <v>31</v>
      </c>
      <c r="F1032" t="s">
        <v>16</v>
      </c>
      <c r="G1032">
        <v>10793</v>
      </c>
      <c r="H1032">
        <v>8386</v>
      </c>
      <c r="I1032">
        <v>18</v>
      </c>
      <c r="J1032">
        <v>13</v>
      </c>
      <c r="K1032">
        <v>13</v>
      </c>
      <c r="L1032">
        <v>7</v>
      </c>
      <c r="M1032">
        <v>9</v>
      </c>
      <c r="N1032">
        <v>9</v>
      </c>
      <c r="P1032">
        <f>G1032*I1032/100</f>
        <v>1942.74</v>
      </c>
      <c r="Q1032">
        <f t="shared" si="16"/>
        <v>129516</v>
      </c>
      <c r="R1032">
        <f>K1032/J1032</f>
        <v>1</v>
      </c>
      <c r="S1032">
        <v>2020</v>
      </c>
    </row>
    <row r="1033" spans="1:19" x14ac:dyDescent="0.3">
      <c r="A1033">
        <v>46</v>
      </c>
      <c r="B1033">
        <v>377</v>
      </c>
      <c r="C1033" t="s">
        <v>14</v>
      </c>
      <c r="D1033" t="s">
        <v>18</v>
      </c>
      <c r="E1033">
        <v>52</v>
      </c>
      <c r="F1033" t="s">
        <v>16</v>
      </c>
      <c r="G1033">
        <v>10096</v>
      </c>
      <c r="H1033">
        <v>15986</v>
      </c>
      <c r="I1033">
        <v>11</v>
      </c>
      <c r="J1033">
        <v>28</v>
      </c>
      <c r="K1033">
        <v>7</v>
      </c>
      <c r="L1033">
        <v>7</v>
      </c>
      <c r="M1033">
        <v>4</v>
      </c>
      <c r="N1033">
        <v>3</v>
      </c>
      <c r="P1033">
        <f>G1033*I1033/100</f>
        <v>1110.56</v>
      </c>
      <c r="Q1033">
        <f t="shared" si="16"/>
        <v>121152</v>
      </c>
      <c r="R1033">
        <f>K1033/J1033</f>
        <v>0.25</v>
      </c>
      <c r="S1033">
        <v>2020</v>
      </c>
    </row>
    <row r="1034" spans="1:19" x14ac:dyDescent="0.3">
      <c r="A1034">
        <v>39</v>
      </c>
      <c r="B1034">
        <v>592</v>
      </c>
      <c r="C1034" t="s">
        <v>17</v>
      </c>
      <c r="D1034" t="s">
        <v>15</v>
      </c>
      <c r="E1034">
        <v>54</v>
      </c>
      <c r="F1034" t="s">
        <v>20</v>
      </c>
      <c r="G1034">
        <v>3646</v>
      </c>
      <c r="H1034">
        <v>17181</v>
      </c>
      <c r="I1034">
        <v>23</v>
      </c>
      <c r="J1034">
        <v>11</v>
      </c>
      <c r="K1034">
        <v>1</v>
      </c>
      <c r="L1034">
        <v>0</v>
      </c>
      <c r="M1034">
        <v>0</v>
      </c>
      <c r="N1034">
        <v>0</v>
      </c>
      <c r="P1034">
        <f>G1034*I1034/100</f>
        <v>838.58</v>
      </c>
      <c r="Q1034">
        <f t="shared" si="16"/>
        <v>43752</v>
      </c>
      <c r="R1034">
        <f>K1034/J1034</f>
        <v>9.0909090909090912E-2</v>
      </c>
      <c r="S1034">
        <v>2020</v>
      </c>
    </row>
    <row r="1035" spans="1:19" x14ac:dyDescent="0.3">
      <c r="A1035">
        <v>31</v>
      </c>
      <c r="B1035">
        <v>1445</v>
      </c>
      <c r="C1035" t="s">
        <v>17</v>
      </c>
      <c r="D1035" t="s">
        <v>15</v>
      </c>
      <c r="E1035">
        <v>100</v>
      </c>
      <c r="F1035" t="s">
        <v>21</v>
      </c>
      <c r="G1035">
        <v>7446</v>
      </c>
      <c r="H1035">
        <v>8931</v>
      </c>
      <c r="I1035">
        <v>11</v>
      </c>
      <c r="J1035">
        <v>10</v>
      </c>
      <c r="K1035">
        <v>10</v>
      </c>
      <c r="L1035">
        <v>8</v>
      </c>
      <c r="M1035">
        <v>4</v>
      </c>
      <c r="N1035">
        <v>7</v>
      </c>
      <c r="P1035">
        <f>G1035*I1035/100</f>
        <v>819.06</v>
      </c>
      <c r="Q1035">
        <f t="shared" si="16"/>
        <v>89352</v>
      </c>
      <c r="R1035">
        <f>K1035/J1035</f>
        <v>1</v>
      </c>
      <c r="S1035">
        <v>2020</v>
      </c>
    </row>
    <row r="1036" spans="1:19" x14ac:dyDescent="0.3">
      <c r="A1036">
        <v>45</v>
      </c>
      <c r="B1036">
        <v>1038</v>
      </c>
      <c r="C1036" t="s">
        <v>17</v>
      </c>
      <c r="D1036" t="s">
        <v>18</v>
      </c>
      <c r="E1036">
        <v>95</v>
      </c>
      <c r="F1036" t="s">
        <v>22</v>
      </c>
      <c r="G1036">
        <v>10851</v>
      </c>
      <c r="H1036">
        <v>19863</v>
      </c>
      <c r="I1036">
        <v>18</v>
      </c>
      <c r="J1036">
        <v>24</v>
      </c>
      <c r="K1036">
        <v>7</v>
      </c>
      <c r="L1036">
        <v>7</v>
      </c>
      <c r="M1036">
        <v>0</v>
      </c>
      <c r="N1036">
        <v>7</v>
      </c>
      <c r="P1036">
        <f>G1036*I1036/100</f>
        <v>1953.18</v>
      </c>
      <c r="Q1036">
        <f t="shared" si="16"/>
        <v>130212</v>
      </c>
      <c r="R1036">
        <f>K1036/J1036</f>
        <v>0.29166666666666669</v>
      </c>
      <c r="S1036">
        <v>2020</v>
      </c>
    </row>
    <row r="1037" spans="1:19" x14ac:dyDescent="0.3">
      <c r="A1037">
        <v>31</v>
      </c>
      <c r="B1037">
        <v>1398</v>
      </c>
      <c r="C1037" t="s">
        <v>26</v>
      </c>
      <c r="D1037" t="s">
        <v>15</v>
      </c>
      <c r="E1037">
        <v>96</v>
      </c>
      <c r="F1037" t="s">
        <v>26</v>
      </c>
      <c r="G1037">
        <v>2109</v>
      </c>
      <c r="H1037">
        <v>24609</v>
      </c>
      <c r="I1037">
        <v>18</v>
      </c>
      <c r="J1037">
        <v>8</v>
      </c>
      <c r="K1037">
        <v>3</v>
      </c>
      <c r="L1037">
        <v>2</v>
      </c>
      <c r="M1037">
        <v>0</v>
      </c>
      <c r="N1037">
        <v>2</v>
      </c>
      <c r="P1037">
        <f>G1037*I1037/100</f>
        <v>379.62</v>
      </c>
      <c r="Q1037">
        <f t="shared" si="16"/>
        <v>25308</v>
      </c>
      <c r="R1037">
        <f>K1037/J1037</f>
        <v>0.375</v>
      </c>
      <c r="S1037">
        <v>2020</v>
      </c>
    </row>
    <row r="1038" spans="1:19" x14ac:dyDescent="0.3">
      <c r="A1038">
        <v>31</v>
      </c>
      <c r="B1038">
        <v>523</v>
      </c>
      <c r="C1038" t="s">
        <v>17</v>
      </c>
      <c r="D1038" t="s">
        <v>18</v>
      </c>
      <c r="E1038">
        <v>94</v>
      </c>
      <c r="F1038" t="s">
        <v>20</v>
      </c>
      <c r="G1038">
        <v>3722</v>
      </c>
      <c r="H1038">
        <v>21081</v>
      </c>
      <c r="I1038">
        <v>13</v>
      </c>
      <c r="J1038">
        <v>7</v>
      </c>
      <c r="K1038">
        <v>2</v>
      </c>
      <c r="L1038">
        <v>2</v>
      </c>
      <c r="M1038">
        <v>2</v>
      </c>
      <c r="N1038">
        <v>2</v>
      </c>
      <c r="P1038">
        <f>G1038*I1038/100</f>
        <v>483.86</v>
      </c>
      <c r="Q1038">
        <f t="shared" si="16"/>
        <v>44664</v>
      </c>
      <c r="R1038">
        <f>K1038/J1038</f>
        <v>0.2857142857142857</v>
      </c>
      <c r="S1038">
        <v>2020</v>
      </c>
    </row>
    <row r="1039" spans="1:19" x14ac:dyDescent="0.3">
      <c r="A1039">
        <v>45</v>
      </c>
      <c r="B1039">
        <v>1448</v>
      </c>
      <c r="C1039" t="s">
        <v>17</v>
      </c>
      <c r="D1039" t="s">
        <v>18</v>
      </c>
      <c r="E1039">
        <v>55</v>
      </c>
      <c r="F1039" t="s">
        <v>21</v>
      </c>
      <c r="G1039">
        <v>9380</v>
      </c>
      <c r="H1039">
        <v>14720</v>
      </c>
      <c r="I1039">
        <v>18</v>
      </c>
      <c r="J1039">
        <v>10</v>
      </c>
      <c r="K1039">
        <v>3</v>
      </c>
      <c r="L1039">
        <v>1</v>
      </c>
      <c r="M1039">
        <v>1</v>
      </c>
      <c r="N1039">
        <v>2</v>
      </c>
      <c r="P1039">
        <f>G1039*I1039/100</f>
        <v>1688.4</v>
      </c>
      <c r="Q1039">
        <f t="shared" si="16"/>
        <v>112560</v>
      </c>
      <c r="R1039">
        <f>K1039/J1039</f>
        <v>0.3</v>
      </c>
      <c r="S1039">
        <v>2020</v>
      </c>
    </row>
    <row r="1040" spans="1:19" x14ac:dyDescent="0.3">
      <c r="A1040">
        <v>48</v>
      </c>
      <c r="B1040">
        <v>1221</v>
      </c>
      <c r="C1040" t="s">
        <v>14</v>
      </c>
      <c r="D1040" t="s">
        <v>18</v>
      </c>
      <c r="E1040">
        <v>96</v>
      </c>
      <c r="F1040" t="s">
        <v>16</v>
      </c>
      <c r="G1040">
        <v>5486</v>
      </c>
      <c r="H1040">
        <v>24795</v>
      </c>
      <c r="I1040">
        <v>11</v>
      </c>
      <c r="J1040">
        <v>15</v>
      </c>
      <c r="K1040">
        <v>2</v>
      </c>
      <c r="L1040">
        <v>2</v>
      </c>
      <c r="M1040">
        <v>2</v>
      </c>
      <c r="N1040">
        <v>2</v>
      </c>
      <c r="P1040">
        <f>G1040*I1040/100</f>
        <v>603.46</v>
      </c>
      <c r="Q1040">
        <f t="shared" si="16"/>
        <v>65832</v>
      </c>
      <c r="R1040">
        <f>K1040/J1040</f>
        <v>0.13333333333333333</v>
      </c>
      <c r="S1040">
        <v>2020</v>
      </c>
    </row>
    <row r="1041" spans="1:19" x14ac:dyDescent="0.3">
      <c r="A1041">
        <v>34</v>
      </c>
      <c r="B1041">
        <v>1107</v>
      </c>
      <c r="C1041" t="s">
        <v>26</v>
      </c>
      <c r="D1041" t="s">
        <v>15</v>
      </c>
      <c r="E1041">
        <v>52</v>
      </c>
      <c r="F1041" t="s">
        <v>26</v>
      </c>
      <c r="G1041">
        <v>2742</v>
      </c>
      <c r="H1041">
        <v>3072</v>
      </c>
      <c r="I1041">
        <v>15</v>
      </c>
      <c r="J1041">
        <v>2</v>
      </c>
      <c r="K1041">
        <v>2</v>
      </c>
      <c r="L1041">
        <v>2</v>
      </c>
      <c r="M1041">
        <v>2</v>
      </c>
      <c r="N1041">
        <v>2</v>
      </c>
      <c r="P1041">
        <f>G1041*I1041/100</f>
        <v>411.3</v>
      </c>
      <c r="Q1041">
        <f t="shared" si="16"/>
        <v>32904</v>
      </c>
      <c r="R1041">
        <f>K1041/J1041</f>
        <v>1</v>
      </c>
      <c r="S1041">
        <v>2020</v>
      </c>
    </row>
    <row r="1042" spans="1:19" x14ac:dyDescent="0.3">
      <c r="A1042">
        <v>40</v>
      </c>
      <c r="B1042">
        <v>218</v>
      </c>
      <c r="C1042" t="s">
        <v>17</v>
      </c>
      <c r="D1042" t="s">
        <v>18</v>
      </c>
      <c r="E1042">
        <v>55</v>
      </c>
      <c r="F1042" t="s">
        <v>25</v>
      </c>
      <c r="G1042">
        <v>13757</v>
      </c>
      <c r="H1042">
        <v>25178</v>
      </c>
      <c r="I1042">
        <v>11</v>
      </c>
      <c r="J1042">
        <v>16</v>
      </c>
      <c r="K1042">
        <v>9</v>
      </c>
      <c r="L1042">
        <v>8</v>
      </c>
      <c r="M1042">
        <v>4</v>
      </c>
      <c r="N1042">
        <v>8</v>
      </c>
      <c r="P1042">
        <f>G1042*I1042/100</f>
        <v>1513.27</v>
      </c>
      <c r="Q1042">
        <f t="shared" si="16"/>
        <v>165084</v>
      </c>
      <c r="R1042">
        <f>K1042/J1042</f>
        <v>0.5625</v>
      </c>
      <c r="S1042">
        <v>2020</v>
      </c>
    </row>
    <row r="1043" spans="1:19" x14ac:dyDescent="0.3">
      <c r="A1043">
        <v>28</v>
      </c>
      <c r="B1043">
        <v>866</v>
      </c>
      <c r="C1043" t="s">
        <v>14</v>
      </c>
      <c r="D1043" t="s">
        <v>18</v>
      </c>
      <c r="E1043">
        <v>84</v>
      </c>
      <c r="F1043" t="s">
        <v>16</v>
      </c>
      <c r="G1043">
        <v>8463</v>
      </c>
      <c r="H1043">
        <v>23490</v>
      </c>
      <c r="I1043">
        <v>18</v>
      </c>
      <c r="J1043">
        <v>6</v>
      </c>
      <c r="K1043">
        <v>5</v>
      </c>
      <c r="L1043">
        <v>4</v>
      </c>
      <c r="M1043">
        <v>1</v>
      </c>
      <c r="N1043">
        <v>3</v>
      </c>
      <c r="P1043">
        <f>G1043*I1043/100</f>
        <v>1523.34</v>
      </c>
      <c r="Q1043">
        <f t="shared" si="16"/>
        <v>101556</v>
      </c>
      <c r="R1043">
        <f>K1043/J1043</f>
        <v>0.83333333333333337</v>
      </c>
      <c r="S1043">
        <v>2020</v>
      </c>
    </row>
    <row r="1044" spans="1:19" x14ac:dyDescent="0.3">
      <c r="A1044">
        <v>44</v>
      </c>
      <c r="B1044">
        <v>981</v>
      </c>
      <c r="C1044" t="s">
        <v>17</v>
      </c>
      <c r="D1044" t="s">
        <v>18</v>
      </c>
      <c r="E1044">
        <v>90</v>
      </c>
      <c r="F1044" t="s">
        <v>20</v>
      </c>
      <c r="G1044">
        <v>3162</v>
      </c>
      <c r="H1044">
        <v>7973</v>
      </c>
      <c r="I1044">
        <v>14</v>
      </c>
      <c r="J1044">
        <v>7</v>
      </c>
      <c r="K1044">
        <v>5</v>
      </c>
      <c r="L1044">
        <v>2</v>
      </c>
      <c r="M1044">
        <v>0</v>
      </c>
      <c r="N1044">
        <v>3</v>
      </c>
      <c r="P1044">
        <f>G1044*I1044/100</f>
        <v>442.68</v>
      </c>
      <c r="Q1044">
        <f t="shared" si="16"/>
        <v>37944</v>
      </c>
      <c r="R1044">
        <f>K1044/J1044</f>
        <v>0.7142857142857143</v>
      </c>
      <c r="S1044">
        <v>2020</v>
      </c>
    </row>
    <row r="1045" spans="1:19" x14ac:dyDescent="0.3">
      <c r="A1045">
        <v>53</v>
      </c>
      <c r="B1045">
        <v>447</v>
      </c>
      <c r="C1045" t="s">
        <v>17</v>
      </c>
      <c r="D1045" t="s">
        <v>18</v>
      </c>
      <c r="E1045">
        <v>39</v>
      </c>
      <c r="F1045" t="s">
        <v>25</v>
      </c>
      <c r="G1045">
        <v>16598</v>
      </c>
      <c r="H1045">
        <v>19764</v>
      </c>
      <c r="I1045">
        <v>12</v>
      </c>
      <c r="J1045">
        <v>35</v>
      </c>
      <c r="K1045">
        <v>9</v>
      </c>
      <c r="L1045">
        <v>8</v>
      </c>
      <c r="M1045">
        <v>8</v>
      </c>
      <c r="N1045">
        <v>8</v>
      </c>
      <c r="P1045">
        <f>G1045*I1045/100</f>
        <v>1991.76</v>
      </c>
      <c r="Q1045">
        <f t="shared" si="16"/>
        <v>199176</v>
      </c>
      <c r="R1045">
        <f>K1045/J1045</f>
        <v>0.25714285714285712</v>
      </c>
      <c r="S1045">
        <v>2020</v>
      </c>
    </row>
    <row r="1046" spans="1:19" x14ac:dyDescent="0.3">
      <c r="A1046">
        <v>49</v>
      </c>
      <c r="B1046">
        <v>1495</v>
      </c>
      <c r="C1046" t="s">
        <v>17</v>
      </c>
      <c r="D1046" t="s">
        <v>18</v>
      </c>
      <c r="E1046">
        <v>96</v>
      </c>
      <c r="F1046" t="s">
        <v>22</v>
      </c>
      <c r="G1046">
        <v>6651</v>
      </c>
      <c r="H1046">
        <v>21534</v>
      </c>
      <c r="I1046">
        <v>14</v>
      </c>
      <c r="J1046">
        <v>20</v>
      </c>
      <c r="K1046">
        <v>3</v>
      </c>
      <c r="L1046">
        <v>2</v>
      </c>
      <c r="M1046">
        <v>1</v>
      </c>
      <c r="N1046">
        <v>2</v>
      </c>
      <c r="P1046">
        <f>G1046*I1046/100</f>
        <v>931.14</v>
      </c>
      <c r="Q1046">
        <f t="shared" si="16"/>
        <v>79812</v>
      </c>
      <c r="R1046">
        <f>K1046/J1046</f>
        <v>0.15</v>
      </c>
      <c r="S1046">
        <v>2020</v>
      </c>
    </row>
    <row r="1047" spans="1:19" x14ac:dyDescent="0.3">
      <c r="A1047">
        <v>40</v>
      </c>
      <c r="B1047">
        <v>896</v>
      </c>
      <c r="C1047" t="s">
        <v>17</v>
      </c>
      <c r="D1047" t="s">
        <v>18</v>
      </c>
      <c r="E1047">
        <v>68</v>
      </c>
      <c r="F1047" t="s">
        <v>19</v>
      </c>
      <c r="G1047">
        <v>2345</v>
      </c>
      <c r="H1047">
        <v>8045</v>
      </c>
      <c r="I1047">
        <v>14</v>
      </c>
      <c r="J1047">
        <v>8</v>
      </c>
      <c r="K1047">
        <v>3</v>
      </c>
      <c r="L1047">
        <v>1</v>
      </c>
      <c r="M1047">
        <v>1</v>
      </c>
      <c r="N1047">
        <v>2</v>
      </c>
      <c r="P1047">
        <f>G1047*I1047/100</f>
        <v>328.3</v>
      </c>
      <c r="Q1047">
        <f t="shared" si="16"/>
        <v>28140</v>
      </c>
      <c r="R1047">
        <f>K1047/J1047</f>
        <v>0.375</v>
      </c>
      <c r="S1047">
        <v>2020</v>
      </c>
    </row>
    <row r="1048" spans="1:19" x14ac:dyDescent="0.3">
      <c r="A1048">
        <v>44</v>
      </c>
      <c r="B1048">
        <v>1467</v>
      </c>
      <c r="C1048" t="s">
        <v>17</v>
      </c>
      <c r="D1048" t="s">
        <v>18</v>
      </c>
      <c r="E1048">
        <v>49</v>
      </c>
      <c r="F1048" t="s">
        <v>19</v>
      </c>
      <c r="G1048">
        <v>3420</v>
      </c>
      <c r="H1048">
        <v>21158</v>
      </c>
      <c r="I1048">
        <v>13</v>
      </c>
      <c r="J1048">
        <v>6</v>
      </c>
      <c r="K1048">
        <v>5</v>
      </c>
      <c r="L1048">
        <v>2</v>
      </c>
      <c r="M1048">
        <v>1</v>
      </c>
      <c r="N1048">
        <v>3</v>
      </c>
      <c r="P1048">
        <f>G1048*I1048/100</f>
        <v>444.6</v>
      </c>
      <c r="Q1048">
        <f t="shared" si="16"/>
        <v>41040</v>
      </c>
      <c r="R1048">
        <f>K1048/J1048</f>
        <v>0.83333333333333337</v>
      </c>
      <c r="S1048">
        <v>2020</v>
      </c>
    </row>
    <row r="1049" spans="1:19" x14ac:dyDescent="0.3">
      <c r="A1049">
        <v>33</v>
      </c>
      <c r="B1049">
        <v>430</v>
      </c>
      <c r="C1049" t="s">
        <v>14</v>
      </c>
      <c r="D1049" t="s">
        <v>18</v>
      </c>
      <c r="E1049">
        <v>54</v>
      </c>
      <c r="F1049" t="s">
        <v>16</v>
      </c>
      <c r="G1049">
        <v>4373</v>
      </c>
      <c r="H1049">
        <v>17456</v>
      </c>
      <c r="I1049">
        <v>14</v>
      </c>
      <c r="J1049">
        <v>5</v>
      </c>
      <c r="K1049">
        <v>4</v>
      </c>
      <c r="L1049">
        <v>3</v>
      </c>
      <c r="M1049">
        <v>0</v>
      </c>
      <c r="N1049">
        <v>3</v>
      </c>
      <c r="P1049">
        <f>G1049*I1049/100</f>
        <v>612.22</v>
      </c>
      <c r="Q1049">
        <f t="shared" si="16"/>
        <v>52476</v>
      </c>
      <c r="R1049">
        <f>K1049/J1049</f>
        <v>0.8</v>
      </c>
      <c r="S1049">
        <v>2020</v>
      </c>
    </row>
    <row r="1050" spans="1:19" x14ac:dyDescent="0.3">
      <c r="A1050">
        <v>34</v>
      </c>
      <c r="B1050">
        <v>1326</v>
      </c>
      <c r="C1050" t="s">
        <v>14</v>
      </c>
      <c r="D1050" t="s">
        <v>18</v>
      </c>
      <c r="E1050">
        <v>81</v>
      </c>
      <c r="F1050" t="s">
        <v>16</v>
      </c>
      <c r="G1050">
        <v>4759</v>
      </c>
      <c r="H1050">
        <v>15891</v>
      </c>
      <c r="I1050">
        <v>18</v>
      </c>
      <c r="J1050">
        <v>15</v>
      </c>
      <c r="K1050">
        <v>13</v>
      </c>
      <c r="L1050">
        <v>9</v>
      </c>
      <c r="M1050">
        <v>3</v>
      </c>
      <c r="N1050">
        <v>12</v>
      </c>
      <c r="P1050">
        <f>G1050*I1050/100</f>
        <v>856.62</v>
      </c>
      <c r="Q1050">
        <f t="shared" si="16"/>
        <v>57108</v>
      </c>
      <c r="R1050">
        <f>K1050/J1050</f>
        <v>0.8666666666666667</v>
      </c>
      <c r="S1050">
        <v>2020</v>
      </c>
    </row>
    <row r="1051" spans="1:19" x14ac:dyDescent="0.3">
      <c r="A1051">
        <v>30</v>
      </c>
      <c r="B1051">
        <v>1358</v>
      </c>
      <c r="C1051" t="s">
        <v>14</v>
      </c>
      <c r="D1051" t="s">
        <v>18</v>
      </c>
      <c r="E1051">
        <v>96</v>
      </c>
      <c r="F1051" t="s">
        <v>16</v>
      </c>
      <c r="G1051">
        <v>5301</v>
      </c>
      <c r="H1051">
        <v>2939</v>
      </c>
      <c r="I1051">
        <v>15</v>
      </c>
      <c r="J1051">
        <v>4</v>
      </c>
      <c r="K1051">
        <v>2</v>
      </c>
      <c r="L1051">
        <v>1</v>
      </c>
      <c r="M1051">
        <v>2</v>
      </c>
      <c r="N1051">
        <v>2</v>
      </c>
      <c r="P1051">
        <f>G1051*I1051/100</f>
        <v>795.15</v>
      </c>
      <c r="Q1051">
        <f t="shared" si="16"/>
        <v>63612</v>
      </c>
      <c r="R1051">
        <f>K1051/J1051</f>
        <v>0.5</v>
      </c>
      <c r="S1051">
        <v>2020</v>
      </c>
    </row>
    <row r="1052" spans="1:19" x14ac:dyDescent="0.3">
      <c r="A1052">
        <v>42</v>
      </c>
      <c r="B1052">
        <v>748</v>
      </c>
      <c r="C1052" t="s">
        <v>17</v>
      </c>
      <c r="D1052" t="s">
        <v>15</v>
      </c>
      <c r="E1052">
        <v>74</v>
      </c>
      <c r="F1052" t="s">
        <v>20</v>
      </c>
      <c r="G1052">
        <v>3673</v>
      </c>
      <c r="H1052">
        <v>16458</v>
      </c>
      <c r="I1052">
        <v>13</v>
      </c>
      <c r="J1052">
        <v>12</v>
      </c>
      <c r="K1052">
        <v>12</v>
      </c>
      <c r="L1052">
        <v>9</v>
      </c>
      <c r="M1052">
        <v>5</v>
      </c>
      <c r="N1052">
        <v>8</v>
      </c>
      <c r="P1052">
        <f>G1052*I1052/100</f>
        <v>477.49</v>
      </c>
      <c r="Q1052">
        <f t="shared" si="16"/>
        <v>44076</v>
      </c>
      <c r="R1052">
        <f>K1052/J1052</f>
        <v>1</v>
      </c>
      <c r="S1052">
        <v>2020</v>
      </c>
    </row>
    <row r="1053" spans="1:19" x14ac:dyDescent="0.3">
      <c r="A1053">
        <v>44</v>
      </c>
      <c r="B1053">
        <v>383</v>
      </c>
      <c r="C1053" t="s">
        <v>14</v>
      </c>
      <c r="D1053" t="s">
        <v>15</v>
      </c>
      <c r="E1053">
        <v>79</v>
      </c>
      <c r="F1053" t="s">
        <v>16</v>
      </c>
      <c r="G1053">
        <v>4768</v>
      </c>
      <c r="H1053">
        <v>9282</v>
      </c>
      <c r="I1053">
        <v>12</v>
      </c>
      <c r="J1053">
        <v>11</v>
      </c>
      <c r="K1053">
        <v>1</v>
      </c>
      <c r="L1053">
        <v>0</v>
      </c>
      <c r="M1053">
        <v>0</v>
      </c>
      <c r="N1053">
        <v>0</v>
      </c>
      <c r="P1053">
        <f>G1053*I1053/100</f>
        <v>572.16</v>
      </c>
      <c r="Q1053">
        <f t="shared" si="16"/>
        <v>57216</v>
      </c>
      <c r="R1053">
        <f>K1053/J1053</f>
        <v>9.0909090909090912E-2</v>
      </c>
      <c r="S1053">
        <v>2020</v>
      </c>
    </row>
    <row r="1054" spans="1:19" x14ac:dyDescent="0.3">
      <c r="A1054">
        <v>30</v>
      </c>
      <c r="B1054">
        <v>990</v>
      </c>
      <c r="C1054" t="s">
        <v>17</v>
      </c>
      <c r="D1054" t="s">
        <v>18</v>
      </c>
      <c r="E1054">
        <v>64</v>
      </c>
      <c r="F1054" t="s">
        <v>19</v>
      </c>
      <c r="G1054">
        <v>1274</v>
      </c>
      <c r="H1054">
        <v>7152</v>
      </c>
      <c r="I1054">
        <v>13</v>
      </c>
      <c r="J1054">
        <v>1</v>
      </c>
      <c r="K1054">
        <v>1</v>
      </c>
      <c r="L1054">
        <v>0</v>
      </c>
      <c r="M1054">
        <v>0</v>
      </c>
      <c r="N1054">
        <v>0</v>
      </c>
      <c r="P1054">
        <f>G1054*I1054/100</f>
        <v>165.62</v>
      </c>
      <c r="Q1054">
        <f t="shared" si="16"/>
        <v>15288</v>
      </c>
      <c r="R1054">
        <f>K1054/J1054</f>
        <v>1</v>
      </c>
      <c r="S1054">
        <v>2020</v>
      </c>
    </row>
    <row r="1055" spans="1:19" x14ac:dyDescent="0.3">
      <c r="A1055">
        <v>57</v>
      </c>
      <c r="B1055">
        <v>405</v>
      </c>
      <c r="C1055" t="s">
        <v>17</v>
      </c>
      <c r="D1055" t="s">
        <v>18</v>
      </c>
      <c r="E1055">
        <v>93</v>
      </c>
      <c r="F1055" t="s">
        <v>19</v>
      </c>
      <c r="G1055">
        <v>4900</v>
      </c>
      <c r="H1055">
        <v>2721</v>
      </c>
      <c r="I1055">
        <v>24</v>
      </c>
      <c r="J1055">
        <v>13</v>
      </c>
      <c r="K1055">
        <v>12</v>
      </c>
      <c r="L1055">
        <v>9</v>
      </c>
      <c r="M1055">
        <v>2</v>
      </c>
      <c r="N1055">
        <v>8</v>
      </c>
      <c r="P1055">
        <f>G1055*I1055/100</f>
        <v>1176</v>
      </c>
      <c r="Q1055">
        <f t="shared" si="16"/>
        <v>58800</v>
      </c>
      <c r="R1055">
        <f>K1055/J1055</f>
        <v>0.92307692307692313</v>
      </c>
      <c r="S1055">
        <v>2020</v>
      </c>
    </row>
    <row r="1056" spans="1:19" x14ac:dyDescent="0.3">
      <c r="A1056">
        <v>49</v>
      </c>
      <c r="B1056">
        <v>1490</v>
      </c>
      <c r="C1056" t="s">
        <v>17</v>
      </c>
      <c r="D1056" t="s">
        <v>18</v>
      </c>
      <c r="E1056">
        <v>35</v>
      </c>
      <c r="F1056" t="s">
        <v>22</v>
      </c>
      <c r="G1056">
        <v>10466</v>
      </c>
      <c r="H1056">
        <v>20948</v>
      </c>
      <c r="I1056">
        <v>14</v>
      </c>
      <c r="J1056">
        <v>29</v>
      </c>
      <c r="K1056">
        <v>8</v>
      </c>
      <c r="L1056">
        <v>7</v>
      </c>
      <c r="M1056">
        <v>0</v>
      </c>
      <c r="N1056">
        <v>7</v>
      </c>
      <c r="P1056">
        <f>G1056*I1056/100</f>
        <v>1465.24</v>
      </c>
      <c r="Q1056">
        <f t="shared" si="16"/>
        <v>125592</v>
      </c>
      <c r="R1056">
        <f>K1056/J1056</f>
        <v>0.27586206896551724</v>
      </c>
      <c r="S1056">
        <v>2020</v>
      </c>
    </row>
    <row r="1057" spans="1:19" x14ac:dyDescent="0.3">
      <c r="A1057">
        <v>34</v>
      </c>
      <c r="B1057">
        <v>829</v>
      </c>
      <c r="C1057" t="s">
        <v>17</v>
      </c>
      <c r="D1057" t="s">
        <v>18</v>
      </c>
      <c r="E1057">
        <v>71</v>
      </c>
      <c r="F1057" t="s">
        <v>25</v>
      </c>
      <c r="G1057">
        <v>17007</v>
      </c>
      <c r="H1057">
        <v>11929</v>
      </c>
      <c r="I1057">
        <v>14</v>
      </c>
      <c r="J1057">
        <v>16</v>
      </c>
      <c r="K1057">
        <v>14</v>
      </c>
      <c r="L1057">
        <v>8</v>
      </c>
      <c r="M1057">
        <v>6</v>
      </c>
      <c r="N1057">
        <v>9</v>
      </c>
      <c r="P1057">
        <f>G1057*I1057/100</f>
        <v>2380.98</v>
      </c>
      <c r="Q1057">
        <f t="shared" si="16"/>
        <v>204084</v>
      </c>
      <c r="R1057">
        <f>K1057/J1057</f>
        <v>0.875</v>
      </c>
      <c r="S1057">
        <v>2020</v>
      </c>
    </row>
    <row r="1058" spans="1:19" x14ac:dyDescent="0.3">
      <c r="A1058">
        <v>28</v>
      </c>
      <c r="B1058">
        <v>1496</v>
      </c>
      <c r="C1058" t="s">
        <v>14</v>
      </c>
      <c r="D1058" t="s">
        <v>18</v>
      </c>
      <c r="E1058">
        <v>92</v>
      </c>
      <c r="F1058" t="s">
        <v>24</v>
      </c>
      <c r="G1058">
        <v>2909</v>
      </c>
      <c r="H1058">
        <v>15747</v>
      </c>
      <c r="I1058">
        <v>15</v>
      </c>
      <c r="J1058">
        <v>5</v>
      </c>
      <c r="K1058">
        <v>3</v>
      </c>
      <c r="L1058">
        <v>2</v>
      </c>
      <c r="M1058">
        <v>1</v>
      </c>
      <c r="N1058">
        <v>2</v>
      </c>
      <c r="P1058">
        <f>G1058*I1058/100</f>
        <v>436.35</v>
      </c>
      <c r="Q1058">
        <f t="shared" si="16"/>
        <v>34908</v>
      </c>
      <c r="R1058">
        <f>K1058/J1058</f>
        <v>0.6</v>
      </c>
      <c r="S1058">
        <v>2020</v>
      </c>
    </row>
    <row r="1059" spans="1:19" x14ac:dyDescent="0.3">
      <c r="A1059">
        <v>29</v>
      </c>
      <c r="B1059">
        <v>115</v>
      </c>
      <c r="C1059" t="s">
        <v>14</v>
      </c>
      <c r="D1059" t="s">
        <v>15</v>
      </c>
      <c r="E1059">
        <v>51</v>
      </c>
      <c r="F1059" t="s">
        <v>16</v>
      </c>
      <c r="G1059">
        <v>5765</v>
      </c>
      <c r="H1059">
        <v>17485</v>
      </c>
      <c r="I1059">
        <v>11</v>
      </c>
      <c r="J1059">
        <v>7</v>
      </c>
      <c r="K1059">
        <v>5</v>
      </c>
      <c r="L1059">
        <v>3</v>
      </c>
      <c r="M1059">
        <v>0</v>
      </c>
      <c r="N1059">
        <v>0</v>
      </c>
      <c r="P1059">
        <f>G1059*I1059/100</f>
        <v>634.15</v>
      </c>
      <c r="Q1059">
        <f t="shared" si="16"/>
        <v>69180</v>
      </c>
      <c r="R1059">
        <f>K1059/J1059</f>
        <v>0.7142857142857143</v>
      </c>
      <c r="S1059">
        <v>2020</v>
      </c>
    </row>
    <row r="1060" spans="1:19" x14ac:dyDescent="0.3">
      <c r="A1060">
        <v>34</v>
      </c>
      <c r="B1060">
        <v>790</v>
      </c>
      <c r="C1060" t="s">
        <v>14</v>
      </c>
      <c r="D1060" t="s">
        <v>15</v>
      </c>
      <c r="E1060">
        <v>40</v>
      </c>
      <c r="F1060" t="s">
        <v>16</v>
      </c>
      <c r="G1060">
        <v>4599</v>
      </c>
      <c r="H1060">
        <v>7815</v>
      </c>
      <c r="I1060">
        <v>23</v>
      </c>
      <c r="J1060">
        <v>16</v>
      </c>
      <c r="K1060">
        <v>15</v>
      </c>
      <c r="L1060">
        <v>9</v>
      </c>
      <c r="M1060">
        <v>10</v>
      </c>
      <c r="N1060">
        <v>10</v>
      </c>
      <c r="P1060">
        <f>G1060*I1060/100</f>
        <v>1057.77</v>
      </c>
      <c r="Q1060">
        <f t="shared" si="16"/>
        <v>55188</v>
      </c>
      <c r="R1060">
        <f>K1060/J1060</f>
        <v>0.9375</v>
      </c>
      <c r="S1060">
        <v>2020</v>
      </c>
    </row>
    <row r="1061" spans="1:19" x14ac:dyDescent="0.3">
      <c r="A1061">
        <v>35</v>
      </c>
      <c r="B1061">
        <v>660</v>
      </c>
      <c r="C1061" t="s">
        <v>14</v>
      </c>
      <c r="D1061" t="s">
        <v>18</v>
      </c>
      <c r="E1061">
        <v>76</v>
      </c>
      <c r="F1061" t="s">
        <v>24</v>
      </c>
      <c r="G1061">
        <v>2404</v>
      </c>
      <c r="H1061">
        <v>16192</v>
      </c>
      <c r="I1061">
        <v>13</v>
      </c>
      <c r="J1061">
        <v>1</v>
      </c>
      <c r="K1061">
        <v>1</v>
      </c>
      <c r="L1061">
        <v>0</v>
      </c>
      <c r="M1061">
        <v>0</v>
      </c>
      <c r="N1061">
        <v>0</v>
      </c>
      <c r="P1061">
        <f>G1061*I1061/100</f>
        <v>312.52</v>
      </c>
      <c r="Q1061">
        <f t="shared" si="16"/>
        <v>28848</v>
      </c>
      <c r="R1061">
        <f>K1061/J1061</f>
        <v>1</v>
      </c>
      <c r="S1061">
        <v>2020</v>
      </c>
    </row>
    <row r="1062" spans="1:19" x14ac:dyDescent="0.3">
      <c r="A1062">
        <v>24</v>
      </c>
      <c r="B1062">
        <v>381</v>
      </c>
      <c r="C1062" t="s">
        <v>17</v>
      </c>
      <c r="D1062" t="s">
        <v>18</v>
      </c>
      <c r="E1062">
        <v>89</v>
      </c>
      <c r="F1062" t="s">
        <v>20</v>
      </c>
      <c r="G1062">
        <v>3172</v>
      </c>
      <c r="H1062">
        <v>16998</v>
      </c>
      <c r="I1062">
        <v>11</v>
      </c>
      <c r="J1062">
        <v>4</v>
      </c>
      <c r="K1062">
        <v>0</v>
      </c>
      <c r="L1062">
        <v>0</v>
      </c>
      <c r="M1062">
        <v>0</v>
      </c>
      <c r="N1062">
        <v>0</v>
      </c>
      <c r="P1062">
        <f>G1062*I1062/100</f>
        <v>348.92</v>
      </c>
      <c r="Q1062">
        <f t="shared" si="16"/>
        <v>38064</v>
      </c>
      <c r="R1062">
        <f>K1062/J1062</f>
        <v>0</v>
      </c>
      <c r="S1062">
        <v>2020</v>
      </c>
    </row>
    <row r="1063" spans="1:19" x14ac:dyDescent="0.3">
      <c r="A1063">
        <v>24</v>
      </c>
      <c r="B1063">
        <v>830</v>
      </c>
      <c r="C1063" t="s">
        <v>14</v>
      </c>
      <c r="D1063" t="s">
        <v>15</v>
      </c>
      <c r="E1063">
        <v>78</v>
      </c>
      <c r="F1063" t="s">
        <v>24</v>
      </c>
      <c r="G1063">
        <v>2033</v>
      </c>
      <c r="H1063">
        <v>7103</v>
      </c>
      <c r="I1063">
        <v>13</v>
      </c>
      <c r="J1063">
        <v>1</v>
      </c>
      <c r="K1063">
        <v>1</v>
      </c>
      <c r="L1063">
        <v>0</v>
      </c>
      <c r="M1063">
        <v>0</v>
      </c>
      <c r="N1063">
        <v>0</v>
      </c>
      <c r="P1063">
        <f>G1063*I1063/100</f>
        <v>264.29000000000002</v>
      </c>
      <c r="Q1063">
        <f t="shared" si="16"/>
        <v>24396</v>
      </c>
      <c r="R1063">
        <f>K1063/J1063</f>
        <v>1</v>
      </c>
      <c r="S1063">
        <v>2020</v>
      </c>
    </row>
    <row r="1064" spans="1:19" x14ac:dyDescent="0.3">
      <c r="A1064">
        <v>44</v>
      </c>
      <c r="B1064">
        <v>1193</v>
      </c>
      <c r="C1064" t="s">
        <v>17</v>
      </c>
      <c r="D1064" t="s">
        <v>18</v>
      </c>
      <c r="E1064">
        <v>86</v>
      </c>
      <c r="F1064" t="s">
        <v>21</v>
      </c>
      <c r="G1064">
        <v>10209</v>
      </c>
      <c r="H1064">
        <v>19719</v>
      </c>
      <c r="I1064">
        <v>18</v>
      </c>
      <c r="J1064">
        <v>16</v>
      </c>
      <c r="K1064">
        <v>2</v>
      </c>
      <c r="L1064">
        <v>2</v>
      </c>
      <c r="M1064">
        <v>2</v>
      </c>
      <c r="N1064">
        <v>2</v>
      </c>
      <c r="P1064">
        <f>G1064*I1064/100</f>
        <v>1837.62</v>
      </c>
      <c r="Q1064">
        <f t="shared" si="16"/>
        <v>122508</v>
      </c>
      <c r="R1064">
        <f>K1064/J1064</f>
        <v>0.125</v>
      </c>
      <c r="S1064">
        <v>2020</v>
      </c>
    </row>
    <row r="1065" spans="1:19" x14ac:dyDescent="0.3">
      <c r="A1065">
        <v>29</v>
      </c>
      <c r="B1065">
        <v>1246</v>
      </c>
      <c r="C1065" t="s">
        <v>14</v>
      </c>
      <c r="D1065" t="s">
        <v>18</v>
      </c>
      <c r="E1065">
        <v>77</v>
      </c>
      <c r="F1065" t="s">
        <v>16</v>
      </c>
      <c r="G1065">
        <v>8620</v>
      </c>
      <c r="H1065">
        <v>23757</v>
      </c>
      <c r="I1065">
        <v>14</v>
      </c>
      <c r="J1065">
        <v>10</v>
      </c>
      <c r="K1065">
        <v>10</v>
      </c>
      <c r="L1065">
        <v>7</v>
      </c>
      <c r="M1065">
        <v>0</v>
      </c>
      <c r="N1065">
        <v>4</v>
      </c>
      <c r="P1065">
        <f>G1065*I1065/100</f>
        <v>1206.8</v>
      </c>
      <c r="Q1065">
        <f t="shared" si="16"/>
        <v>103440</v>
      </c>
      <c r="R1065">
        <f>K1065/J1065</f>
        <v>1</v>
      </c>
      <c r="S1065">
        <v>2020</v>
      </c>
    </row>
    <row r="1066" spans="1:19" x14ac:dyDescent="0.3">
      <c r="A1066">
        <v>30</v>
      </c>
      <c r="B1066">
        <v>330</v>
      </c>
      <c r="C1066" t="s">
        <v>26</v>
      </c>
      <c r="D1066" t="s">
        <v>18</v>
      </c>
      <c r="E1066">
        <v>46</v>
      </c>
      <c r="F1066" t="s">
        <v>26</v>
      </c>
      <c r="G1066">
        <v>2064</v>
      </c>
      <c r="H1066">
        <v>15428</v>
      </c>
      <c r="I1066">
        <v>21</v>
      </c>
      <c r="J1066">
        <v>6</v>
      </c>
      <c r="K1066">
        <v>5</v>
      </c>
      <c r="L1066">
        <v>3</v>
      </c>
      <c r="M1066">
        <v>1</v>
      </c>
      <c r="N1066">
        <v>3</v>
      </c>
      <c r="P1066">
        <f>G1066*I1066/100</f>
        <v>433.44</v>
      </c>
      <c r="Q1066">
        <f t="shared" si="16"/>
        <v>24768</v>
      </c>
      <c r="R1066">
        <f>K1066/J1066</f>
        <v>0.83333333333333337</v>
      </c>
      <c r="S1066">
        <v>2020</v>
      </c>
    </row>
    <row r="1067" spans="1:19" x14ac:dyDescent="0.3">
      <c r="A1067">
        <v>55</v>
      </c>
      <c r="B1067">
        <v>1229</v>
      </c>
      <c r="C1067" t="s">
        <v>17</v>
      </c>
      <c r="D1067" t="s">
        <v>18</v>
      </c>
      <c r="E1067">
        <v>30</v>
      </c>
      <c r="F1067" t="s">
        <v>22</v>
      </c>
      <c r="G1067">
        <v>4035</v>
      </c>
      <c r="H1067">
        <v>16143</v>
      </c>
      <c r="I1067">
        <v>16</v>
      </c>
      <c r="J1067">
        <v>4</v>
      </c>
      <c r="K1067">
        <v>3</v>
      </c>
      <c r="L1067">
        <v>2</v>
      </c>
      <c r="M1067">
        <v>1</v>
      </c>
      <c r="N1067">
        <v>2</v>
      </c>
      <c r="P1067">
        <f>G1067*I1067/100</f>
        <v>645.6</v>
      </c>
      <c r="Q1067">
        <f t="shared" si="16"/>
        <v>48420</v>
      </c>
      <c r="R1067">
        <f>K1067/J1067</f>
        <v>0.75</v>
      </c>
      <c r="S1067">
        <v>2020</v>
      </c>
    </row>
    <row r="1068" spans="1:19" x14ac:dyDescent="0.3">
      <c r="A1068">
        <v>33</v>
      </c>
      <c r="B1068">
        <v>1099</v>
      </c>
      <c r="C1068" t="s">
        <v>17</v>
      </c>
      <c r="D1068" t="s">
        <v>15</v>
      </c>
      <c r="E1068">
        <v>82</v>
      </c>
      <c r="F1068" t="s">
        <v>20</v>
      </c>
      <c r="G1068">
        <v>3838</v>
      </c>
      <c r="H1068">
        <v>8192</v>
      </c>
      <c r="I1068">
        <v>11</v>
      </c>
      <c r="J1068">
        <v>8</v>
      </c>
      <c r="K1068">
        <v>5</v>
      </c>
      <c r="L1068">
        <v>4</v>
      </c>
      <c r="M1068">
        <v>0</v>
      </c>
      <c r="N1068">
        <v>2</v>
      </c>
      <c r="P1068">
        <f>G1068*I1068/100</f>
        <v>422.18</v>
      </c>
      <c r="Q1068">
        <f t="shared" si="16"/>
        <v>46056</v>
      </c>
      <c r="R1068">
        <f>K1068/J1068</f>
        <v>0.625</v>
      </c>
      <c r="S1068">
        <v>2020</v>
      </c>
    </row>
    <row r="1069" spans="1:19" x14ac:dyDescent="0.3">
      <c r="A1069">
        <v>47</v>
      </c>
      <c r="B1069">
        <v>571</v>
      </c>
      <c r="C1069" t="s">
        <v>14</v>
      </c>
      <c r="D1069" t="s">
        <v>15</v>
      </c>
      <c r="E1069">
        <v>78</v>
      </c>
      <c r="F1069" t="s">
        <v>16</v>
      </c>
      <c r="G1069">
        <v>4591</v>
      </c>
      <c r="H1069">
        <v>24200</v>
      </c>
      <c r="I1069">
        <v>17</v>
      </c>
      <c r="J1069">
        <v>11</v>
      </c>
      <c r="K1069">
        <v>5</v>
      </c>
      <c r="L1069">
        <v>4</v>
      </c>
      <c r="M1069">
        <v>1</v>
      </c>
      <c r="N1069">
        <v>2</v>
      </c>
      <c r="P1069">
        <f>G1069*I1069/100</f>
        <v>780.47</v>
      </c>
      <c r="Q1069">
        <f t="shared" si="16"/>
        <v>55092</v>
      </c>
      <c r="R1069">
        <f>K1069/J1069</f>
        <v>0.45454545454545453</v>
      </c>
      <c r="S1069">
        <v>2020</v>
      </c>
    </row>
    <row r="1070" spans="1:19" x14ac:dyDescent="0.3">
      <c r="A1070">
        <v>28</v>
      </c>
      <c r="B1070">
        <v>289</v>
      </c>
      <c r="C1070" t="s">
        <v>17</v>
      </c>
      <c r="D1070" t="s">
        <v>18</v>
      </c>
      <c r="E1070">
        <v>38</v>
      </c>
      <c r="F1070" t="s">
        <v>20</v>
      </c>
      <c r="G1070">
        <v>2561</v>
      </c>
      <c r="H1070">
        <v>5355</v>
      </c>
      <c r="I1070">
        <v>11</v>
      </c>
      <c r="J1070">
        <v>8</v>
      </c>
      <c r="K1070">
        <v>0</v>
      </c>
      <c r="L1070">
        <v>0</v>
      </c>
      <c r="M1070">
        <v>0</v>
      </c>
      <c r="N1070">
        <v>0</v>
      </c>
      <c r="P1070">
        <f>G1070*I1070/100</f>
        <v>281.70999999999998</v>
      </c>
      <c r="Q1070">
        <f t="shared" si="16"/>
        <v>30732</v>
      </c>
      <c r="R1070">
        <f>K1070/J1070</f>
        <v>0</v>
      </c>
      <c r="S1070">
        <v>2020</v>
      </c>
    </row>
    <row r="1071" spans="1:19" x14ac:dyDescent="0.3">
      <c r="A1071">
        <v>28</v>
      </c>
      <c r="B1071">
        <v>1423</v>
      </c>
      <c r="C1071" t="s">
        <v>17</v>
      </c>
      <c r="D1071" t="s">
        <v>18</v>
      </c>
      <c r="E1071">
        <v>72</v>
      </c>
      <c r="F1071" t="s">
        <v>19</v>
      </c>
      <c r="G1071">
        <v>1563</v>
      </c>
      <c r="H1071">
        <v>12530</v>
      </c>
      <c r="I1071">
        <v>14</v>
      </c>
      <c r="J1071">
        <v>1</v>
      </c>
      <c r="K1071">
        <v>1</v>
      </c>
      <c r="L1071">
        <v>0</v>
      </c>
      <c r="M1071">
        <v>0</v>
      </c>
      <c r="N1071">
        <v>0</v>
      </c>
      <c r="P1071">
        <f>G1071*I1071/100</f>
        <v>218.82</v>
      </c>
      <c r="Q1071">
        <f t="shared" si="16"/>
        <v>18756</v>
      </c>
      <c r="R1071">
        <f>K1071/J1071</f>
        <v>1</v>
      </c>
      <c r="S1071">
        <v>2020</v>
      </c>
    </row>
    <row r="1072" spans="1:19" x14ac:dyDescent="0.3">
      <c r="A1072">
        <v>28</v>
      </c>
      <c r="B1072">
        <v>467</v>
      </c>
      <c r="C1072" t="s">
        <v>14</v>
      </c>
      <c r="D1072" t="s">
        <v>18</v>
      </c>
      <c r="E1072">
        <v>55</v>
      </c>
      <c r="F1072" t="s">
        <v>16</v>
      </c>
      <c r="G1072">
        <v>4898</v>
      </c>
      <c r="H1072">
        <v>11827</v>
      </c>
      <c r="I1072">
        <v>14</v>
      </c>
      <c r="J1072">
        <v>5</v>
      </c>
      <c r="K1072">
        <v>4</v>
      </c>
      <c r="L1072">
        <v>2</v>
      </c>
      <c r="M1072">
        <v>1</v>
      </c>
      <c r="N1072">
        <v>3</v>
      </c>
      <c r="P1072">
        <f>G1072*I1072/100</f>
        <v>685.72</v>
      </c>
      <c r="Q1072">
        <f t="shared" si="16"/>
        <v>58776</v>
      </c>
      <c r="R1072">
        <f>K1072/J1072</f>
        <v>0.8</v>
      </c>
      <c r="S1072">
        <v>2020</v>
      </c>
    </row>
    <row r="1073" spans="1:19" x14ac:dyDescent="0.3">
      <c r="A1073">
        <v>49</v>
      </c>
      <c r="B1073">
        <v>271</v>
      </c>
      <c r="C1073" t="s">
        <v>17</v>
      </c>
      <c r="D1073" t="s">
        <v>15</v>
      </c>
      <c r="E1073">
        <v>43</v>
      </c>
      <c r="F1073" t="s">
        <v>20</v>
      </c>
      <c r="G1073">
        <v>4789</v>
      </c>
      <c r="H1073">
        <v>23070</v>
      </c>
      <c r="I1073">
        <v>25</v>
      </c>
      <c r="J1073">
        <v>10</v>
      </c>
      <c r="K1073">
        <v>3</v>
      </c>
      <c r="L1073">
        <v>2</v>
      </c>
      <c r="M1073">
        <v>1</v>
      </c>
      <c r="N1073">
        <v>2</v>
      </c>
      <c r="P1073">
        <f>G1073*I1073/100</f>
        <v>1197.25</v>
      </c>
      <c r="Q1073">
        <f t="shared" si="16"/>
        <v>57468</v>
      </c>
      <c r="R1073">
        <f>K1073/J1073</f>
        <v>0.3</v>
      </c>
      <c r="S1073">
        <v>2020</v>
      </c>
    </row>
    <row r="1074" spans="1:19" x14ac:dyDescent="0.3">
      <c r="A1074">
        <v>29</v>
      </c>
      <c r="B1074">
        <v>410</v>
      </c>
      <c r="C1074" t="s">
        <v>17</v>
      </c>
      <c r="D1074" t="s">
        <v>15</v>
      </c>
      <c r="E1074">
        <v>97</v>
      </c>
      <c r="F1074" t="s">
        <v>20</v>
      </c>
      <c r="G1074">
        <v>3180</v>
      </c>
      <c r="H1074">
        <v>4668</v>
      </c>
      <c r="I1074">
        <v>13</v>
      </c>
      <c r="J1074">
        <v>4</v>
      </c>
      <c r="K1074">
        <v>3</v>
      </c>
      <c r="L1074">
        <v>2</v>
      </c>
      <c r="M1074">
        <v>0</v>
      </c>
      <c r="N1074">
        <v>2</v>
      </c>
      <c r="P1074">
        <f>G1074*I1074/100</f>
        <v>413.4</v>
      </c>
      <c r="Q1074">
        <f t="shared" si="16"/>
        <v>38160</v>
      </c>
      <c r="R1074">
        <f>K1074/J1074</f>
        <v>0.75</v>
      </c>
      <c r="S1074">
        <v>2020</v>
      </c>
    </row>
    <row r="1075" spans="1:19" x14ac:dyDescent="0.3">
      <c r="A1075">
        <v>28</v>
      </c>
      <c r="B1075">
        <v>1083</v>
      </c>
      <c r="C1075" t="s">
        <v>17</v>
      </c>
      <c r="D1075" t="s">
        <v>18</v>
      </c>
      <c r="E1075">
        <v>96</v>
      </c>
      <c r="F1075" t="s">
        <v>21</v>
      </c>
      <c r="G1075">
        <v>6549</v>
      </c>
      <c r="H1075">
        <v>3173</v>
      </c>
      <c r="I1075">
        <v>14</v>
      </c>
      <c r="J1075">
        <v>8</v>
      </c>
      <c r="K1075">
        <v>8</v>
      </c>
      <c r="L1075">
        <v>6</v>
      </c>
      <c r="M1075">
        <v>1</v>
      </c>
      <c r="N1075">
        <v>7</v>
      </c>
      <c r="P1075">
        <f>G1075*I1075/100</f>
        <v>916.86</v>
      </c>
      <c r="Q1075">
        <f t="shared" si="16"/>
        <v>78588</v>
      </c>
      <c r="R1075">
        <f>K1075/J1075</f>
        <v>1</v>
      </c>
      <c r="S1075">
        <v>2020</v>
      </c>
    </row>
    <row r="1076" spans="1:19" x14ac:dyDescent="0.3">
      <c r="A1076">
        <v>33</v>
      </c>
      <c r="B1076">
        <v>516</v>
      </c>
      <c r="C1076" t="s">
        <v>17</v>
      </c>
      <c r="D1076" t="s">
        <v>18</v>
      </c>
      <c r="E1076">
        <v>69</v>
      </c>
      <c r="F1076" t="s">
        <v>22</v>
      </c>
      <c r="G1076">
        <v>6388</v>
      </c>
      <c r="H1076">
        <v>22049</v>
      </c>
      <c r="I1076">
        <v>17</v>
      </c>
      <c r="J1076">
        <v>14</v>
      </c>
      <c r="K1076">
        <v>0</v>
      </c>
      <c r="L1076">
        <v>0</v>
      </c>
      <c r="M1076">
        <v>0</v>
      </c>
      <c r="N1076">
        <v>0</v>
      </c>
      <c r="P1076">
        <f>G1076*I1076/100</f>
        <v>1085.96</v>
      </c>
      <c r="Q1076">
        <f t="shared" si="16"/>
        <v>76656</v>
      </c>
      <c r="R1076">
        <f>K1076/J1076</f>
        <v>0</v>
      </c>
      <c r="S1076">
        <v>2020</v>
      </c>
    </row>
    <row r="1077" spans="1:19" x14ac:dyDescent="0.3">
      <c r="A1077">
        <v>32</v>
      </c>
      <c r="B1077">
        <v>495</v>
      </c>
      <c r="C1077" t="s">
        <v>17</v>
      </c>
      <c r="D1077" t="s">
        <v>18</v>
      </c>
      <c r="E1077">
        <v>64</v>
      </c>
      <c r="F1077" t="s">
        <v>23</v>
      </c>
      <c r="G1077">
        <v>11244</v>
      </c>
      <c r="H1077">
        <v>21072</v>
      </c>
      <c r="I1077">
        <v>25</v>
      </c>
      <c r="J1077">
        <v>10</v>
      </c>
      <c r="K1077">
        <v>5</v>
      </c>
      <c r="L1077">
        <v>2</v>
      </c>
      <c r="M1077">
        <v>0</v>
      </c>
      <c r="N1077">
        <v>0</v>
      </c>
      <c r="P1077">
        <f>G1077*I1077/100</f>
        <v>2811</v>
      </c>
      <c r="Q1077">
        <f t="shared" si="16"/>
        <v>134928</v>
      </c>
      <c r="R1077">
        <f>K1077/J1077</f>
        <v>0.5</v>
      </c>
      <c r="S1077">
        <v>2020</v>
      </c>
    </row>
    <row r="1078" spans="1:19" x14ac:dyDescent="0.3">
      <c r="A1078">
        <v>54</v>
      </c>
      <c r="B1078">
        <v>1050</v>
      </c>
      <c r="C1078" t="s">
        <v>17</v>
      </c>
      <c r="D1078" t="s">
        <v>15</v>
      </c>
      <c r="E1078">
        <v>87</v>
      </c>
      <c r="F1078" t="s">
        <v>23</v>
      </c>
      <c r="G1078">
        <v>16032</v>
      </c>
      <c r="H1078">
        <v>24456</v>
      </c>
      <c r="I1078">
        <v>20</v>
      </c>
      <c r="J1078">
        <v>26</v>
      </c>
      <c r="K1078">
        <v>14</v>
      </c>
      <c r="L1078">
        <v>9</v>
      </c>
      <c r="M1078">
        <v>1</v>
      </c>
      <c r="N1078">
        <v>12</v>
      </c>
      <c r="P1078">
        <f>G1078*I1078/100</f>
        <v>3206.4</v>
      </c>
      <c r="Q1078">
        <f t="shared" si="16"/>
        <v>192384</v>
      </c>
      <c r="R1078">
        <f>K1078/J1078</f>
        <v>0.53846153846153844</v>
      </c>
      <c r="S1078">
        <v>2020</v>
      </c>
    </row>
    <row r="1079" spans="1:19" x14ac:dyDescent="0.3">
      <c r="A1079">
        <v>29</v>
      </c>
      <c r="B1079">
        <v>224</v>
      </c>
      <c r="C1079" t="s">
        <v>17</v>
      </c>
      <c r="D1079" t="s">
        <v>18</v>
      </c>
      <c r="E1079">
        <v>100</v>
      </c>
      <c r="F1079" t="s">
        <v>19</v>
      </c>
      <c r="G1079">
        <v>2362</v>
      </c>
      <c r="H1079">
        <v>7568</v>
      </c>
      <c r="I1079">
        <v>13</v>
      </c>
      <c r="J1079">
        <v>11</v>
      </c>
      <c r="K1079">
        <v>9</v>
      </c>
      <c r="L1079">
        <v>7</v>
      </c>
      <c r="M1079">
        <v>0</v>
      </c>
      <c r="N1079">
        <v>7</v>
      </c>
      <c r="P1079">
        <f>G1079*I1079/100</f>
        <v>307.06</v>
      </c>
      <c r="Q1079">
        <f t="shared" si="16"/>
        <v>28344</v>
      </c>
      <c r="R1079">
        <f>K1079/J1079</f>
        <v>0.81818181818181823</v>
      </c>
      <c r="S1079">
        <v>2020</v>
      </c>
    </row>
    <row r="1080" spans="1:19" x14ac:dyDescent="0.3">
      <c r="A1080">
        <v>44</v>
      </c>
      <c r="B1080">
        <v>136</v>
      </c>
      <c r="C1080" t="s">
        <v>17</v>
      </c>
      <c r="D1080" t="s">
        <v>18</v>
      </c>
      <c r="E1080">
        <v>32</v>
      </c>
      <c r="F1080" t="s">
        <v>25</v>
      </c>
      <c r="G1080">
        <v>16328</v>
      </c>
      <c r="H1080">
        <v>22074</v>
      </c>
      <c r="I1080">
        <v>13</v>
      </c>
      <c r="J1080">
        <v>24</v>
      </c>
      <c r="K1080">
        <v>20</v>
      </c>
      <c r="L1080">
        <v>6</v>
      </c>
      <c r="M1080">
        <v>14</v>
      </c>
      <c r="N1080">
        <v>17</v>
      </c>
      <c r="P1080">
        <f>G1080*I1080/100</f>
        <v>2122.64</v>
      </c>
      <c r="Q1080">
        <f t="shared" si="16"/>
        <v>195936</v>
      </c>
      <c r="R1080">
        <f>K1080/J1080</f>
        <v>0.83333333333333337</v>
      </c>
      <c r="S1080">
        <v>2020</v>
      </c>
    </row>
    <row r="1081" spans="1:19" x14ac:dyDescent="0.3">
      <c r="A1081">
        <v>39</v>
      </c>
      <c r="B1081">
        <v>1089</v>
      </c>
      <c r="C1081" t="s">
        <v>17</v>
      </c>
      <c r="D1081" t="s">
        <v>15</v>
      </c>
      <c r="E1081">
        <v>32</v>
      </c>
      <c r="F1081" t="s">
        <v>21</v>
      </c>
      <c r="G1081">
        <v>8376</v>
      </c>
      <c r="H1081">
        <v>9150</v>
      </c>
      <c r="I1081">
        <v>18</v>
      </c>
      <c r="J1081">
        <v>9</v>
      </c>
      <c r="K1081">
        <v>2</v>
      </c>
      <c r="L1081">
        <v>0</v>
      </c>
      <c r="M1081">
        <v>2</v>
      </c>
      <c r="N1081">
        <v>2</v>
      </c>
      <c r="P1081">
        <f>G1081*I1081/100</f>
        <v>1507.68</v>
      </c>
      <c r="Q1081">
        <f t="shared" si="16"/>
        <v>100512</v>
      </c>
      <c r="R1081">
        <f>K1081/J1081</f>
        <v>0.22222222222222221</v>
      </c>
      <c r="S1081">
        <v>2020</v>
      </c>
    </row>
    <row r="1082" spans="1:19" x14ac:dyDescent="0.3">
      <c r="A1082">
        <v>46</v>
      </c>
      <c r="B1082">
        <v>228</v>
      </c>
      <c r="C1082" t="s">
        <v>14</v>
      </c>
      <c r="D1082" t="s">
        <v>15</v>
      </c>
      <c r="E1082">
        <v>51</v>
      </c>
      <c r="F1082" t="s">
        <v>23</v>
      </c>
      <c r="G1082">
        <v>16606</v>
      </c>
      <c r="H1082">
        <v>11380</v>
      </c>
      <c r="I1082">
        <v>12</v>
      </c>
      <c r="J1082">
        <v>23</v>
      </c>
      <c r="K1082">
        <v>13</v>
      </c>
      <c r="L1082">
        <v>12</v>
      </c>
      <c r="M1082">
        <v>5</v>
      </c>
      <c r="N1082">
        <v>1</v>
      </c>
      <c r="P1082">
        <f>G1082*I1082/100</f>
        <v>1992.72</v>
      </c>
      <c r="Q1082">
        <f t="shared" si="16"/>
        <v>199272</v>
      </c>
      <c r="R1082">
        <f>K1082/J1082</f>
        <v>0.56521739130434778</v>
      </c>
      <c r="S1082">
        <v>2020</v>
      </c>
    </row>
    <row r="1083" spans="1:19" x14ac:dyDescent="0.3">
      <c r="A1083">
        <v>35</v>
      </c>
      <c r="B1083">
        <v>1029</v>
      </c>
      <c r="C1083" t="s">
        <v>17</v>
      </c>
      <c r="D1083" t="s">
        <v>15</v>
      </c>
      <c r="E1083">
        <v>91</v>
      </c>
      <c r="F1083" t="s">
        <v>22</v>
      </c>
      <c r="G1083">
        <v>8606</v>
      </c>
      <c r="H1083">
        <v>21195</v>
      </c>
      <c r="I1083">
        <v>19</v>
      </c>
      <c r="J1083">
        <v>11</v>
      </c>
      <c r="K1083">
        <v>11</v>
      </c>
      <c r="L1083">
        <v>8</v>
      </c>
      <c r="M1083">
        <v>3</v>
      </c>
      <c r="N1083">
        <v>3</v>
      </c>
      <c r="P1083">
        <f>G1083*I1083/100</f>
        <v>1635.14</v>
      </c>
      <c r="Q1083">
        <f t="shared" si="16"/>
        <v>103272</v>
      </c>
      <c r="R1083">
        <f>K1083/J1083</f>
        <v>1</v>
      </c>
      <c r="S1083">
        <v>2020</v>
      </c>
    </row>
    <row r="1084" spans="1:19" x14ac:dyDescent="0.3">
      <c r="A1084">
        <v>23</v>
      </c>
      <c r="B1084">
        <v>507</v>
      </c>
      <c r="C1084" t="s">
        <v>17</v>
      </c>
      <c r="D1084" t="s">
        <v>18</v>
      </c>
      <c r="E1084">
        <v>97</v>
      </c>
      <c r="F1084" t="s">
        <v>20</v>
      </c>
      <c r="G1084">
        <v>2272</v>
      </c>
      <c r="H1084">
        <v>24812</v>
      </c>
      <c r="I1084">
        <v>14</v>
      </c>
      <c r="J1084">
        <v>5</v>
      </c>
      <c r="K1084">
        <v>4</v>
      </c>
      <c r="L1084">
        <v>3</v>
      </c>
      <c r="M1084">
        <v>1</v>
      </c>
      <c r="N1084">
        <v>2</v>
      </c>
      <c r="P1084">
        <f>G1084*I1084/100</f>
        <v>318.08</v>
      </c>
      <c r="Q1084">
        <f t="shared" si="16"/>
        <v>27264</v>
      </c>
      <c r="R1084">
        <f>K1084/J1084</f>
        <v>0.8</v>
      </c>
      <c r="S1084">
        <v>2020</v>
      </c>
    </row>
    <row r="1085" spans="1:19" x14ac:dyDescent="0.3">
      <c r="A1085">
        <v>40</v>
      </c>
      <c r="B1085">
        <v>676</v>
      </c>
      <c r="C1085" t="s">
        <v>17</v>
      </c>
      <c r="D1085" t="s">
        <v>18</v>
      </c>
      <c r="E1085">
        <v>86</v>
      </c>
      <c r="F1085" t="s">
        <v>20</v>
      </c>
      <c r="G1085">
        <v>2018</v>
      </c>
      <c r="H1085">
        <v>21831</v>
      </c>
      <c r="I1085">
        <v>14</v>
      </c>
      <c r="J1085">
        <v>15</v>
      </c>
      <c r="K1085">
        <v>5</v>
      </c>
      <c r="L1085">
        <v>4</v>
      </c>
      <c r="M1085">
        <v>1</v>
      </c>
      <c r="N1085">
        <v>0</v>
      </c>
      <c r="P1085">
        <f>G1085*I1085/100</f>
        <v>282.52</v>
      </c>
      <c r="Q1085">
        <f t="shared" si="16"/>
        <v>24216</v>
      </c>
      <c r="R1085">
        <f>K1085/J1085</f>
        <v>0.33333333333333331</v>
      </c>
      <c r="S1085">
        <v>2020</v>
      </c>
    </row>
    <row r="1086" spans="1:19" x14ac:dyDescent="0.3">
      <c r="A1086">
        <v>34</v>
      </c>
      <c r="B1086">
        <v>971</v>
      </c>
      <c r="C1086" t="s">
        <v>14</v>
      </c>
      <c r="D1086" t="s">
        <v>18</v>
      </c>
      <c r="E1086">
        <v>64</v>
      </c>
      <c r="F1086" t="s">
        <v>16</v>
      </c>
      <c r="G1086">
        <v>7083</v>
      </c>
      <c r="H1086">
        <v>12288</v>
      </c>
      <c r="I1086">
        <v>14</v>
      </c>
      <c r="J1086">
        <v>10</v>
      </c>
      <c r="K1086">
        <v>10</v>
      </c>
      <c r="L1086">
        <v>9</v>
      </c>
      <c r="M1086">
        <v>8</v>
      </c>
      <c r="N1086">
        <v>6</v>
      </c>
      <c r="P1086">
        <f>G1086*I1086/100</f>
        <v>991.62</v>
      </c>
      <c r="Q1086">
        <f t="shared" si="16"/>
        <v>84996</v>
      </c>
      <c r="R1086">
        <f>K1086/J1086</f>
        <v>1</v>
      </c>
      <c r="S1086">
        <v>2020</v>
      </c>
    </row>
    <row r="1087" spans="1:19" x14ac:dyDescent="0.3">
      <c r="A1087">
        <v>31</v>
      </c>
      <c r="B1087">
        <v>561</v>
      </c>
      <c r="C1087" t="s">
        <v>17</v>
      </c>
      <c r="D1087" t="s">
        <v>15</v>
      </c>
      <c r="E1087">
        <v>33</v>
      </c>
      <c r="F1087" t="s">
        <v>19</v>
      </c>
      <c r="G1087">
        <v>4084</v>
      </c>
      <c r="H1087">
        <v>4156</v>
      </c>
      <c r="I1087">
        <v>12</v>
      </c>
      <c r="J1087">
        <v>7</v>
      </c>
      <c r="K1087">
        <v>7</v>
      </c>
      <c r="L1087">
        <v>2</v>
      </c>
      <c r="M1087">
        <v>7</v>
      </c>
      <c r="N1087">
        <v>7</v>
      </c>
      <c r="P1087">
        <f>G1087*I1087/100</f>
        <v>490.08</v>
      </c>
      <c r="Q1087">
        <f t="shared" si="16"/>
        <v>49008</v>
      </c>
      <c r="R1087">
        <f>K1087/J1087</f>
        <v>1</v>
      </c>
      <c r="S1087">
        <v>2020</v>
      </c>
    </row>
    <row r="1088" spans="1:19" x14ac:dyDescent="0.3">
      <c r="A1088">
        <v>50</v>
      </c>
      <c r="B1088">
        <v>333</v>
      </c>
      <c r="C1088" t="s">
        <v>17</v>
      </c>
      <c r="D1088" t="s">
        <v>18</v>
      </c>
      <c r="E1088">
        <v>88</v>
      </c>
      <c r="F1088" t="s">
        <v>25</v>
      </c>
      <c r="G1088">
        <v>14411</v>
      </c>
      <c r="H1088">
        <v>24450</v>
      </c>
      <c r="I1088">
        <v>13</v>
      </c>
      <c r="J1088">
        <v>32</v>
      </c>
      <c r="K1088">
        <v>32</v>
      </c>
      <c r="L1088">
        <v>6</v>
      </c>
      <c r="M1088">
        <v>13</v>
      </c>
      <c r="N1088">
        <v>9</v>
      </c>
      <c r="P1088">
        <f>G1088*I1088/100</f>
        <v>1873.43</v>
      </c>
      <c r="Q1088">
        <f t="shared" si="16"/>
        <v>172932</v>
      </c>
      <c r="R1088">
        <f>K1088/J1088</f>
        <v>1</v>
      </c>
      <c r="S1088">
        <v>2020</v>
      </c>
    </row>
    <row r="1089" spans="1:19" x14ac:dyDescent="0.3">
      <c r="A1089">
        <v>34</v>
      </c>
      <c r="B1089">
        <v>1440</v>
      </c>
      <c r="C1089" t="s">
        <v>14</v>
      </c>
      <c r="D1089" t="s">
        <v>18</v>
      </c>
      <c r="E1089">
        <v>55</v>
      </c>
      <c r="F1089" t="s">
        <v>24</v>
      </c>
      <c r="G1089">
        <v>2308</v>
      </c>
      <c r="H1089">
        <v>4944</v>
      </c>
      <c r="I1089">
        <v>25</v>
      </c>
      <c r="J1089">
        <v>12</v>
      </c>
      <c r="K1089">
        <v>11</v>
      </c>
      <c r="L1089">
        <v>10</v>
      </c>
      <c r="M1089">
        <v>5</v>
      </c>
      <c r="N1089">
        <v>7</v>
      </c>
      <c r="P1089">
        <f>G1089*I1089/100</f>
        <v>577</v>
      </c>
      <c r="Q1089">
        <f t="shared" si="16"/>
        <v>27696</v>
      </c>
      <c r="R1089">
        <f>K1089/J1089</f>
        <v>0.91666666666666663</v>
      </c>
      <c r="S1089">
        <v>2020</v>
      </c>
    </row>
    <row r="1090" spans="1:19" x14ac:dyDescent="0.3">
      <c r="A1090">
        <v>42</v>
      </c>
      <c r="B1090">
        <v>1210</v>
      </c>
      <c r="C1090" t="s">
        <v>17</v>
      </c>
      <c r="D1090" t="s">
        <v>18</v>
      </c>
      <c r="E1090">
        <v>68</v>
      </c>
      <c r="F1090" t="s">
        <v>20</v>
      </c>
      <c r="G1090">
        <v>4841</v>
      </c>
      <c r="H1090">
        <v>24052</v>
      </c>
      <c r="I1090">
        <v>14</v>
      </c>
      <c r="J1090">
        <v>4</v>
      </c>
      <c r="K1090">
        <v>1</v>
      </c>
      <c r="L1090">
        <v>0</v>
      </c>
      <c r="M1090">
        <v>0</v>
      </c>
      <c r="N1090">
        <v>0</v>
      </c>
      <c r="P1090">
        <f>G1090*I1090/100</f>
        <v>677.74</v>
      </c>
      <c r="Q1090">
        <f t="shared" si="16"/>
        <v>58092</v>
      </c>
      <c r="R1090">
        <f>K1090/J1090</f>
        <v>0.25</v>
      </c>
      <c r="S1090">
        <v>2020</v>
      </c>
    </row>
    <row r="1091" spans="1:19" x14ac:dyDescent="0.3">
      <c r="A1091">
        <v>37</v>
      </c>
      <c r="B1091">
        <v>674</v>
      </c>
      <c r="C1091" t="s">
        <v>17</v>
      </c>
      <c r="D1091" t="s">
        <v>18</v>
      </c>
      <c r="E1091">
        <v>47</v>
      </c>
      <c r="F1091" t="s">
        <v>19</v>
      </c>
      <c r="G1091">
        <v>4285</v>
      </c>
      <c r="H1091">
        <v>3031</v>
      </c>
      <c r="I1091">
        <v>17</v>
      </c>
      <c r="J1091">
        <v>10</v>
      </c>
      <c r="K1091">
        <v>10</v>
      </c>
      <c r="L1091">
        <v>8</v>
      </c>
      <c r="M1091">
        <v>3</v>
      </c>
      <c r="N1091">
        <v>7</v>
      </c>
      <c r="P1091">
        <f>G1091*I1091/100</f>
        <v>728.45</v>
      </c>
      <c r="Q1091">
        <f t="shared" ref="Q1091:Q1154" si="17">G1091*12</f>
        <v>51420</v>
      </c>
      <c r="R1091">
        <f>K1091/J1091</f>
        <v>1</v>
      </c>
      <c r="S1091">
        <v>2020</v>
      </c>
    </row>
    <row r="1092" spans="1:19" x14ac:dyDescent="0.3">
      <c r="A1092">
        <v>29</v>
      </c>
      <c r="B1092">
        <v>441</v>
      </c>
      <c r="C1092" t="s">
        <v>17</v>
      </c>
      <c r="D1092" t="s">
        <v>15</v>
      </c>
      <c r="E1092">
        <v>39</v>
      </c>
      <c r="F1092" t="s">
        <v>22</v>
      </c>
      <c r="G1092">
        <v>9715</v>
      </c>
      <c r="H1092">
        <v>7288</v>
      </c>
      <c r="I1092">
        <v>13</v>
      </c>
      <c r="J1092">
        <v>9</v>
      </c>
      <c r="K1092">
        <v>7</v>
      </c>
      <c r="L1092">
        <v>7</v>
      </c>
      <c r="M1092">
        <v>0</v>
      </c>
      <c r="N1092">
        <v>7</v>
      </c>
      <c r="P1092">
        <f>G1092*I1092/100</f>
        <v>1262.95</v>
      </c>
      <c r="Q1092">
        <f t="shared" si="17"/>
        <v>116580</v>
      </c>
      <c r="R1092">
        <f>K1092/J1092</f>
        <v>0.77777777777777779</v>
      </c>
      <c r="S1092">
        <v>2020</v>
      </c>
    </row>
    <row r="1093" spans="1:19" x14ac:dyDescent="0.3">
      <c r="A1093">
        <v>33</v>
      </c>
      <c r="B1093">
        <v>575</v>
      </c>
      <c r="C1093" t="s">
        <v>17</v>
      </c>
      <c r="D1093" t="s">
        <v>18</v>
      </c>
      <c r="E1093">
        <v>44</v>
      </c>
      <c r="F1093" t="s">
        <v>21</v>
      </c>
      <c r="G1093">
        <v>4320</v>
      </c>
      <c r="H1093">
        <v>24152</v>
      </c>
      <c r="I1093">
        <v>13</v>
      </c>
      <c r="J1093">
        <v>5</v>
      </c>
      <c r="K1093">
        <v>5</v>
      </c>
      <c r="L1093">
        <v>3</v>
      </c>
      <c r="M1093">
        <v>0</v>
      </c>
      <c r="N1093">
        <v>2</v>
      </c>
      <c r="P1093">
        <f>G1093*I1093/100</f>
        <v>561.6</v>
      </c>
      <c r="Q1093">
        <f t="shared" si="17"/>
        <v>51840</v>
      </c>
      <c r="R1093">
        <f>K1093/J1093</f>
        <v>1</v>
      </c>
      <c r="S1093">
        <v>2020</v>
      </c>
    </row>
    <row r="1094" spans="1:19" x14ac:dyDescent="0.3">
      <c r="A1094">
        <v>45</v>
      </c>
      <c r="B1094">
        <v>950</v>
      </c>
      <c r="C1094" t="s">
        <v>17</v>
      </c>
      <c r="D1094" t="s">
        <v>18</v>
      </c>
      <c r="E1094">
        <v>97</v>
      </c>
      <c r="F1094" t="s">
        <v>19</v>
      </c>
      <c r="G1094">
        <v>2132</v>
      </c>
      <c r="H1094">
        <v>4585</v>
      </c>
      <c r="I1094">
        <v>20</v>
      </c>
      <c r="J1094">
        <v>8</v>
      </c>
      <c r="K1094">
        <v>5</v>
      </c>
      <c r="L1094">
        <v>4</v>
      </c>
      <c r="M1094">
        <v>0</v>
      </c>
      <c r="N1094">
        <v>3</v>
      </c>
      <c r="P1094">
        <f>G1094*I1094/100</f>
        <v>426.4</v>
      </c>
      <c r="Q1094">
        <f t="shared" si="17"/>
        <v>25584</v>
      </c>
      <c r="R1094">
        <f>K1094/J1094</f>
        <v>0.625</v>
      </c>
      <c r="S1094">
        <v>2020</v>
      </c>
    </row>
    <row r="1095" spans="1:19" x14ac:dyDescent="0.3">
      <c r="A1095">
        <v>42</v>
      </c>
      <c r="B1095">
        <v>288</v>
      </c>
      <c r="C1095" t="s">
        <v>17</v>
      </c>
      <c r="D1095" t="s">
        <v>18</v>
      </c>
      <c r="E1095">
        <v>40</v>
      </c>
      <c r="F1095" t="s">
        <v>22</v>
      </c>
      <c r="G1095">
        <v>10124</v>
      </c>
      <c r="H1095">
        <v>18611</v>
      </c>
      <c r="I1095">
        <v>14</v>
      </c>
      <c r="J1095">
        <v>24</v>
      </c>
      <c r="K1095">
        <v>20</v>
      </c>
      <c r="L1095">
        <v>8</v>
      </c>
      <c r="M1095">
        <v>13</v>
      </c>
      <c r="N1095">
        <v>9</v>
      </c>
      <c r="P1095">
        <f>G1095*I1095/100</f>
        <v>1417.36</v>
      </c>
      <c r="Q1095">
        <f t="shared" si="17"/>
        <v>121488</v>
      </c>
      <c r="R1095">
        <f>K1095/J1095</f>
        <v>0.83333333333333337</v>
      </c>
      <c r="S1095">
        <v>2020</v>
      </c>
    </row>
    <row r="1096" spans="1:19" x14ac:dyDescent="0.3">
      <c r="A1096">
        <v>40</v>
      </c>
      <c r="B1096">
        <v>1342</v>
      </c>
      <c r="C1096" t="s">
        <v>14</v>
      </c>
      <c r="D1096" t="s">
        <v>18</v>
      </c>
      <c r="E1096">
        <v>47</v>
      </c>
      <c r="F1096" t="s">
        <v>16</v>
      </c>
      <c r="G1096">
        <v>5473</v>
      </c>
      <c r="H1096">
        <v>19345</v>
      </c>
      <c r="I1096">
        <v>12</v>
      </c>
      <c r="J1096">
        <v>9</v>
      </c>
      <c r="K1096">
        <v>8</v>
      </c>
      <c r="L1096">
        <v>4</v>
      </c>
      <c r="M1096">
        <v>7</v>
      </c>
      <c r="N1096">
        <v>1</v>
      </c>
      <c r="P1096">
        <f>G1096*I1096/100</f>
        <v>656.76</v>
      </c>
      <c r="Q1096">
        <f t="shared" si="17"/>
        <v>65676</v>
      </c>
      <c r="R1096">
        <f>K1096/J1096</f>
        <v>0.88888888888888884</v>
      </c>
      <c r="S1096">
        <v>2020</v>
      </c>
    </row>
    <row r="1097" spans="1:19" x14ac:dyDescent="0.3">
      <c r="A1097">
        <v>33</v>
      </c>
      <c r="B1097">
        <v>589</v>
      </c>
      <c r="C1097" t="s">
        <v>17</v>
      </c>
      <c r="D1097" t="s">
        <v>18</v>
      </c>
      <c r="E1097">
        <v>79</v>
      </c>
      <c r="F1097" t="s">
        <v>20</v>
      </c>
      <c r="G1097">
        <v>5207</v>
      </c>
      <c r="H1097">
        <v>22949</v>
      </c>
      <c r="I1097">
        <v>12</v>
      </c>
      <c r="J1097">
        <v>15</v>
      </c>
      <c r="K1097">
        <v>15</v>
      </c>
      <c r="L1097">
        <v>14</v>
      </c>
      <c r="M1097">
        <v>5</v>
      </c>
      <c r="N1097">
        <v>7</v>
      </c>
      <c r="P1097">
        <f>G1097*I1097/100</f>
        <v>624.84</v>
      </c>
      <c r="Q1097">
        <f t="shared" si="17"/>
        <v>62484</v>
      </c>
      <c r="R1097">
        <f>K1097/J1097</f>
        <v>1</v>
      </c>
      <c r="S1097">
        <v>2020</v>
      </c>
    </row>
    <row r="1098" spans="1:19" x14ac:dyDescent="0.3">
      <c r="A1098">
        <v>40</v>
      </c>
      <c r="B1098">
        <v>898</v>
      </c>
      <c r="C1098" t="s">
        <v>26</v>
      </c>
      <c r="D1098" t="s">
        <v>18</v>
      </c>
      <c r="E1098">
        <v>38</v>
      </c>
      <c r="F1098" t="s">
        <v>23</v>
      </c>
      <c r="G1098">
        <v>16437</v>
      </c>
      <c r="H1098">
        <v>17381</v>
      </c>
      <c r="I1098">
        <v>21</v>
      </c>
      <c r="J1098">
        <v>21</v>
      </c>
      <c r="K1098">
        <v>21</v>
      </c>
      <c r="L1098">
        <v>7</v>
      </c>
      <c r="M1098">
        <v>7</v>
      </c>
      <c r="N1098">
        <v>7</v>
      </c>
      <c r="P1098">
        <f>G1098*I1098/100</f>
        <v>3451.77</v>
      </c>
      <c r="Q1098">
        <f t="shared" si="17"/>
        <v>197244</v>
      </c>
      <c r="R1098">
        <f>K1098/J1098</f>
        <v>1</v>
      </c>
      <c r="S1098">
        <v>2020</v>
      </c>
    </row>
    <row r="1099" spans="1:19" x14ac:dyDescent="0.3">
      <c r="A1099">
        <v>24</v>
      </c>
      <c r="B1099">
        <v>350</v>
      </c>
      <c r="C1099" t="s">
        <v>17</v>
      </c>
      <c r="D1099" t="s">
        <v>18</v>
      </c>
      <c r="E1099">
        <v>57</v>
      </c>
      <c r="F1099" t="s">
        <v>20</v>
      </c>
      <c r="G1099">
        <v>2296</v>
      </c>
      <c r="H1099">
        <v>10036</v>
      </c>
      <c r="I1099">
        <v>14</v>
      </c>
      <c r="J1099">
        <v>2</v>
      </c>
      <c r="K1099">
        <v>1</v>
      </c>
      <c r="L1099">
        <v>1</v>
      </c>
      <c r="M1099">
        <v>0</v>
      </c>
      <c r="N1099">
        <v>0</v>
      </c>
      <c r="P1099">
        <f>G1099*I1099/100</f>
        <v>321.44</v>
      </c>
      <c r="Q1099">
        <f t="shared" si="17"/>
        <v>27552</v>
      </c>
      <c r="R1099">
        <f>K1099/J1099</f>
        <v>0.5</v>
      </c>
      <c r="S1099">
        <v>2020</v>
      </c>
    </row>
    <row r="1100" spans="1:19" x14ac:dyDescent="0.3">
      <c r="A1100">
        <v>40</v>
      </c>
      <c r="B1100">
        <v>1142</v>
      </c>
      <c r="C1100" t="s">
        <v>17</v>
      </c>
      <c r="D1100" t="s">
        <v>18</v>
      </c>
      <c r="E1100">
        <v>72</v>
      </c>
      <c r="F1100" t="s">
        <v>22</v>
      </c>
      <c r="G1100">
        <v>4069</v>
      </c>
      <c r="H1100">
        <v>8841</v>
      </c>
      <c r="I1100">
        <v>18</v>
      </c>
      <c r="J1100">
        <v>8</v>
      </c>
      <c r="K1100">
        <v>2</v>
      </c>
      <c r="L1100">
        <v>2</v>
      </c>
      <c r="M1100">
        <v>2</v>
      </c>
      <c r="N1100">
        <v>2</v>
      </c>
      <c r="P1100">
        <f>G1100*I1100/100</f>
        <v>732.42</v>
      </c>
      <c r="Q1100">
        <f t="shared" si="17"/>
        <v>48828</v>
      </c>
      <c r="R1100">
        <f>K1100/J1100</f>
        <v>0.25</v>
      </c>
      <c r="S1100">
        <v>2020</v>
      </c>
    </row>
    <row r="1101" spans="1:19" x14ac:dyDescent="0.3">
      <c r="A1101">
        <v>45</v>
      </c>
      <c r="B1101">
        <v>538</v>
      </c>
      <c r="C1101" t="s">
        <v>17</v>
      </c>
      <c r="D1101" t="s">
        <v>18</v>
      </c>
      <c r="E1101">
        <v>66</v>
      </c>
      <c r="F1101" t="s">
        <v>22</v>
      </c>
      <c r="G1101">
        <v>7441</v>
      </c>
      <c r="H1101">
        <v>20933</v>
      </c>
      <c r="I1101">
        <v>12</v>
      </c>
      <c r="J1101">
        <v>10</v>
      </c>
      <c r="K1101">
        <v>10</v>
      </c>
      <c r="L1101">
        <v>8</v>
      </c>
      <c r="M1101">
        <v>7</v>
      </c>
      <c r="N1101">
        <v>7</v>
      </c>
      <c r="P1101">
        <f>G1101*I1101/100</f>
        <v>892.92</v>
      </c>
      <c r="Q1101">
        <f t="shared" si="17"/>
        <v>89292</v>
      </c>
      <c r="R1101">
        <f>K1101/J1101</f>
        <v>1</v>
      </c>
      <c r="S1101">
        <v>2020</v>
      </c>
    </row>
    <row r="1102" spans="1:19" x14ac:dyDescent="0.3">
      <c r="A1102">
        <v>35</v>
      </c>
      <c r="B1102">
        <v>1402</v>
      </c>
      <c r="C1102" t="s">
        <v>14</v>
      </c>
      <c r="D1102" t="s">
        <v>15</v>
      </c>
      <c r="E1102">
        <v>98</v>
      </c>
      <c r="F1102" t="s">
        <v>24</v>
      </c>
      <c r="G1102">
        <v>2430</v>
      </c>
      <c r="H1102">
        <v>26204</v>
      </c>
      <c r="I1102">
        <v>23</v>
      </c>
      <c r="J1102">
        <v>6</v>
      </c>
      <c r="K1102">
        <v>5</v>
      </c>
      <c r="L1102">
        <v>3</v>
      </c>
      <c r="M1102">
        <v>4</v>
      </c>
      <c r="N1102">
        <v>2</v>
      </c>
      <c r="P1102">
        <f>G1102*I1102/100</f>
        <v>558.9</v>
      </c>
      <c r="Q1102">
        <f t="shared" si="17"/>
        <v>29160</v>
      </c>
      <c r="R1102">
        <f>K1102/J1102</f>
        <v>0.83333333333333337</v>
      </c>
      <c r="S1102">
        <v>2020</v>
      </c>
    </row>
    <row r="1103" spans="1:19" x14ac:dyDescent="0.3">
      <c r="A1103">
        <v>32</v>
      </c>
      <c r="B1103">
        <v>824</v>
      </c>
      <c r="C1103" t="s">
        <v>17</v>
      </c>
      <c r="D1103" t="s">
        <v>15</v>
      </c>
      <c r="E1103">
        <v>67</v>
      </c>
      <c r="F1103" t="s">
        <v>19</v>
      </c>
      <c r="G1103">
        <v>5878</v>
      </c>
      <c r="H1103">
        <v>15624</v>
      </c>
      <c r="I1103">
        <v>12</v>
      </c>
      <c r="J1103">
        <v>12</v>
      </c>
      <c r="K1103">
        <v>7</v>
      </c>
      <c r="L1103">
        <v>1</v>
      </c>
      <c r="M1103">
        <v>2</v>
      </c>
      <c r="N1103">
        <v>5</v>
      </c>
      <c r="P1103">
        <f>G1103*I1103/100</f>
        <v>705.36</v>
      </c>
      <c r="Q1103">
        <f t="shared" si="17"/>
        <v>70536</v>
      </c>
      <c r="R1103">
        <f>K1103/J1103</f>
        <v>0.58333333333333337</v>
      </c>
      <c r="S1103">
        <v>2020</v>
      </c>
    </row>
    <row r="1104" spans="1:19" x14ac:dyDescent="0.3">
      <c r="A1104">
        <v>36</v>
      </c>
      <c r="B1104">
        <v>1157</v>
      </c>
      <c r="C1104" t="s">
        <v>14</v>
      </c>
      <c r="D1104" t="s">
        <v>18</v>
      </c>
      <c r="E1104">
        <v>70</v>
      </c>
      <c r="F1104" t="s">
        <v>24</v>
      </c>
      <c r="G1104">
        <v>2644</v>
      </c>
      <c r="H1104">
        <v>17001</v>
      </c>
      <c r="I1104">
        <v>21</v>
      </c>
      <c r="J1104">
        <v>7</v>
      </c>
      <c r="K1104">
        <v>3</v>
      </c>
      <c r="L1104">
        <v>2</v>
      </c>
      <c r="M1104">
        <v>1</v>
      </c>
      <c r="N1104">
        <v>2</v>
      </c>
      <c r="P1104">
        <f>G1104*I1104/100</f>
        <v>555.24</v>
      </c>
      <c r="Q1104">
        <f t="shared" si="17"/>
        <v>31728</v>
      </c>
      <c r="R1104">
        <f>K1104/J1104</f>
        <v>0.42857142857142855</v>
      </c>
      <c r="S1104">
        <v>2020</v>
      </c>
    </row>
    <row r="1105" spans="1:19" x14ac:dyDescent="0.3">
      <c r="A1105">
        <v>48</v>
      </c>
      <c r="B1105">
        <v>492</v>
      </c>
      <c r="C1105" t="s">
        <v>14</v>
      </c>
      <c r="D1105" t="s">
        <v>15</v>
      </c>
      <c r="E1105">
        <v>96</v>
      </c>
      <c r="F1105" t="s">
        <v>16</v>
      </c>
      <c r="G1105">
        <v>6439</v>
      </c>
      <c r="H1105">
        <v>13693</v>
      </c>
      <c r="I1105">
        <v>14</v>
      </c>
      <c r="J1105">
        <v>18</v>
      </c>
      <c r="K1105">
        <v>8</v>
      </c>
      <c r="L1105">
        <v>7</v>
      </c>
      <c r="M1105">
        <v>7</v>
      </c>
      <c r="N1105">
        <v>7</v>
      </c>
      <c r="P1105">
        <f>G1105*I1105/100</f>
        <v>901.46</v>
      </c>
      <c r="Q1105">
        <f t="shared" si="17"/>
        <v>77268</v>
      </c>
      <c r="R1105">
        <f>K1105/J1105</f>
        <v>0.44444444444444442</v>
      </c>
      <c r="S1105">
        <v>2020</v>
      </c>
    </row>
    <row r="1106" spans="1:19" x14ac:dyDescent="0.3">
      <c r="A1106">
        <v>29</v>
      </c>
      <c r="B1106">
        <v>598</v>
      </c>
      <c r="C1106" t="s">
        <v>17</v>
      </c>
      <c r="D1106" t="s">
        <v>18</v>
      </c>
      <c r="E1106">
        <v>91</v>
      </c>
      <c r="F1106" t="s">
        <v>19</v>
      </c>
      <c r="G1106">
        <v>2451</v>
      </c>
      <c r="H1106">
        <v>22376</v>
      </c>
      <c r="I1106">
        <v>18</v>
      </c>
      <c r="J1106">
        <v>5</v>
      </c>
      <c r="K1106">
        <v>1</v>
      </c>
      <c r="L1106">
        <v>0</v>
      </c>
      <c r="M1106">
        <v>0</v>
      </c>
      <c r="N1106">
        <v>0</v>
      </c>
      <c r="P1106">
        <f>G1106*I1106/100</f>
        <v>441.18</v>
      </c>
      <c r="Q1106">
        <f t="shared" si="17"/>
        <v>29412</v>
      </c>
      <c r="R1106">
        <f>K1106/J1106</f>
        <v>0.2</v>
      </c>
      <c r="S1106">
        <v>2020</v>
      </c>
    </row>
    <row r="1107" spans="1:19" x14ac:dyDescent="0.3">
      <c r="A1107">
        <v>33</v>
      </c>
      <c r="B1107">
        <v>1242</v>
      </c>
      <c r="C1107" t="s">
        <v>14</v>
      </c>
      <c r="D1107" t="s">
        <v>18</v>
      </c>
      <c r="E1107">
        <v>46</v>
      </c>
      <c r="F1107" t="s">
        <v>16</v>
      </c>
      <c r="G1107">
        <v>6392</v>
      </c>
      <c r="H1107">
        <v>10589</v>
      </c>
      <c r="I1107">
        <v>13</v>
      </c>
      <c r="J1107">
        <v>8</v>
      </c>
      <c r="K1107">
        <v>2</v>
      </c>
      <c r="L1107">
        <v>2</v>
      </c>
      <c r="M1107">
        <v>2</v>
      </c>
      <c r="N1107">
        <v>2</v>
      </c>
      <c r="P1107">
        <f>G1107*I1107/100</f>
        <v>830.96</v>
      </c>
      <c r="Q1107">
        <f t="shared" si="17"/>
        <v>76704</v>
      </c>
      <c r="R1107">
        <f>K1107/J1107</f>
        <v>0.25</v>
      </c>
      <c r="S1107">
        <v>2020</v>
      </c>
    </row>
    <row r="1108" spans="1:19" x14ac:dyDescent="0.3">
      <c r="A1108">
        <v>30</v>
      </c>
      <c r="B1108">
        <v>740</v>
      </c>
      <c r="C1108" t="s">
        <v>14</v>
      </c>
      <c r="D1108" t="s">
        <v>18</v>
      </c>
      <c r="E1108">
        <v>64</v>
      </c>
      <c r="F1108" t="s">
        <v>16</v>
      </c>
      <c r="G1108">
        <v>9714</v>
      </c>
      <c r="H1108">
        <v>5323</v>
      </c>
      <c r="I1108">
        <v>11</v>
      </c>
      <c r="J1108">
        <v>10</v>
      </c>
      <c r="K1108">
        <v>10</v>
      </c>
      <c r="L1108">
        <v>8</v>
      </c>
      <c r="M1108">
        <v>6</v>
      </c>
      <c r="N1108">
        <v>7</v>
      </c>
      <c r="P1108">
        <f>G1108*I1108/100</f>
        <v>1068.54</v>
      </c>
      <c r="Q1108">
        <f t="shared" si="17"/>
        <v>116568</v>
      </c>
      <c r="R1108">
        <f>K1108/J1108</f>
        <v>1</v>
      </c>
      <c r="S1108">
        <v>2020</v>
      </c>
    </row>
    <row r="1109" spans="1:19" x14ac:dyDescent="0.3">
      <c r="A1109">
        <v>38</v>
      </c>
      <c r="B1109">
        <v>888</v>
      </c>
      <c r="C1109" t="s">
        <v>26</v>
      </c>
      <c r="D1109" t="s">
        <v>18</v>
      </c>
      <c r="E1109">
        <v>71</v>
      </c>
      <c r="F1109" t="s">
        <v>26</v>
      </c>
      <c r="G1109">
        <v>6077</v>
      </c>
      <c r="H1109">
        <v>14814</v>
      </c>
      <c r="I1109">
        <v>11</v>
      </c>
      <c r="J1109">
        <v>10</v>
      </c>
      <c r="K1109">
        <v>6</v>
      </c>
      <c r="L1109">
        <v>3</v>
      </c>
      <c r="M1109">
        <v>1</v>
      </c>
      <c r="N1109">
        <v>2</v>
      </c>
      <c r="P1109">
        <f>G1109*I1109/100</f>
        <v>668.47</v>
      </c>
      <c r="Q1109">
        <f t="shared" si="17"/>
        <v>72924</v>
      </c>
      <c r="R1109">
        <f>K1109/J1109</f>
        <v>0.6</v>
      </c>
      <c r="S1109">
        <v>2020</v>
      </c>
    </row>
    <row r="1110" spans="1:19" x14ac:dyDescent="0.3">
      <c r="A1110">
        <v>35</v>
      </c>
      <c r="B1110">
        <v>992</v>
      </c>
      <c r="C1110" t="s">
        <v>17</v>
      </c>
      <c r="D1110" t="s">
        <v>18</v>
      </c>
      <c r="E1110">
        <v>68</v>
      </c>
      <c r="F1110" t="s">
        <v>20</v>
      </c>
      <c r="G1110">
        <v>2450</v>
      </c>
      <c r="H1110">
        <v>21731</v>
      </c>
      <c r="I1110">
        <v>19</v>
      </c>
      <c r="J1110">
        <v>3</v>
      </c>
      <c r="K1110">
        <v>3</v>
      </c>
      <c r="L1110">
        <v>0</v>
      </c>
      <c r="M1110">
        <v>1</v>
      </c>
      <c r="N1110">
        <v>2</v>
      </c>
      <c r="P1110">
        <f>G1110*I1110/100</f>
        <v>465.5</v>
      </c>
      <c r="Q1110">
        <f t="shared" si="17"/>
        <v>29400</v>
      </c>
      <c r="R1110">
        <f>K1110/J1110</f>
        <v>1</v>
      </c>
      <c r="S1110">
        <v>2020</v>
      </c>
    </row>
    <row r="1111" spans="1:19" x14ac:dyDescent="0.3">
      <c r="A1111">
        <v>30</v>
      </c>
      <c r="B1111">
        <v>1288</v>
      </c>
      <c r="C1111" t="s">
        <v>14</v>
      </c>
      <c r="D1111" t="s">
        <v>18</v>
      </c>
      <c r="E1111">
        <v>33</v>
      </c>
      <c r="F1111" t="s">
        <v>16</v>
      </c>
      <c r="G1111">
        <v>9250</v>
      </c>
      <c r="H1111">
        <v>17799</v>
      </c>
      <c r="I1111">
        <v>12</v>
      </c>
      <c r="J1111">
        <v>9</v>
      </c>
      <c r="K1111">
        <v>4</v>
      </c>
      <c r="L1111">
        <v>2</v>
      </c>
      <c r="M1111">
        <v>1</v>
      </c>
      <c r="N1111">
        <v>3</v>
      </c>
      <c r="P1111">
        <f>G1111*I1111/100</f>
        <v>1110</v>
      </c>
      <c r="Q1111">
        <f t="shared" si="17"/>
        <v>111000</v>
      </c>
      <c r="R1111">
        <f>K1111/J1111</f>
        <v>0.44444444444444442</v>
      </c>
      <c r="S1111">
        <v>2020</v>
      </c>
    </row>
    <row r="1112" spans="1:19" x14ac:dyDescent="0.3">
      <c r="A1112">
        <v>35</v>
      </c>
      <c r="B1112">
        <v>104</v>
      </c>
      <c r="C1112" t="s">
        <v>17</v>
      </c>
      <c r="D1112" t="s">
        <v>15</v>
      </c>
      <c r="E1112">
        <v>69</v>
      </c>
      <c r="F1112" t="s">
        <v>20</v>
      </c>
      <c r="G1112">
        <v>2074</v>
      </c>
      <c r="H1112">
        <v>26619</v>
      </c>
      <c r="I1112">
        <v>12</v>
      </c>
      <c r="J1112">
        <v>1</v>
      </c>
      <c r="K1112">
        <v>1</v>
      </c>
      <c r="L1112">
        <v>0</v>
      </c>
      <c r="M1112">
        <v>0</v>
      </c>
      <c r="N1112">
        <v>0</v>
      </c>
      <c r="P1112">
        <f>G1112*I1112/100</f>
        <v>248.88</v>
      </c>
      <c r="Q1112">
        <f t="shared" si="17"/>
        <v>24888</v>
      </c>
      <c r="R1112">
        <f>K1112/J1112</f>
        <v>1</v>
      </c>
      <c r="S1112">
        <v>2020</v>
      </c>
    </row>
    <row r="1113" spans="1:19" x14ac:dyDescent="0.3">
      <c r="A1113">
        <v>53</v>
      </c>
      <c r="B1113">
        <v>607</v>
      </c>
      <c r="C1113" t="s">
        <v>17</v>
      </c>
      <c r="D1113" t="s">
        <v>15</v>
      </c>
      <c r="E1113">
        <v>78</v>
      </c>
      <c r="F1113" t="s">
        <v>21</v>
      </c>
      <c r="G1113">
        <v>10169</v>
      </c>
      <c r="H1113">
        <v>14618</v>
      </c>
      <c r="I1113">
        <v>16</v>
      </c>
      <c r="J1113">
        <v>34</v>
      </c>
      <c r="K1113">
        <v>33</v>
      </c>
      <c r="L1113">
        <v>7</v>
      </c>
      <c r="M1113">
        <v>1</v>
      </c>
      <c r="N1113">
        <v>9</v>
      </c>
      <c r="P1113">
        <f>G1113*I1113/100</f>
        <v>1627.04</v>
      </c>
      <c r="Q1113">
        <f t="shared" si="17"/>
        <v>122028</v>
      </c>
      <c r="R1113">
        <f>K1113/J1113</f>
        <v>0.97058823529411764</v>
      </c>
      <c r="S1113">
        <v>2020</v>
      </c>
    </row>
    <row r="1114" spans="1:19" x14ac:dyDescent="0.3">
      <c r="A1114">
        <v>38</v>
      </c>
      <c r="B1114">
        <v>903</v>
      </c>
      <c r="C1114" t="s">
        <v>17</v>
      </c>
      <c r="D1114" t="s">
        <v>18</v>
      </c>
      <c r="E1114">
        <v>81</v>
      </c>
      <c r="F1114" t="s">
        <v>21</v>
      </c>
      <c r="G1114">
        <v>4855</v>
      </c>
      <c r="H1114">
        <v>7653</v>
      </c>
      <c r="I1114">
        <v>11</v>
      </c>
      <c r="J1114">
        <v>7</v>
      </c>
      <c r="K1114">
        <v>5</v>
      </c>
      <c r="L1114">
        <v>2</v>
      </c>
      <c r="M1114">
        <v>1</v>
      </c>
      <c r="N1114">
        <v>4</v>
      </c>
      <c r="P1114">
        <f>G1114*I1114/100</f>
        <v>534.04999999999995</v>
      </c>
      <c r="Q1114">
        <f t="shared" si="17"/>
        <v>58260</v>
      </c>
      <c r="R1114">
        <f>K1114/J1114</f>
        <v>0.7142857142857143</v>
      </c>
      <c r="S1114">
        <v>2020</v>
      </c>
    </row>
    <row r="1115" spans="1:19" x14ac:dyDescent="0.3">
      <c r="A1115">
        <v>32</v>
      </c>
      <c r="B1115">
        <v>1200</v>
      </c>
      <c r="C1115" t="s">
        <v>17</v>
      </c>
      <c r="D1115" t="s">
        <v>18</v>
      </c>
      <c r="E1115">
        <v>62</v>
      </c>
      <c r="F1115" t="s">
        <v>19</v>
      </c>
      <c r="G1115">
        <v>4087</v>
      </c>
      <c r="H1115">
        <v>25174</v>
      </c>
      <c r="I1115">
        <v>14</v>
      </c>
      <c r="J1115">
        <v>9</v>
      </c>
      <c r="K1115">
        <v>6</v>
      </c>
      <c r="L1115">
        <v>5</v>
      </c>
      <c r="M1115">
        <v>1</v>
      </c>
      <c r="N1115">
        <v>2</v>
      </c>
      <c r="P1115">
        <f>G1115*I1115/100</f>
        <v>572.17999999999995</v>
      </c>
      <c r="Q1115">
        <f t="shared" si="17"/>
        <v>49044</v>
      </c>
      <c r="R1115">
        <f>K1115/J1115</f>
        <v>0.66666666666666663</v>
      </c>
      <c r="S1115">
        <v>2020</v>
      </c>
    </row>
    <row r="1116" spans="1:19" x14ac:dyDescent="0.3">
      <c r="A1116">
        <v>48</v>
      </c>
      <c r="B1116">
        <v>1108</v>
      </c>
      <c r="C1116" t="s">
        <v>17</v>
      </c>
      <c r="D1116" t="s">
        <v>15</v>
      </c>
      <c r="E1116">
        <v>65</v>
      </c>
      <c r="F1116" t="s">
        <v>19</v>
      </c>
      <c r="G1116">
        <v>2367</v>
      </c>
      <c r="H1116">
        <v>16530</v>
      </c>
      <c r="I1116">
        <v>12</v>
      </c>
      <c r="J1116">
        <v>10</v>
      </c>
      <c r="K1116">
        <v>8</v>
      </c>
      <c r="L1116">
        <v>2</v>
      </c>
      <c r="M1116">
        <v>7</v>
      </c>
      <c r="N1116">
        <v>6</v>
      </c>
      <c r="P1116">
        <f>G1116*I1116/100</f>
        <v>284.04000000000002</v>
      </c>
      <c r="Q1116">
        <f t="shared" si="17"/>
        <v>28404</v>
      </c>
      <c r="R1116">
        <f>K1116/J1116</f>
        <v>0.8</v>
      </c>
      <c r="S1116">
        <v>2020</v>
      </c>
    </row>
    <row r="1117" spans="1:19" x14ac:dyDescent="0.3">
      <c r="A1117">
        <v>34</v>
      </c>
      <c r="B1117">
        <v>479</v>
      </c>
      <c r="C1117" t="s">
        <v>17</v>
      </c>
      <c r="D1117" t="s">
        <v>18</v>
      </c>
      <c r="E1117">
        <v>35</v>
      </c>
      <c r="F1117" t="s">
        <v>19</v>
      </c>
      <c r="G1117">
        <v>2972</v>
      </c>
      <c r="H1117">
        <v>22061</v>
      </c>
      <c r="I1117">
        <v>13</v>
      </c>
      <c r="J1117">
        <v>1</v>
      </c>
      <c r="K1117">
        <v>1</v>
      </c>
      <c r="L1117">
        <v>0</v>
      </c>
      <c r="M1117">
        <v>0</v>
      </c>
      <c r="N1117">
        <v>0</v>
      </c>
      <c r="P1117">
        <f>G1117*I1117/100</f>
        <v>386.36</v>
      </c>
      <c r="Q1117">
        <f t="shared" si="17"/>
        <v>35664</v>
      </c>
      <c r="R1117">
        <f>K1117/J1117</f>
        <v>1</v>
      </c>
      <c r="S1117">
        <v>2020</v>
      </c>
    </row>
    <row r="1118" spans="1:19" x14ac:dyDescent="0.3">
      <c r="A1118">
        <v>55</v>
      </c>
      <c r="B1118">
        <v>685</v>
      </c>
      <c r="C1118" t="s">
        <v>14</v>
      </c>
      <c r="D1118" t="s">
        <v>18</v>
      </c>
      <c r="E1118">
        <v>60</v>
      </c>
      <c r="F1118" t="s">
        <v>23</v>
      </c>
      <c r="G1118">
        <v>19586</v>
      </c>
      <c r="H1118">
        <v>23037</v>
      </c>
      <c r="I1118">
        <v>21</v>
      </c>
      <c r="J1118">
        <v>36</v>
      </c>
      <c r="K1118">
        <v>36</v>
      </c>
      <c r="L1118">
        <v>6</v>
      </c>
      <c r="M1118">
        <v>2</v>
      </c>
      <c r="N1118">
        <v>13</v>
      </c>
      <c r="P1118">
        <f>G1118*I1118/100</f>
        <v>4113.0600000000004</v>
      </c>
      <c r="Q1118">
        <f t="shared" si="17"/>
        <v>235032</v>
      </c>
      <c r="R1118">
        <f>K1118/J1118</f>
        <v>1</v>
      </c>
      <c r="S1118">
        <v>2020</v>
      </c>
    </row>
    <row r="1119" spans="1:19" x14ac:dyDescent="0.3">
      <c r="A1119">
        <v>34</v>
      </c>
      <c r="B1119">
        <v>1351</v>
      </c>
      <c r="C1119" t="s">
        <v>17</v>
      </c>
      <c r="D1119" t="s">
        <v>18</v>
      </c>
      <c r="E1119">
        <v>45</v>
      </c>
      <c r="F1119" t="s">
        <v>19</v>
      </c>
      <c r="G1119">
        <v>5484</v>
      </c>
      <c r="H1119">
        <v>13008</v>
      </c>
      <c r="I1119">
        <v>17</v>
      </c>
      <c r="J1119">
        <v>9</v>
      </c>
      <c r="K1119">
        <v>2</v>
      </c>
      <c r="L1119">
        <v>2</v>
      </c>
      <c r="M1119">
        <v>2</v>
      </c>
      <c r="N1119">
        <v>1</v>
      </c>
      <c r="P1119">
        <f>G1119*I1119/100</f>
        <v>932.28</v>
      </c>
      <c r="Q1119">
        <f t="shared" si="17"/>
        <v>65808</v>
      </c>
      <c r="R1119">
        <f>K1119/J1119</f>
        <v>0.22222222222222221</v>
      </c>
      <c r="S1119">
        <v>2020</v>
      </c>
    </row>
    <row r="1120" spans="1:19" x14ac:dyDescent="0.3">
      <c r="A1120">
        <v>26</v>
      </c>
      <c r="B1120">
        <v>474</v>
      </c>
      <c r="C1120" t="s">
        <v>17</v>
      </c>
      <c r="D1120" t="s">
        <v>15</v>
      </c>
      <c r="E1120">
        <v>89</v>
      </c>
      <c r="F1120" t="s">
        <v>19</v>
      </c>
      <c r="G1120">
        <v>2061</v>
      </c>
      <c r="H1120">
        <v>11133</v>
      </c>
      <c r="I1120">
        <v>21</v>
      </c>
      <c r="J1120">
        <v>1</v>
      </c>
      <c r="K1120">
        <v>1</v>
      </c>
      <c r="L1120">
        <v>0</v>
      </c>
      <c r="M1120">
        <v>0</v>
      </c>
      <c r="N1120">
        <v>0</v>
      </c>
      <c r="P1120">
        <f>G1120*I1120/100</f>
        <v>432.81</v>
      </c>
      <c r="Q1120">
        <f t="shared" si="17"/>
        <v>24732</v>
      </c>
      <c r="R1120">
        <f>K1120/J1120</f>
        <v>1</v>
      </c>
      <c r="S1120">
        <v>2020</v>
      </c>
    </row>
    <row r="1121" spans="1:19" x14ac:dyDescent="0.3">
      <c r="A1121">
        <v>38</v>
      </c>
      <c r="B1121">
        <v>1245</v>
      </c>
      <c r="C1121" t="s">
        <v>14</v>
      </c>
      <c r="D1121" t="s">
        <v>18</v>
      </c>
      <c r="E1121">
        <v>80</v>
      </c>
      <c r="F1121" t="s">
        <v>16</v>
      </c>
      <c r="G1121">
        <v>9924</v>
      </c>
      <c r="H1121">
        <v>12355</v>
      </c>
      <c r="I1121">
        <v>11</v>
      </c>
      <c r="J1121">
        <v>10</v>
      </c>
      <c r="K1121">
        <v>9</v>
      </c>
      <c r="L1121">
        <v>8</v>
      </c>
      <c r="M1121">
        <v>7</v>
      </c>
      <c r="N1121">
        <v>7</v>
      </c>
      <c r="P1121">
        <f>G1121*I1121/100</f>
        <v>1091.6400000000001</v>
      </c>
      <c r="Q1121">
        <f t="shared" si="17"/>
        <v>119088</v>
      </c>
      <c r="R1121">
        <f>K1121/J1121</f>
        <v>0.9</v>
      </c>
      <c r="S1121">
        <v>2020</v>
      </c>
    </row>
    <row r="1122" spans="1:19" x14ac:dyDescent="0.3">
      <c r="A1122">
        <v>38</v>
      </c>
      <c r="B1122">
        <v>437</v>
      </c>
      <c r="C1122" t="s">
        <v>14</v>
      </c>
      <c r="D1122" t="s">
        <v>15</v>
      </c>
      <c r="E1122">
        <v>90</v>
      </c>
      <c r="F1122" t="s">
        <v>16</v>
      </c>
      <c r="G1122">
        <v>4198</v>
      </c>
      <c r="H1122">
        <v>16379</v>
      </c>
      <c r="I1122">
        <v>12</v>
      </c>
      <c r="J1122">
        <v>8</v>
      </c>
      <c r="K1122">
        <v>3</v>
      </c>
      <c r="L1122">
        <v>2</v>
      </c>
      <c r="M1122">
        <v>1</v>
      </c>
      <c r="N1122">
        <v>2</v>
      </c>
      <c r="P1122">
        <f>G1122*I1122/100</f>
        <v>503.76</v>
      </c>
      <c r="Q1122">
        <f t="shared" si="17"/>
        <v>50376</v>
      </c>
      <c r="R1122">
        <f>K1122/J1122</f>
        <v>0.375</v>
      </c>
      <c r="S1122">
        <v>2020</v>
      </c>
    </row>
    <row r="1123" spans="1:19" x14ac:dyDescent="0.3">
      <c r="A1123">
        <v>36</v>
      </c>
      <c r="B1123">
        <v>884</v>
      </c>
      <c r="C1123" t="s">
        <v>14</v>
      </c>
      <c r="D1123" t="s">
        <v>15</v>
      </c>
      <c r="E1123">
        <v>73</v>
      </c>
      <c r="F1123" t="s">
        <v>16</v>
      </c>
      <c r="G1123">
        <v>6815</v>
      </c>
      <c r="H1123">
        <v>21447</v>
      </c>
      <c r="I1123">
        <v>13</v>
      </c>
      <c r="J1123">
        <v>15</v>
      </c>
      <c r="K1123">
        <v>1</v>
      </c>
      <c r="L1123">
        <v>0</v>
      </c>
      <c r="M1123">
        <v>0</v>
      </c>
      <c r="N1123">
        <v>0</v>
      </c>
      <c r="P1123">
        <f>G1123*I1123/100</f>
        <v>885.95</v>
      </c>
      <c r="Q1123">
        <f t="shared" si="17"/>
        <v>81780</v>
      </c>
      <c r="R1123">
        <f>K1123/J1123</f>
        <v>6.6666666666666666E-2</v>
      </c>
      <c r="S1123">
        <v>2020</v>
      </c>
    </row>
    <row r="1124" spans="1:19" x14ac:dyDescent="0.3">
      <c r="A1124">
        <v>29</v>
      </c>
      <c r="B1124">
        <v>1370</v>
      </c>
      <c r="C1124" t="s">
        <v>17</v>
      </c>
      <c r="D1124" t="s">
        <v>18</v>
      </c>
      <c r="E1124">
        <v>87</v>
      </c>
      <c r="F1124" t="s">
        <v>20</v>
      </c>
      <c r="G1124">
        <v>4723</v>
      </c>
      <c r="H1124">
        <v>16213</v>
      </c>
      <c r="I1124">
        <v>18</v>
      </c>
      <c r="J1124">
        <v>10</v>
      </c>
      <c r="K1124">
        <v>10</v>
      </c>
      <c r="L1124">
        <v>9</v>
      </c>
      <c r="M1124">
        <v>1</v>
      </c>
      <c r="N1124">
        <v>5</v>
      </c>
      <c r="P1124">
        <f>G1124*I1124/100</f>
        <v>850.14</v>
      </c>
      <c r="Q1124">
        <f t="shared" si="17"/>
        <v>56676</v>
      </c>
      <c r="R1124">
        <f>K1124/J1124</f>
        <v>1</v>
      </c>
      <c r="S1124">
        <v>2020</v>
      </c>
    </row>
    <row r="1125" spans="1:19" x14ac:dyDescent="0.3">
      <c r="A1125">
        <v>35</v>
      </c>
      <c r="B1125">
        <v>670</v>
      </c>
      <c r="C1125" t="s">
        <v>17</v>
      </c>
      <c r="D1125" t="s">
        <v>15</v>
      </c>
      <c r="E1125">
        <v>51</v>
      </c>
      <c r="F1125" t="s">
        <v>22</v>
      </c>
      <c r="G1125">
        <v>6142</v>
      </c>
      <c r="H1125">
        <v>4223</v>
      </c>
      <c r="I1125">
        <v>16</v>
      </c>
      <c r="J1125">
        <v>10</v>
      </c>
      <c r="K1125">
        <v>5</v>
      </c>
      <c r="L1125">
        <v>2</v>
      </c>
      <c r="M1125">
        <v>0</v>
      </c>
      <c r="N1125">
        <v>4</v>
      </c>
      <c r="P1125">
        <f>G1125*I1125/100</f>
        <v>982.72</v>
      </c>
      <c r="Q1125">
        <f t="shared" si="17"/>
        <v>73704</v>
      </c>
      <c r="R1125">
        <f>K1125/J1125</f>
        <v>0.5</v>
      </c>
      <c r="S1125">
        <v>2020</v>
      </c>
    </row>
    <row r="1126" spans="1:19" x14ac:dyDescent="0.3">
      <c r="A1126">
        <v>39</v>
      </c>
      <c r="B1126">
        <v>1462</v>
      </c>
      <c r="C1126" t="s">
        <v>14</v>
      </c>
      <c r="D1126" t="s">
        <v>18</v>
      </c>
      <c r="E1126">
        <v>38</v>
      </c>
      <c r="F1126" t="s">
        <v>16</v>
      </c>
      <c r="G1126">
        <v>8237</v>
      </c>
      <c r="H1126">
        <v>4658</v>
      </c>
      <c r="I1126">
        <v>11</v>
      </c>
      <c r="J1126">
        <v>11</v>
      </c>
      <c r="K1126">
        <v>7</v>
      </c>
      <c r="L1126">
        <v>6</v>
      </c>
      <c r="M1126">
        <v>7</v>
      </c>
      <c r="N1126">
        <v>6</v>
      </c>
      <c r="P1126">
        <f>G1126*I1126/100</f>
        <v>906.07</v>
      </c>
      <c r="Q1126">
        <f t="shared" si="17"/>
        <v>98844</v>
      </c>
      <c r="R1126">
        <f>K1126/J1126</f>
        <v>0.63636363636363635</v>
      </c>
      <c r="S1126">
        <v>2020</v>
      </c>
    </row>
    <row r="1127" spans="1:19" x14ac:dyDescent="0.3">
      <c r="A1127">
        <v>29</v>
      </c>
      <c r="B1127">
        <v>995</v>
      </c>
      <c r="C1127" t="s">
        <v>17</v>
      </c>
      <c r="D1127" t="s">
        <v>18</v>
      </c>
      <c r="E1127">
        <v>87</v>
      </c>
      <c r="F1127" t="s">
        <v>22</v>
      </c>
      <c r="G1127">
        <v>8853</v>
      </c>
      <c r="H1127">
        <v>24483</v>
      </c>
      <c r="I1127">
        <v>19</v>
      </c>
      <c r="J1127">
        <v>6</v>
      </c>
      <c r="K1127">
        <v>6</v>
      </c>
      <c r="L1127">
        <v>4</v>
      </c>
      <c r="M1127">
        <v>1</v>
      </c>
      <c r="N1127">
        <v>3</v>
      </c>
      <c r="P1127">
        <f>G1127*I1127/100</f>
        <v>1682.07</v>
      </c>
      <c r="Q1127">
        <f t="shared" si="17"/>
        <v>106236</v>
      </c>
      <c r="R1127">
        <f>K1127/J1127</f>
        <v>1</v>
      </c>
      <c r="S1127">
        <v>2020</v>
      </c>
    </row>
    <row r="1128" spans="1:19" x14ac:dyDescent="0.3">
      <c r="A1128">
        <v>50</v>
      </c>
      <c r="B1128">
        <v>264</v>
      </c>
      <c r="C1128" t="s">
        <v>14</v>
      </c>
      <c r="D1128" t="s">
        <v>18</v>
      </c>
      <c r="E1128">
        <v>59</v>
      </c>
      <c r="F1128" t="s">
        <v>23</v>
      </c>
      <c r="G1128">
        <v>19331</v>
      </c>
      <c r="H1128">
        <v>19519</v>
      </c>
      <c r="I1128">
        <v>16</v>
      </c>
      <c r="J1128">
        <v>27</v>
      </c>
      <c r="K1128">
        <v>1</v>
      </c>
      <c r="L1128">
        <v>0</v>
      </c>
      <c r="M1128">
        <v>0</v>
      </c>
      <c r="N1128">
        <v>0</v>
      </c>
      <c r="P1128">
        <f>G1128*I1128/100</f>
        <v>3092.96</v>
      </c>
      <c r="Q1128">
        <f t="shared" si="17"/>
        <v>231972</v>
      </c>
      <c r="R1128">
        <f>K1128/J1128</f>
        <v>3.7037037037037035E-2</v>
      </c>
      <c r="S1128">
        <v>2020</v>
      </c>
    </row>
    <row r="1129" spans="1:19" x14ac:dyDescent="0.3">
      <c r="A1129">
        <v>23</v>
      </c>
      <c r="B1129">
        <v>977</v>
      </c>
      <c r="C1129" t="s">
        <v>17</v>
      </c>
      <c r="D1129" t="s">
        <v>18</v>
      </c>
      <c r="E1129">
        <v>45</v>
      </c>
      <c r="F1129" t="s">
        <v>19</v>
      </c>
      <c r="G1129">
        <v>2073</v>
      </c>
      <c r="H1129">
        <v>12826</v>
      </c>
      <c r="I1129">
        <v>16</v>
      </c>
      <c r="J1129">
        <v>4</v>
      </c>
      <c r="K1129">
        <v>2</v>
      </c>
      <c r="L1129">
        <v>2</v>
      </c>
      <c r="M1129">
        <v>2</v>
      </c>
      <c r="N1129">
        <v>2</v>
      </c>
      <c r="P1129">
        <f>G1129*I1129/100</f>
        <v>331.68</v>
      </c>
      <c r="Q1129">
        <f t="shared" si="17"/>
        <v>24876</v>
      </c>
      <c r="R1129">
        <f>K1129/J1129</f>
        <v>0.5</v>
      </c>
      <c r="S1129">
        <v>2020</v>
      </c>
    </row>
    <row r="1130" spans="1:19" x14ac:dyDescent="0.3">
      <c r="A1130">
        <v>36</v>
      </c>
      <c r="B1130">
        <v>1302</v>
      </c>
      <c r="C1130" t="s">
        <v>17</v>
      </c>
      <c r="D1130" t="s">
        <v>18</v>
      </c>
      <c r="E1130">
        <v>80</v>
      </c>
      <c r="F1130" t="s">
        <v>20</v>
      </c>
      <c r="G1130">
        <v>5562</v>
      </c>
      <c r="H1130">
        <v>19711</v>
      </c>
      <c r="I1130">
        <v>13</v>
      </c>
      <c r="J1130">
        <v>9</v>
      </c>
      <c r="K1130">
        <v>3</v>
      </c>
      <c r="L1130">
        <v>2</v>
      </c>
      <c r="M1130">
        <v>0</v>
      </c>
      <c r="N1130">
        <v>2</v>
      </c>
      <c r="P1130">
        <f>G1130*I1130/100</f>
        <v>723.06</v>
      </c>
      <c r="Q1130">
        <f t="shared" si="17"/>
        <v>66744</v>
      </c>
      <c r="R1130">
        <f>K1130/J1130</f>
        <v>0.33333333333333331</v>
      </c>
      <c r="S1130">
        <v>2020</v>
      </c>
    </row>
    <row r="1131" spans="1:19" x14ac:dyDescent="0.3">
      <c r="A1131">
        <v>42</v>
      </c>
      <c r="B1131">
        <v>1059</v>
      </c>
      <c r="C1131" t="s">
        <v>17</v>
      </c>
      <c r="D1131" t="s">
        <v>18</v>
      </c>
      <c r="E1131">
        <v>93</v>
      </c>
      <c r="F1131" t="s">
        <v>23</v>
      </c>
      <c r="G1131">
        <v>19613</v>
      </c>
      <c r="H1131">
        <v>26362</v>
      </c>
      <c r="I1131">
        <v>22</v>
      </c>
      <c r="J1131">
        <v>24</v>
      </c>
      <c r="K1131">
        <v>1</v>
      </c>
      <c r="L1131">
        <v>0</v>
      </c>
      <c r="M1131">
        <v>0</v>
      </c>
      <c r="N1131">
        <v>1</v>
      </c>
      <c r="P1131">
        <f>G1131*I1131/100</f>
        <v>4314.8599999999997</v>
      </c>
      <c r="Q1131">
        <f t="shared" si="17"/>
        <v>235356</v>
      </c>
      <c r="R1131">
        <f>K1131/J1131</f>
        <v>4.1666666666666664E-2</v>
      </c>
      <c r="S1131">
        <v>2020</v>
      </c>
    </row>
    <row r="1132" spans="1:19" x14ac:dyDescent="0.3">
      <c r="A1132">
        <v>35</v>
      </c>
      <c r="B1132">
        <v>750</v>
      </c>
      <c r="C1132" t="s">
        <v>17</v>
      </c>
      <c r="D1132" t="s">
        <v>18</v>
      </c>
      <c r="E1132">
        <v>46</v>
      </c>
      <c r="F1132" t="s">
        <v>20</v>
      </c>
      <c r="G1132">
        <v>3407</v>
      </c>
      <c r="H1132">
        <v>25348</v>
      </c>
      <c r="I1132">
        <v>17</v>
      </c>
      <c r="J1132">
        <v>10</v>
      </c>
      <c r="K1132">
        <v>10</v>
      </c>
      <c r="L1132">
        <v>9</v>
      </c>
      <c r="M1132">
        <v>6</v>
      </c>
      <c r="N1132">
        <v>8</v>
      </c>
      <c r="P1132">
        <f>G1132*I1132/100</f>
        <v>579.19000000000005</v>
      </c>
      <c r="Q1132">
        <f t="shared" si="17"/>
        <v>40884</v>
      </c>
      <c r="R1132">
        <f>K1132/J1132</f>
        <v>1</v>
      </c>
      <c r="S1132">
        <v>2020</v>
      </c>
    </row>
    <row r="1133" spans="1:19" x14ac:dyDescent="0.3">
      <c r="A1133">
        <v>34</v>
      </c>
      <c r="B1133">
        <v>653</v>
      </c>
      <c r="C1133" t="s">
        <v>17</v>
      </c>
      <c r="D1133" t="s">
        <v>18</v>
      </c>
      <c r="E1133">
        <v>92</v>
      </c>
      <c r="F1133" t="s">
        <v>22</v>
      </c>
      <c r="G1133">
        <v>5063</v>
      </c>
      <c r="H1133">
        <v>15332</v>
      </c>
      <c r="I1133">
        <v>14</v>
      </c>
      <c r="J1133">
        <v>8</v>
      </c>
      <c r="K1133">
        <v>8</v>
      </c>
      <c r="L1133">
        <v>2</v>
      </c>
      <c r="M1133">
        <v>7</v>
      </c>
      <c r="N1133">
        <v>7</v>
      </c>
      <c r="P1133">
        <f>G1133*I1133/100</f>
        <v>708.82</v>
      </c>
      <c r="Q1133">
        <f t="shared" si="17"/>
        <v>60756</v>
      </c>
      <c r="R1133">
        <f>K1133/J1133</f>
        <v>1</v>
      </c>
      <c r="S1133">
        <v>2020</v>
      </c>
    </row>
    <row r="1134" spans="1:19" x14ac:dyDescent="0.3">
      <c r="A1134">
        <v>40</v>
      </c>
      <c r="B1134">
        <v>118</v>
      </c>
      <c r="C1134" t="s">
        <v>14</v>
      </c>
      <c r="D1134" t="s">
        <v>15</v>
      </c>
      <c r="E1134">
        <v>84</v>
      </c>
      <c r="F1134" t="s">
        <v>16</v>
      </c>
      <c r="G1134">
        <v>4639</v>
      </c>
      <c r="H1134">
        <v>11262</v>
      </c>
      <c r="I1134">
        <v>15</v>
      </c>
      <c r="J1134">
        <v>5</v>
      </c>
      <c r="K1134">
        <v>5</v>
      </c>
      <c r="L1134">
        <v>4</v>
      </c>
      <c r="M1134">
        <v>1</v>
      </c>
      <c r="N1134">
        <v>2</v>
      </c>
      <c r="P1134">
        <f>G1134*I1134/100</f>
        <v>695.85</v>
      </c>
      <c r="Q1134">
        <f t="shared" si="17"/>
        <v>55668</v>
      </c>
      <c r="R1134">
        <f>K1134/J1134</f>
        <v>1</v>
      </c>
      <c r="S1134">
        <v>2020</v>
      </c>
    </row>
    <row r="1135" spans="1:19" x14ac:dyDescent="0.3">
      <c r="A1135">
        <v>43</v>
      </c>
      <c r="B1135">
        <v>990</v>
      </c>
      <c r="C1135" t="s">
        <v>17</v>
      </c>
      <c r="D1135" t="s">
        <v>18</v>
      </c>
      <c r="E1135">
        <v>87</v>
      </c>
      <c r="F1135" t="s">
        <v>20</v>
      </c>
      <c r="G1135">
        <v>4876</v>
      </c>
      <c r="H1135">
        <v>5855</v>
      </c>
      <c r="I1135">
        <v>12</v>
      </c>
      <c r="J1135">
        <v>8</v>
      </c>
      <c r="K1135">
        <v>6</v>
      </c>
      <c r="L1135">
        <v>4</v>
      </c>
      <c r="M1135">
        <v>0</v>
      </c>
      <c r="N1135">
        <v>2</v>
      </c>
      <c r="P1135">
        <f>G1135*I1135/100</f>
        <v>585.12</v>
      </c>
      <c r="Q1135">
        <f t="shared" si="17"/>
        <v>58512</v>
      </c>
      <c r="R1135">
        <f>K1135/J1135</f>
        <v>0.75</v>
      </c>
      <c r="S1135">
        <v>2020</v>
      </c>
    </row>
    <row r="1136" spans="1:19" x14ac:dyDescent="0.3">
      <c r="A1136">
        <v>35</v>
      </c>
      <c r="B1136">
        <v>1349</v>
      </c>
      <c r="C1136" t="s">
        <v>17</v>
      </c>
      <c r="D1136" t="s">
        <v>18</v>
      </c>
      <c r="E1136">
        <v>63</v>
      </c>
      <c r="F1136" t="s">
        <v>20</v>
      </c>
      <c r="G1136">
        <v>2690</v>
      </c>
      <c r="H1136">
        <v>7713</v>
      </c>
      <c r="I1136">
        <v>18</v>
      </c>
      <c r="J1136">
        <v>1</v>
      </c>
      <c r="K1136">
        <v>1</v>
      </c>
      <c r="L1136">
        <v>0</v>
      </c>
      <c r="M1136">
        <v>0</v>
      </c>
      <c r="N1136">
        <v>1</v>
      </c>
      <c r="P1136">
        <f>G1136*I1136/100</f>
        <v>484.2</v>
      </c>
      <c r="Q1136">
        <f t="shared" si="17"/>
        <v>32280</v>
      </c>
      <c r="R1136">
        <f>K1136/J1136</f>
        <v>1</v>
      </c>
      <c r="S1136">
        <v>2020</v>
      </c>
    </row>
    <row r="1137" spans="1:19" x14ac:dyDescent="0.3">
      <c r="A1137">
        <v>46</v>
      </c>
      <c r="B1137">
        <v>563</v>
      </c>
      <c r="C1137" t="s">
        <v>14</v>
      </c>
      <c r="D1137" t="s">
        <v>18</v>
      </c>
      <c r="E1137">
        <v>56</v>
      </c>
      <c r="F1137" t="s">
        <v>23</v>
      </c>
      <c r="G1137">
        <v>17567</v>
      </c>
      <c r="H1137">
        <v>3156</v>
      </c>
      <c r="I1137">
        <v>15</v>
      </c>
      <c r="J1137">
        <v>27</v>
      </c>
      <c r="K1137">
        <v>26</v>
      </c>
      <c r="L1137">
        <v>0</v>
      </c>
      <c r="M1137">
        <v>0</v>
      </c>
      <c r="N1137">
        <v>12</v>
      </c>
      <c r="P1137">
        <f>G1137*I1137/100</f>
        <v>2635.05</v>
      </c>
      <c r="Q1137">
        <f t="shared" si="17"/>
        <v>210804</v>
      </c>
      <c r="R1137">
        <f>K1137/J1137</f>
        <v>0.96296296296296291</v>
      </c>
      <c r="S1137">
        <v>2020</v>
      </c>
    </row>
    <row r="1138" spans="1:19" x14ac:dyDescent="0.3">
      <c r="A1138">
        <v>28</v>
      </c>
      <c r="B1138">
        <v>329</v>
      </c>
      <c r="C1138" t="s">
        <v>17</v>
      </c>
      <c r="D1138" t="s">
        <v>18</v>
      </c>
      <c r="E1138">
        <v>51</v>
      </c>
      <c r="F1138" t="s">
        <v>20</v>
      </c>
      <c r="G1138">
        <v>2408</v>
      </c>
      <c r="H1138">
        <v>7324</v>
      </c>
      <c r="I1138">
        <v>17</v>
      </c>
      <c r="J1138">
        <v>1</v>
      </c>
      <c r="K1138">
        <v>1</v>
      </c>
      <c r="L1138">
        <v>1</v>
      </c>
      <c r="M1138">
        <v>0</v>
      </c>
      <c r="N1138">
        <v>0</v>
      </c>
      <c r="P1138">
        <f>G1138*I1138/100</f>
        <v>409.36</v>
      </c>
      <c r="Q1138">
        <f t="shared" si="17"/>
        <v>28896</v>
      </c>
      <c r="R1138">
        <f>K1138/J1138</f>
        <v>1</v>
      </c>
      <c r="S1138">
        <v>2020</v>
      </c>
    </row>
    <row r="1139" spans="1:19" x14ac:dyDescent="0.3">
      <c r="A1139">
        <v>22</v>
      </c>
      <c r="B1139">
        <v>457</v>
      </c>
      <c r="C1139" t="s">
        <v>17</v>
      </c>
      <c r="D1139" t="s">
        <v>15</v>
      </c>
      <c r="E1139">
        <v>85</v>
      </c>
      <c r="F1139" t="s">
        <v>19</v>
      </c>
      <c r="G1139">
        <v>2814</v>
      </c>
      <c r="H1139">
        <v>10293</v>
      </c>
      <c r="I1139">
        <v>14</v>
      </c>
      <c r="J1139">
        <v>4</v>
      </c>
      <c r="K1139">
        <v>4</v>
      </c>
      <c r="L1139">
        <v>2</v>
      </c>
      <c r="M1139">
        <v>1</v>
      </c>
      <c r="N1139">
        <v>3</v>
      </c>
      <c r="P1139">
        <f>G1139*I1139/100</f>
        <v>393.96</v>
      </c>
      <c r="Q1139">
        <f t="shared" si="17"/>
        <v>33768</v>
      </c>
      <c r="R1139">
        <f>K1139/J1139</f>
        <v>1</v>
      </c>
      <c r="S1139">
        <v>2020</v>
      </c>
    </row>
    <row r="1140" spans="1:19" x14ac:dyDescent="0.3">
      <c r="A1140">
        <v>50</v>
      </c>
      <c r="B1140">
        <v>1234</v>
      </c>
      <c r="C1140" t="s">
        <v>17</v>
      </c>
      <c r="D1140" t="s">
        <v>18</v>
      </c>
      <c r="E1140">
        <v>41</v>
      </c>
      <c r="F1140" t="s">
        <v>22</v>
      </c>
      <c r="G1140">
        <v>11245</v>
      </c>
      <c r="H1140">
        <v>20689</v>
      </c>
      <c r="I1140">
        <v>15</v>
      </c>
      <c r="J1140">
        <v>32</v>
      </c>
      <c r="K1140">
        <v>30</v>
      </c>
      <c r="L1140">
        <v>8</v>
      </c>
      <c r="M1140">
        <v>12</v>
      </c>
      <c r="N1140">
        <v>13</v>
      </c>
      <c r="P1140">
        <f>G1140*I1140/100</f>
        <v>1686.75</v>
      </c>
      <c r="Q1140">
        <f t="shared" si="17"/>
        <v>134940</v>
      </c>
      <c r="R1140">
        <f>K1140/J1140</f>
        <v>0.9375</v>
      </c>
      <c r="S1140">
        <v>2020</v>
      </c>
    </row>
    <row r="1141" spans="1:19" x14ac:dyDescent="0.3">
      <c r="A1141">
        <v>32</v>
      </c>
      <c r="B1141">
        <v>634</v>
      </c>
      <c r="C1141" t="s">
        <v>17</v>
      </c>
      <c r="D1141" t="s">
        <v>15</v>
      </c>
      <c r="E1141">
        <v>35</v>
      </c>
      <c r="F1141" t="s">
        <v>19</v>
      </c>
      <c r="G1141">
        <v>3312</v>
      </c>
      <c r="H1141">
        <v>18783</v>
      </c>
      <c r="I1141">
        <v>17</v>
      </c>
      <c r="J1141">
        <v>6</v>
      </c>
      <c r="K1141">
        <v>3</v>
      </c>
      <c r="L1141">
        <v>2</v>
      </c>
      <c r="M1141">
        <v>0</v>
      </c>
      <c r="N1141">
        <v>2</v>
      </c>
      <c r="P1141">
        <f>G1141*I1141/100</f>
        <v>563.04</v>
      </c>
      <c r="Q1141">
        <f t="shared" si="17"/>
        <v>39744</v>
      </c>
      <c r="R1141">
        <f>K1141/J1141</f>
        <v>0.5</v>
      </c>
      <c r="S1141">
        <v>2020</v>
      </c>
    </row>
    <row r="1142" spans="1:19" x14ac:dyDescent="0.3">
      <c r="A1142">
        <v>44</v>
      </c>
      <c r="B1142">
        <v>1313</v>
      </c>
      <c r="C1142" t="s">
        <v>17</v>
      </c>
      <c r="D1142" t="s">
        <v>15</v>
      </c>
      <c r="E1142">
        <v>31</v>
      </c>
      <c r="F1142" t="s">
        <v>25</v>
      </c>
      <c r="G1142">
        <v>19049</v>
      </c>
      <c r="H1142">
        <v>3549</v>
      </c>
      <c r="I1142">
        <v>14</v>
      </c>
      <c r="J1142">
        <v>23</v>
      </c>
      <c r="K1142">
        <v>22</v>
      </c>
      <c r="L1142">
        <v>7</v>
      </c>
      <c r="M1142">
        <v>1</v>
      </c>
      <c r="N1142">
        <v>10</v>
      </c>
      <c r="P1142">
        <f>G1142*I1142/100</f>
        <v>2666.86</v>
      </c>
      <c r="Q1142">
        <f t="shared" si="17"/>
        <v>228588</v>
      </c>
      <c r="R1142">
        <f>K1142/J1142</f>
        <v>0.95652173913043481</v>
      </c>
      <c r="S1142">
        <v>2020</v>
      </c>
    </row>
    <row r="1143" spans="1:19" x14ac:dyDescent="0.3">
      <c r="A1143">
        <v>30</v>
      </c>
      <c r="B1143">
        <v>241</v>
      </c>
      <c r="C1143" t="s">
        <v>17</v>
      </c>
      <c r="D1143" t="s">
        <v>18</v>
      </c>
      <c r="E1143">
        <v>48</v>
      </c>
      <c r="F1143" t="s">
        <v>19</v>
      </c>
      <c r="G1143">
        <v>2141</v>
      </c>
      <c r="H1143">
        <v>5348</v>
      </c>
      <c r="I1143">
        <v>12</v>
      </c>
      <c r="J1143">
        <v>6</v>
      </c>
      <c r="K1143">
        <v>6</v>
      </c>
      <c r="L1143">
        <v>4</v>
      </c>
      <c r="M1143">
        <v>1</v>
      </c>
      <c r="N1143">
        <v>1</v>
      </c>
      <c r="P1143">
        <f>G1143*I1143/100</f>
        <v>256.92</v>
      </c>
      <c r="Q1143">
        <f t="shared" si="17"/>
        <v>25692</v>
      </c>
      <c r="R1143">
        <f>K1143/J1143</f>
        <v>1</v>
      </c>
      <c r="S1143">
        <v>2020</v>
      </c>
    </row>
    <row r="1144" spans="1:19" x14ac:dyDescent="0.3">
      <c r="A1144">
        <v>45</v>
      </c>
      <c r="B1144">
        <v>1015</v>
      </c>
      <c r="C1144" t="s">
        <v>17</v>
      </c>
      <c r="D1144" t="s">
        <v>15</v>
      </c>
      <c r="E1144">
        <v>50</v>
      </c>
      <c r="F1144" t="s">
        <v>20</v>
      </c>
      <c r="G1144">
        <v>5769</v>
      </c>
      <c r="H1144">
        <v>23447</v>
      </c>
      <c r="I1144">
        <v>14</v>
      </c>
      <c r="J1144">
        <v>10</v>
      </c>
      <c r="K1144">
        <v>10</v>
      </c>
      <c r="L1144">
        <v>7</v>
      </c>
      <c r="M1144">
        <v>1</v>
      </c>
      <c r="N1144">
        <v>4</v>
      </c>
      <c r="P1144">
        <f>G1144*I1144/100</f>
        <v>807.66</v>
      </c>
      <c r="Q1144">
        <f t="shared" si="17"/>
        <v>69228</v>
      </c>
      <c r="R1144">
        <f>K1144/J1144</f>
        <v>1</v>
      </c>
      <c r="S1144">
        <v>2020</v>
      </c>
    </row>
    <row r="1145" spans="1:19" x14ac:dyDescent="0.3">
      <c r="A1145">
        <v>45</v>
      </c>
      <c r="B1145">
        <v>336</v>
      </c>
      <c r="C1145" t="s">
        <v>14</v>
      </c>
      <c r="D1145" t="s">
        <v>18</v>
      </c>
      <c r="E1145">
        <v>52</v>
      </c>
      <c r="F1145" t="s">
        <v>16</v>
      </c>
      <c r="G1145">
        <v>4385</v>
      </c>
      <c r="H1145">
        <v>24162</v>
      </c>
      <c r="I1145">
        <v>15</v>
      </c>
      <c r="J1145">
        <v>10</v>
      </c>
      <c r="K1145">
        <v>10</v>
      </c>
      <c r="L1145">
        <v>7</v>
      </c>
      <c r="M1145">
        <v>4</v>
      </c>
      <c r="N1145">
        <v>5</v>
      </c>
      <c r="P1145">
        <f>G1145*I1145/100</f>
        <v>657.75</v>
      </c>
      <c r="Q1145">
        <f t="shared" si="17"/>
        <v>52620</v>
      </c>
      <c r="R1145">
        <f>K1145/J1145</f>
        <v>1</v>
      </c>
      <c r="S1145">
        <v>2020</v>
      </c>
    </row>
    <row r="1146" spans="1:19" x14ac:dyDescent="0.3">
      <c r="A1146">
        <v>31</v>
      </c>
      <c r="B1146">
        <v>715</v>
      </c>
      <c r="C1146" t="s">
        <v>14</v>
      </c>
      <c r="D1146" t="s">
        <v>18</v>
      </c>
      <c r="E1146">
        <v>54</v>
      </c>
      <c r="F1146" t="s">
        <v>16</v>
      </c>
      <c r="G1146">
        <v>5332</v>
      </c>
      <c r="H1146">
        <v>21602</v>
      </c>
      <c r="I1146">
        <v>13</v>
      </c>
      <c r="J1146">
        <v>10</v>
      </c>
      <c r="K1146">
        <v>5</v>
      </c>
      <c r="L1146">
        <v>2</v>
      </c>
      <c r="M1146">
        <v>0</v>
      </c>
      <c r="N1146">
        <v>3</v>
      </c>
      <c r="P1146">
        <f>G1146*I1146/100</f>
        <v>693.16</v>
      </c>
      <c r="Q1146">
        <f t="shared" si="17"/>
        <v>63984</v>
      </c>
      <c r="R1146">
        <f>K1146/J1146</f>
        <v>0.5</v>
      </c>
      <c r="S1146">
        <v>2020</v>
      </c>
    </row>
    <row r="1147" spans="1:19" x14ac:dyDescent="0.3">
      <c r="A1147">
        <v>36</v>
      </c>
      <c r="B1147">
        <v>559</v>
      </c>
      <c r="C1147" t="s">
        <v>17</v>
      </c>
      <c r="D1147" t="s">
        <v>15</v>
      </c>
      <c r="E1147">
        <v>76</v>
      </c>
      <c r="F1147" t="s">
        <v>21</v>
      </c>
      <c r="G1147">
        <v>4663</v>
      </c>
      <c r="H1147">
        <v>12421</v>
      </c>
      <c r="I1147">
        <v>12</v>
      </c>
      <c r="J1147">
        <v>7</v>
      </c>
      <c r="K1147">
        <v>3</v>
      </c>
      <c r="L1147">
        <v>2</v>
      </c>
      <c r="M1147">
        <v>1</v>
      </c>
      <c r="N1147">
        <v>1</v>
      </c>
      <c r="P1147">
        <f>G1147*I1147/100</f>
        <v>559.55999999999995</v>
      </c>
      <c r="Q1147">
        <f t="shared" si="17"/>
        <v>55956</v>
      </c>
      <c r="R1147">
        <f>K1147/J1147</f>
        <v>0.42857142857142855</v>
      </c>
      <c r="S1147">
        <v>2020</v>
      </c>
    </row>
    <row r="1148" spans="1:19" x14ac:dyDescent="0.3">
      <c r="A1148">
        <v>34</v>
      </c>
      <c r="B1148">
        <v>426</v>
      </c>
      <c r="C1148" t="s">
        <v>17</v>
      </c>
      <c r="D1148" t="s">
        <v>18</v>
      </c>
      <c r="E1148">
        <v>42</v>
      </c>
      <c r="F1148" t="s">
        <v>21</v>
      </c>
      <c r="G1148">
        <v>4724</v>
      </c>
      <c r="H1148">
        <v>17000</v>
      </c>
      <c r="I1148">
        <v>13</v>
      </c>
      <c r="J1148">
        <v>9</v>
      </c>
      <c r="K1148">
        <v>9</v>
      </c>
      <c r="L1148">
        <v>7</v>
      </c>
      <c r="M1148">
        <v>7</v>
      </c>
      <c r="N1148">
        <v>2</v>
      </c>
      <c r="P1148">
        <f>G1148*I1148/100</f>
        <v>614.12</v>
      </c>
      <c r="Q1148">
        <f t="shared" si="17"/>
        <v>56688</v>
      </c>
      <c r="R1148">
        <f>K1148/J1148</f>
        <v>1</v>
      </c>
      <c r="S1148">
        <v>2020</v>
      </c>
    </row>
    <row r="1149" spans="1:19" x14ac:dyDescent="0.3">
      <c r="A1149">
        <v>49</v>
      </c>
      <c r="B1149">
        <v>722</v>
      </c>
      <c r="C1149" t="s">
        <v>17</v>
      </c>
      <c r="D1149" t="s">
        <v>15</v>
      </c>
      <c r="E1149">
        <v>84</v>
      </c>
      <c r="F1149" t="s">
        <v>20</v>
      </c>
      <c r="G1149">
        <v>3211</v>
      </c>
      <c r="H1149">
        <v>22102</v>
      </c>
      <c r="I1149">
        <v>14</v>
      </c>
      <c r="J1149">
        <v>10</v>
      </c>
      <c r="K1149">
        <v>9</v>
      </c>
      <c r="L1149">
        <v>6</v>
      </c>
      <c r="M1149">
        <v>1</v>
      </c>
      <c r="N1149">
        <v>4</v>
      </c>
      <c r="P1149">
        <f>G1149*I1149/100</f>
        <v>449.54</v>
      </c>
      <c r="Q1149">
        <f t="shared" si="17"/>
        <v>38532</v>
      </c>
      <c r="R1149">
        <f>K1149/J1149</f>
        <v>0.9</v>
      </c>
      <c r="S1149">
        <v>2020</v>
      </c>
    </row>
    <row r="1150" spans="1:19" x14ac:dyDescent="0.3">
      <c r="A1150">
        <v>39</v>
      </c>
      <c r="B1150">
        <v>1387</v>
      </c>
      <c r="C1150" t="s">
        <v>17</v>
      </c>
      <c r="D1150" t="s">
        <v>18</v>
      </c>
      <c r="E1150">
        <v>76</v>
      </c>
      <c r="F1150" t="s">
        <v>21</v>
      </c>
      <c r="G1150">
        <v>5377</v>
      </c>
      <c r="H1150">
        <v>3835</v>
      </c>
      <c r="I1150">
        <v>13</v>
      </c>
      <c r="J1150">
        <v>10</v>
      </c>
      <c r="K1150">
        <v>7</v>
      </c>
      <c r="L1150">
        <v>7</v>
      </c>
      <c r="M1150">
        <v>7</v>
      </c>
      <c r="N1150">
        <v>7</v>
      </c>
      <c r="P1150">
        <f>G1150*I1150/100</f>
        <v>699.01</v>
      </c>
      <c r="Q1150">
        <f t="shared" si="17"/>
        <v>64524</v>
      </c>
      <c r="R1150">
        <f>K1150/J1150</f>
        <v>0.7</v>
      </c>
      <c r="S1150">
        <v>2020</v>
      </c>
    </row>
    <row r="1151" spans="1:19" x14ac:dyDescent="0.3">
      <c r="A1151">
        <v>27</v>
      </c>
      <c r="B1151">
        <v>1302</v>
      </c>
      <c r="C1151" t="s">
        <v>17</v>
      </c>
      <c r="D1151" t="s">
        <v>18</v>
      </c>
      <c r="E1151">
        <v>67</v>
      </c>
      <c r="F1151" t="s">
        <v>20</v>
      </c>
      <c r="G1151">
        <v>4066</v>
      </c>
      <c r="H1151">
        <v>16290</v>
      </c>
      <c r="I1151">
        <v>11</v>
      </c>
      <c r="J1151">
        <v>7</v>
      </c>
      <c r="K1151">
        <v>7</v>
      </c>
      <c r="L1151">
        <v>7</v>
      </c>
      <c r="M1151">
        <v>0</v>
      </c>
      <c r="N1151">
        <v>7</v>
      </c>
      <c r="P1151">
        <f>G1151*I1151/100</f>
        <v>447.26</v>
      </c>
      <c r="Q1151">
        <f t="shared" si="17"/>
        <v>48792</v>
      </c>
      <c r="R1151">
        <f>K1151/J1151</f>
        <v>1</v>
      </c>
      <c r="S1151">
        <v>2020</v>
      </c>
    </row>
    <row r="1152" spans="1:19" x14ac:dyDescent="0.3">
      <c r="A1152">
        <v>35</v>
      </c>
      <c r="B1152">
        <v>819</v>
      </c>
      <c r="C1152" t="s">
        <v>17</v>
      </c>
      <c r="D1152" t="s">
        <v>18</v>
      </c>
      <c r="E1152">
        <v>48</v>
      </c>
      <c r="F1152" t="s">
        <v>19</v>
      </c>
      <c r="G1152">
        <v>5208</v>
      </c>
      <c r="H1152">
        <v>26312</v>
      </c>
      <c r="I1152">
        <v>11</v>
      </c>
      <c r="J1152">
        <v>16</v>
      </c>
      <c r="K1152">
        <v>16</v>
      </c>
      <c r="L1152">
        <v>15</v>
      </c>
      <c r="M1152">
        <v>1</v>
      </c>
      <c r="N1152">
        <v>10</v>
      </c>
      <c r="P1152">
        <f>G1152*I1152/100</f>
        <v>572.88</v>
      </c>
      <c r="Q1152">
        <f t="shared" si="17"/>
        <v>62496</v>
      </c>
      <c r="R1152">
        <f>K1152/J1152</f>
        <v>1</v>
      </c>
      <c r="S1152">
        <v>2020</v>
      </c>
    </row>
    <row r="1153" spans="1:19" x14ac:dyDescent="0.3">
      <c r="A1153">
        <v>28</v>
      </c>
      <c r="B1153">
        <v>580</v>
      </c>
      <c r="C1153" t="s">
        <v>17</v>
      </c>
      <c r="D1153" t="s">
        <v>15</v>
      </c>
      <c r="E1153">
        <v>39</v>
      </c>
      <c r="F1153" t="s">
        <v>21</v>
      </c>
      <c r="G1153">
        <v>4877</v>
      </c>
      <c r="H1153">
        <v>20460</v>
      </c>
      <c r="I1153">
        <v>21</v>
      </c>
      <c r="J1153">
        <v>6</v>
      </c>
      <c r="K1153">
        <v>5</v>
      </c>
      <c r="L1153">
        <v>3</v>
      </c>
      <c r="M1153">
        <v>0</v>
      </c>
      <c r="N1153">
        <v>0</v>
      </c>
      <c r="P1153">
        <f>G1153*I1153/100</f>
        <v>1024.17</v>
      </c>
      <c r="Q1153">
        <f t="shared" si="17"/>
        <v>58524</v>
      </c>
      <c r="R1153">
        <f>K1153/J1153</f>
        <v>0.83333333333333337</v>
      </c>
      <c r="S1153">
        <v>2020</v>
      </c>
    </row>
    <row r="1154" spans="1:19" x14ac:dyDescent="0.3">
      <c r="A1154">
        <v>21</v>
      </c>
      <c r="B1154">
        <v>546</v>
      </c>
      <c r="C1154" t="s">
        <v>17</v>
      </c>
      <c r="D1154" t="s">
        <v>18</v>
      </c>
      <c r="E1154">
        <v>97</v>
      </c>
      <c r="F1154" t="s">
        <v>19</v>
      </c>
      <c r="G1154">
        <v>3117</v>
      </c>
      <c r="H1154">
        <v>26009</v>
      </c>
      <c r="I1154">
        <v>18</v>
      </c>
      <c r="J1154">
        <v>3</v>
      </c>
      <c r="K1154">
        <v>2</v>
      </c>
      <c r="L1154">
        <v>2</v>
      </c>
      <c r="M1154">
        <v>2</v>
      </c>
      <c r="N1154">
        <v>2</v>
      </c>
      <c r="P1154">
        <f>G1154*I1154/100</f>
        <v>561.05999999999995</v>
      </c>
      <c r="Q1154">
        <f t="shared" si="17"/>
        <v>37404</v>
      </c>
      <c r="R1154">
        <f>K1154/J1154</f>
        <v>0.66666666666666663</v>
      </c>
      <c r="S1154">
        <v>2020</v>
      </c>
    </row>
    <row r="1155" spans="1:19" x14ac:dyDescent="0.3">
      <c r="A1155">
        <v>18</v>
      </c>
      <c r="B1155">
        <v>544</v>
      </c>
      <c r="C1155" t="s">
        <v>14</v>
      </c>
      <c r="D1155" t="s">
        <v>15</v>
      </c>
      <c r="E1155">
        <v>70</v>
      </c>
      <c r="F1155" t="s">
        <v>24</v>
      </c>
      <c r="G1155">
        <v>1569</v>
      </c>
      <c r="H1155">
        <v>18420</v>
      </c>
      <c r="I1155">
        <v>12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f>G1155*I1155/100</f>
        <v>188.28</v>
      </c>
      <c r="Q1155">
        <f t="shared" ref="Q1155:Q1218" si="18">G1155*12</f>
        <v>18828</v>
      </c>
      <c r="R1155" t="e">
        <f>K1155/J1155</f>
        <v>#DIV/0!</v>
      </c>
      <c r="S1155">
        <v>2020</v>
      </c>
    </row>
    <row r="1156" spans="1:19" x14ac:dyDescent="0.3">
      <c r="A1156">
        <v>47</v>
      </c>
      <c r="B1156">
        <v>1176</v>
      </c>
      <c r="C1156" t="s">
        <v>26</v>
      </c>
      <c r="D1156" t="s">
        <v>15</v>
      </c>
      <c r="E1156">
        <v>98</v>
      </c>
      <c r="F1156" t="s">
        <v>23</v>
      </c>
      <c r="G1156">
        <v>19658</v>
      </c>
      <c r="H1156">
        <v>5220</v>
      </c>
      <c r="I1156">
        <v>11</v>
      </c>
      <c r="J1156">
        <v>27</v>
      </c>
      <c r="K1156">
        <v>5</v>
      </c>
      <c r="L1156">
        <v>2</v>
      </c>
      <c r="M1156">
        <v>1</v>
      </c>
      <c r="N1156">
        <v>0</v>
      </c>
      <c r="P1156">
        <f>G1156*I1156/100</f>
        <v>2162.38</v>
      </c>
      <c r="Q1156">
        <f t="shared" si="18"/>
        <v>235896</v>
      </c>
      <c r="R1156">
        <f>K1156/J1156</f>
        <v>0.18518518518518517</v>
      </c>
      <c r="S1156">
        <v>2020</v>
      </c>
    </row>
    <row r="1157" spans="1:19" x14ac:dyDescent="0.3">
      <c r="A1157">
        <v>39</v>
      </c>
      <c r="B1157">
        <v>170</v>
      </c>
      <c r="C1157" t="s">
        <v>17</v>
      </c>
      <c r="D1157" t="s">
        <v>18</v>
      </c>
      <c r="E1157">
        <v>76</v>
      </c>
      <c r="F1157" t="s">
        <v>20</v>
      </c>
      <c r="G1157">
        <v>3069</v>
      </c>
      <c r="H1157">
        <v>10302</v>
      </c>
      <c r="I1157">
        <v>15</v>
      </c>
      <c r="J1157">
        <v>11</v>
      </c>
      <c r="K1157">
        <v>10</v>
      </c>
      <c r="L1157">
        <v>8</v>
      </c>
      <c r="M1157">
        <v>0</v>
      </c>
      <c r="N1157">
        <v>7</v>
      </c>
      <c r="P1157">
        <f>G1157*I1157/100</f>
        <v>460.35</v>
      </c>
      <c r="Q1157">
        <f t="shared" si="18"/>
        <v>36828</v>
      </c>
      <c r="R1157">
        <f>K1157/J1157</f>
        <v>0.90909090909090906</v>
      </c>
      <c r="S1157">
        <v>2020</v>
      </c>
    </row>
    <row r="1158" spans="1:19" x14ac:dyDescent="0.3">
      <c r="A1158">
        <v>40</v>
      </c>
      <c r="B1158">
        <v>884</v>
      </c>
      <c r="C1158" t="s">
        <v>17</v>
      </c>
      <c r="D1158" t="s">
        <v>15</v>
      </c>
      <c r="E1158">
        <v>80</v>
      </c>
      <c r="F1158" t="s">
        <v>21</v>
      </c>
      <c r="G1158">
        <v>10435</v>
      </c>
      <c r="H1158">
        <v>25800</v>
      </c>
      <c r="I1158">
        <v>13</v>
      </c>
      <c r="J1158">
        <v>18</v>
      </c>
      <c r="K1158">
        <v>18</v>
      </c>
      <c r="L1158">
        <v>15</v>
      </c>
      <c r="M1158">
        <v>14</v>
      </c>
      <c r="N1158">
        <v>12</v>
      </c>
      <c r="P1158">
        <f>G1158*I1158/100</f>
        <v>1356.55</v>
      </c>
      <c r="Q1158">
        <f t="shared" si="18"/>
        <v>125220</v>
      </c>
      <c r="R1158">
        <f>K1158/J1158</f>
        <v>1</v>
      </c>
      <c r="S1158">
        <v>2020</v>
      </c>
    </row>
    <row r="1159" spans="1:19" x14ac:dyDescent="0.3">
      <c r="A1159">
        <v>35</v>
      </c>
      <c r="B1159">
        <v>208</v>
      </c>
      <c r="C1159" t="s">
        <v>17</v>
      </c>
      <c r="D1159" t="s">
        <v>15</v>
      </c>
      <c r="E1159">
        <v>52</v>
      </c>
      <c r="F1159" t="s">
        <v>22</v>
      </c>
      <c r="G1159">
        <v>4148</v>
      </c>
      <c r="H1159">
        <v>12250</v>
      </c>
      <c r="I1159">
        <v>12</v>
      </c>
      <c r="J1159">
        <v>15</v>
      </c>
      <c r="K1159">
        <v>14</v>
      </c>
      <c r="L1159">
        <v>11</v>
      </c>
      <c r="M1159">
        <v>2</v>
      </c>
      <c r="N1159">
        <v>9</v>
      </c>
      <c r="P1159">
        <f>G1159*I1159/100</f>
        <v>497.76</v>
      </c>
      <c r="Q1159">
        <f t="shared" si="18"/>
        <v>49776</v>
      </c>
      <c r="R1159">
        <f>K1159/J1159</f>
        <v>0.93333333333333335</v>
      </c>
      <c r="S1159">
        <v>2020</v>
      </c>
    </row>
    <row r="1160" spans="1:19" x14ac:dyDescent="0.3">
      <c r="A1160">
        <v>37</v>
      </c>
      <c r="B1160">
        <v>671</v>
      </c>
      <c r="C1160" t="s">
        <v>17</v>
      </c>
      <c r="D1160" t="s">
        <v>18</v>
      </c>
      <c r="E1160">
        <v>85</v>
      </c>
      <c r="F1160" t="s">
        <v>21</v>
      </c>
      <c r="G1160">
        <v>5768</v>
      </c>
      <c r="H1160">
        <v>26493</v>
      </c>
      <c r="I1160">
        <v>17</v>
      </c>
      <c r="J1160">
        <v>9</v>
      </c>
      <c r="K1160">
        <v>4</v>
      </c>
      <c r="L1160">
        <v>3</v>
      </c>
      <c r="M1160">
        <v>0</v>
      </c>
      <c r="N1160">
        <v>2</v>
      </c>
      <c r="P1160">
        <f>G1160*I1160/100</f>
        <v>980.56</v>
      </c>
      <c r="Q1160">
        <f t="shared" si="18"/>
        <v>69216</v>
      </c>
      <c r="R1160">
        <f>K1160/J1160</f>
        <v>0.44444444444444442</v>
      </c>
      <c r="S1160">
        <v>2020</v>
      </c>
    </row>
    <row r="1161" spans="1:19" x14ac:dyDescent="0.3">
      <c r="A1161">
        <v>39</v>
      </c>
      <c r="B1161">
        <v>711</v>
      </c>
      <c r="C1161" t="s">
        <v>17</v>
      </c>
      <c r="D1161" t="s">
        <v>15</v>
      </c>
      <c r="E1161">
        <v>81</v>
      </c>
      <c r="F1161" t="s">
        <v>21</v>
      </c>
      <c r="G1161">
        <v>5042</v>
      </c>
      <c r="H1161">
        <v>3140</v>
      </c>
      <c r="I1161">
        <v>13</v>
      </c>
      <c r="J1161">
        <v>10</v>
      </c>
      <c r="K1161">
        <v>9</v>
      </c>
      <c r="L1161">
        <v>2</v>
      </c>
      <c r="M1161">
        <v>3</v>
      </c>
      <c r="N1161">
        <v>8</v>
      </c>
      <c r="P1161">
        <f>G1161*I1161/100</f>
        <v>655.46</v>
      </c>
      <c r="Q1161">
        <f t="shared" si="18"/>
        <v>60504</v>
      </c>
      <c r="R1161">
        <f>K1161/J1161</f>
        <v>0.9</v>
      </c>
      <c r="S1161">
        <v>2020</v>
      </c>
    </row>
    <row r="1162" spans="1:19" x14ac:dyDescent="0.3">
      <c r="A1162">
        <v>45</v>
      </c>
      <c r="B1162">
        <v>1329</v>
      </c>
      <c r="C1162" t="s">
        <v>17</v>
      </c>
      <c r="D1162" t="s">
        <v>15</v>
      </c>
      <c r="E1162">
        <v>59</v>
      </c>
      <c r="F1162" t="s">
        <v>21</v>
      </c>
      <c r="G1162">
        <v>5770</v>
      </c>
      <c r="H1162">
        <v>5388</v>
      </c>
      <c r="I1162">
        <v>19</v>
      </c>
      <c r="J1162">
        <v>10</v>
      </c>
      <c r="K1162">
        <v>10</v>
      </c>
      <c r="L1162">
        <v>7</v>
      </c>
      <c r="M1162">
        <v>3</v>
      </c>
      <c r="N1162">
        <v>9</v>
      </c>
      <c r="P1162">
        <f>G1162*I1162/100</f>
        <v>1096.3</v>
      </c>
      <c r="Q1162">
        <f t="shared" si="18"/>
        <v>69240</v>
      </c>
      <c r="R1162">
        <f>K1162/J1162</f>
        <v>1</v>
      </c>
      <c r="S1162">
        <v>2020</v>
      </c>
    </row>
    <row r="1163" spans="1:19" x14ac:dyDescent="0.3">
      <c r="A1163">
        <v>38</v>
      </c>
      <c r="B1163">
        <v>397</v>
      </c>
      <c r="C1163" t="s">
        <v>17</v>
      </c>
      <c r="D1163" t="s">
        <v>15</v>
      </c>
      <c r="E1163">
        <v>54</v>
      </c>
      <c r="F1163" t="s">
        <v>21</v>
      </c>
      <c r="G1163">
        <v>7756</v>
      </c>
      <c r="H1163">
        <v>14199</v>
      </c>
      <c r="I1163">
        <v>19</v>
      </c>
      <c r="J1163">
        <v>10</v>
      </c>
      <c r="K1163">
        <v>5</v>
      </c>
      <c r="L1163">
        <v>4</v>
      </c>
      <c r="M1163">
        <v>0</v>
      </c>
      <c r="N1163">
        <v>2</v>
      </c>
      <c r="P1163">
        <f>G1163*I1163/100</f>
        <v>1473.64</v>
      </c>
      <c r="Q1163">
        <f t="shared" si="18"/>
        <v>93072</v>
      </c>
      <c r="R1163">
        <f>K1163/J1163</f>
        <v>0.5</v>
      </c>
      <c r="S1163">
        <v>2020</v>
      </c>
    </row>
    <row r="1164" spans="1:19" x14ac:dyDescent="0.3">
      <c r="A1164">
        <v>35</v>
      </c>
      <c r="B1164">
        <v>737</v>
      </c>
      <c r="C1164" t="s">
        <v>14</v>
      </c>
      <c r="D1164" t="s">
        <v>18</v>
      </c>
      <c r="E1164">
        <v>55</v>
      </c>
      <c r="F1164" t="s">
        <v>16</v>
      </c>
      <c r="G1164">
        <v>10306</v>
      </c>
      <c r="H1164">
        <v>21530</v>
      </c>
      <c r="I1164">
        <v>17</v>
      </c>
      <c r="J1164">
        <v>15</v>
      </c>
      <c r="K1164">
        <v>13</v>
      </c>
      <c r="L1164">
        <v>12</v>
      </c>
      <c r="M1164">
        <v>6</v>
      </c>
      <c r="N1164">
        <v>0</v>
      </c>
      <c r="P1164">
        <f>G1164*I1164/100</f>
        <v>1752.02</v>
      </c>
      <c r="Q1164">
        <f t="shared" si="18"/>
        <v>123672</v>
      </c>
      <c r="R1164">
        <f>K1164/J1164</f>
        <v>0.8666666666666667</v>
      </c>
      <c r="S1164">
        <v>2020</v>
      </c>
    </row>
    <row r="1165" spans="1:19" x14ac:dyDescent="0.3">
      <c r="A1165">
        <v>37</v>
      </c>
      <c r="B1165">
        <v>1470</v>
      </c>
      <c r="C1165" t="s">
        <v>17</v>
      </c>
      <c r="D1165" t="s">
        <v>15</v>
      </c>
      <c r="E1165">
        <v>71</v>
      </c>
      <c r="F1165" t="s">
        <v>19</v>
      </c>
      <c r="G1165">
        <v>3936</v>
      </c>
      <c r="H1165">
        <v>9953</v>
      </c>
      <c r="I1165">
        <v>11</v>
      </c>
      <c r="J1165">
        <v>8</v>
      </c>
      <c r="K1165">
        <v>8</v>
      </c>
      <c r="L1165">
        <v>4</v>
      </c>
      <c r="M1165">
        <v>7</v>
      </c>
      <c r="N1165">
        <v>7</v>
      </c>
      <c r="P1165">
        <f>G1165*I1165/100</f>
        <v>432.96</v>
      </c>
      <c r="Q1165">
        <f t="shared" si="18"/>
        <v>47232</v>
      </c>
      <c r="R1165">
        <f>K1165/J1165</f>
        <v>1</v>
      </c>
      <c r="S1165">
        <v>2020</v>
      </c>
    </row>
    <row r="1166" spans="1:19" x14ac:dyDescent="0.3">
      <c r="A1166">
        <v>40</v>
      </c>
      <c r="B1166">
        <v>448</v>
      </c>
      <c r="C1166" t="s">
        <v>17</v>
      </c>
      <c r="D1166" t="s">
        <v>15</v>
      </c>
      <c r="E1166">
        <v>84</v>
      </c>
      <c r="F1166" t="s">
        <v>21</v>
      </c>
      <c r="G1166">
        <v>7945</v>
      </c>
      <c r="H1166">
        <v>19948</v>
      </c>
      <c r="I1166">
        <v>15</v>
      </c>
      <c r="J1166">
        <v>18</v>
      </c>
      <c r="K1166">
        <v>4</v>
      </c>
      <c r="L1166">
        <v>2</v>
      </c>
      <c r="M1166">
        <v>3</v>
      </c>
      <c r="N1166">
        <v>3</v>
      </c>
      <c r="P1166">
        <f>G1166*I1166/100</f>
        <v>1191.75</v>
      </c>
      <c r="Q1166">
        <f t="shared" si="18"/>
        <v>95340</v>
      </c>
      <c r="R1166">
        <f>K1166/J1166</f>
        <v>0.22222222222222221</v>
      </c>
      <c r="S1166">
        <v>2020</v>
      </c>
    </row>
    <row r="1167" spans="1:19" x14ac:dyDescent="0.3">
      <c r="A1167">
        <v>44</v>
      </c>
      <c r="B1167">
        <v>602</v>
      </c>
      <c r="C1167" t="s">
        <v>26</v>
      </c>
      <c r="D1167" t="s">
        <v>18</v>
      </c>
      <c r="E1167">
        <v>37</v>
      </c>
      <c r="F1167" t="s">
        <v>26</v>
      </c>
      <c r="G1167">
        <v>5743</v>
      </c>
      <c r="H1167">
        <v>10503</v>
      </c>
      <c r="I1167">
        <v>11</v>
      </c>
      <c r="J1167">
        <v>14</v>
      </c>
      <c r="K1167">
        <v>10</v>
      </c>
      <c r="L1167">
        <v>7</v>
      </c>
      <c r="M1167">
        <v>0</v>
      </c>
      <c r="N1167">
        <v>2</v>
      </c>
      <c r="P1167">
        <f>G1167*I1167/100</f>
        <v>631.73</v>
      </c>
      <c r="Q1167">
        <f t="shared" si="18"/>
        <v>68916</v>
      </c>
      <c r="R1167">
        <f>K1167/J1167</f>
        <v>0.7142857142857143</v>
      </c>
      <c r="S1167">
        <v>2020</v>
      </c>
    </row>
    <row r="1168" spans="1:19" x14ac:dyDescent="0.3">
      <c r="A1168">
        <v>48</v>
      </c>
      <c r="B1168">
        <v>365</v>
      </c>
      <c r="C1168" t="s">
        <v>17</v>
      </c>
      <c r="D1168" t="s">
        <v>18</v>
      </c>
      <c r="E1168">
        <v>89</v>
      </c>
      <c r="F1168" t="s">
        <v>23</v>
      </c>
      <c r="G1168">
        <v>15202</v>
      </c>
      <c r="H1168">
        <v>5602</v>
      </c>
      <c r="I1168">
        <v>25</v>
      </c>
      <c r="J1168">
        <v>23</v>
      </c>
      <c r="K1168">
        <v>2</v>
      </c>
      <c r="L1168">
        <v>2</v>
      </c>
      <c r="M1168">
        <v>2</v>
      </c>
      <c r="N1168">
        <v>2</v>
      </c>
      <c r="P1168">
        <f>G1168*I1168/100</f>
        <v>3800.5</v>
      </c>
      <c r="Q1168">
        <f t="shared" si="18"/>
        <v>182424</v>
      </c>
      <c r="R1168">
        <f>K1168/J1168</f>
        <v>8.6956521739130432E-2</v>
      </c>
      <c r="S1168">
        <v>2020</v>
      </c>
    </row>
    <row r="1169" spans="1:19" x14ac:dyDescent="0.3">
      <c r="A1169">
        <v>35</v>
      </c>
      <c r="B1169">
        <v>763</v>
      </c>
      <c r="C1169" t="s">
        <v>14</v>
      </c>
      <c r="D1169" t="s">
        <v>18</v>
      </c>
      <c r="E1169">
        <v>59</v>
      </c>
      <c r="F1169" t="s">
        <v>16</v>
      </c>
      <c r="G1169">
        <v>5440</v>
      </c>
      <c r="H1169">
        <v>22098</v>
      </c>
      <c r="I1169">
        <v>14</v>
      </c>
      <c r="J1169">
        <v>7</v>
      </c>
      <c r="K1169">
        <v>2</v>
      </c>
      <c r="L1169">
        <v>2</v>
      </c>
      <c r="M1169">
        <v>2</v>
      </c>
      <c r="N1169">
        <v>2</v>
      </c>
      <c r="P1169">
        <f>G1169*I1169/100</f>
        <v>761.6</v>
      </c>
      <c r="Q1169">
        <f t="shared" si="18"/>
        <v>65280</v>
      </c>
      <c r="R1169">
        <f>K1169/J1169</f>
        <v>0.2857142857142857</v>
      </c>
      <c r="S1169">
        <v>2020</v>
      </c>
    </row>
    <row r="1170" spans="1:19" x14ac:dyDescent="0.3">
      <c r="A1170">
        <v>24</v>
      </c>
      <c r="B1170">
        <v>567</v>
      </c>
      <c r="C1170" t="s">
        <v>17</v>
      </c>
      <c r="D1170" t="s">
        <v>15</v>
      </c>
      <c r="E1170">
        <v>32</v>
      </c>
      <c r="F1170" t="s">
        <v>19</v>
      </c>
      <c r="G1170">
        <v>3760</v>
      </c>
      <c r="H1170">
        <v>17218</v>
      </c>
      <c r="I1170">
        <v>13</v>
      </c>
      <c r="J1170">
        <v>6</v>
      </c>
      <c r="K1170">
        <v>6</v>
      </c>
      <c r="L1170">
        <v>3</v>
      </c>
      <c r="M1170">
        <v>1</v>
      </c>
      <c r="N1170">
        <v>3</v>
      </c>
      <c r="P1170">
        <f>G1170*I1170/100</f>
        <v>488.8</v>
      </c>
      <c r="Q1170">
        <f t="shared" si="18"/>
        <v>45120</v>
      </c>
      <c r="R1170">
        <f>K1170/J1170</f>
        <v>1</v>
      </c>
      <c r="S1170">
        <v>2020</v>
      </c>
    </row>
    <row r="1171" spans="1:19" x14ac:dyDescent="0.3">
      <c r="A1171">
        <v>27</v>
      </c>
      <c r="B1171">
        <v>486</v>
      </c>
      <c r="C1171" t="s">
        <v>17</v>
      </c>
      <c r="D1171" t="s">
        <v>15</v>
      </c>
      <c r="E1171">
        <v>86</v>
      </c>
      <c r="F1171" t="s">
        <v>19</v>
      </c>
      <c r="G1171">
        <v>3517</v>
      </c>
      <c r="H1171">
        <v>22490</v>
      </c>
      <c r="I1171">
        <v>17</v>
      </c>
      <c r="J1171">
        <v>5</v>
      </c>
      <c r="K1171">
        <v>3</v>
      </c>
      <c r="L1171">
        <v>2</v>
      </c>
      <c r="M1171">
        <v>0</v>
      </c>
      <c r="N1171">
        <v>2</v>
      </c>
      <c r="P1171">
        <f>G1171*I1171/100</f>
        <v>597.89</v>
      </c>
      <c r="Q1171">
        <f t="shared" si="18"/>
        <v>42204</v>
      </c>
      <c r="R1171">
        <f>K1171/J1171</f>
        <v>0.6</v>
      </c>
      <c r="S1171">
        <v>2020</v>
      </c>
    </row>
    <row r="1172" spans="1:19" x14ac:dyDescent="0.3">
      <c r="A1172">
        <v>27</v>
      </c>
      <c r="B1172">
        <v>591</v>
      </c>
      <c r="C1172" t="s">
        <v>17</v>
      </c>
      <c r="D1172" t="s">
        <v>18</v>
      </c>
      <c r="E1172">
        <v>87</v>
      </c>
      <c r="F1172" t="s">
        <v>19</v>
      </c>
      <c r="G1172">
        <v>2580</v>
      </c>
      <c r="H1172">
        <v>6297</v>
      </c>
      <c r="I1172">
        <v>13</v>
      </c>
      <c r="J1172">
        <v>6</v>
      </c>
      <c r="K1172">
        <v>4</v>
      </c>
      <c r="L1172">
        <v>2</v>
      </c>
      <c r="M1172">
        <v>1</v>
      </c>
      <c r="N1172">
        <v>2</v>
      </c>
      <c r="P1172">
        <f>G1172*I1172/100</f>
        <v>335.4</v>
      </c>
      <c r="Q1172">
        <f t="shared" si="18"/>
        <v>30960</v>
      </c>
      <c r="R1172">
        <f>K1172/J1172</f>
        <v>0.66666666666666663</v>
      </c>
      <c r="S1172">
        <v>2020</v>
      </c>
    </row>
    <row r="1173" spans="1:19" x14ac:dyDescent="0.3">
      <c r="A1173">
        <v>40</v>
      </c>
      <c r="B1173">
        <v>1329</v>
      </c>
      <c r="C1173" t="s">
        <v>17</v>
      </c>
      <c r="D1173" t="s">
        <v>18</v>
      </c>
      <c r="E1173">
        <v>73</v>
      </c>
      <c r="F1173" t="s">
        <v>20</v>
      </c>
      <c r="G1173">
        <v>2166</v>
      </c>
      <c r="H1173">
        <v>3339</v>
      </c>
      <c r="I1173">
        <v>14</v>
      </c>
      <c r="J1173">
        <v>10</v>
      </c>
      <c r="K1173">
        <v>4</v>
      </c>
      <c r="L1173">
        <v>2</v>
      </c>
      <c r="M1173">
        <v>0</v>
      </c>
      <c r="N1173">
        <v>3</v>
      </c>
      <c r="P1173">
        <f>G1173*I1173/100</f>
        <v>303.24</v>
      </c>
      <c r="Q1173">
        <f t="shared" si="18"/>
        <v>25992</v>
      </c>
      <c r="R1173">
        <f>K1173/J1173</f>
        <v>0.4</v>
      </c>
      <c r="S1173">
        <v>2020</v>
      </c>
    </row>
    <row r="1174" spans="1:19" x14ac:dyDescent="0.3">
      <c r="A1174">
        <v>29</v>
      </c>
      <c r="B1174">
        <v>469</v>
      </c>
      <c r="C1174" t="s">
        <v>14</v>
      </c>
      <c r="D1174" t="s">
        <v>18</v>
      </c>
      <c r="E1174">
        <v>42</v>
      </c>
      <c r="F1174" t="s">
        <v>16</v>
      </c>
      <c r="G1174">
        <v>5869</v>
      </c>
      <c r="H1174">
        <v>23413</v>
      </c>
      <c r="I1174">
        <v>11</v>
      </c>
      <c r="J1174">
        <v>8</v>
      </c>
      <c r="K1174">
        <v>5</v>
      </c>
      <c r="L1174">
        <v>2</v>
      </c>
      <c r="M1174">
        <v>1</v>
      </c>
      <c r="N1174">
        <v>4</v>
      </c>
      <c r="P1174">
        <f>G1174*I1174/100</f>
        <v>645.59</v>
      </c>
      <c r="Q1174">
        <f t="shared" si="18"/>
        <v>70428</v>
      </c>
      <c r="R1174">
        <f>K1174/J1174</f>
        <v>0.625</v>
      </c>
      <c r="S1174">
        <v>2020</v>
      </c>
    </row>
    <row r="1175" spans="1:19" x14ac:dyDescent="0.3">
      <c r="A1175">
        <v>36</v>
      </c>
      <c r="B1175">
        <v>711</v>
      </c>
      <c r="C1175" t="s">
        <v>17</v>
      </c>
      <c r="D1175" t="s">
        <v>15</v>
      </c>
      <c r="E1175">
        <v>42</v>
      </c>
      <c r="F1175" t="s">
        <v>22</v>
      </c>
      <c r="G1175">
        <v>8008</v>
      </c>
      <c r="H1175">
        <v>22792</v>
      </c>
      <c r="I1175">
        <v>12</v>
      </c>
      <c r="J1175">
        <v>9</v>
      </c>
      <c r="K1175">
        <v>3</v>
      </c>
      <c r="L1175">
        <v>2</v>
      </c>
      <c r="M1175">
        <v>0</v>
      </c>
      <c r="N1175">
        <v>2</v>
      </c>
      <c r="P1175">
        <f>G1175*I1175/100</f>
        <v>960.96</v>
      </c>
      <c r="Q1175">
        <f t="shared" si="18"/>
        <v>96096</v>
      </c>
      <c r="R1175">
        <f>K1175/J1175</f>
        <v>0.33333333333333331</v>
      </c>
      <c r="S1175">
        <v>2020</v>
      </c>
    </row>
    <row r="1176" spans="1:19" x14ac:dyDescent="0.3">
      <c r="A1176">
        <v>25</v>
      </c>
      <c r="B1176">
        <v>772</v>
      </c>
      <c r="C1176" t="s">
        <v>17</v>
      </c>
      <c r="D1176" t="s">
        <v>18</v>
      </c>
      <c r="E1176">
        <v>77</v>
      </c>
      <c r="F1176" t="s">
        <v>21</v>
      </c>
      <c r="G1176">
        <v>5206</v>
      </c>
      <c r="H1176">
        <v>4973</v>
      </c>
      <c r="I1176">
        <v>17</v>
      </c>
      <c r="J1176">
        <v>7</v>
      </c>
      <c r="K1176">
        <v>7</v>
      </c>
      <c r="L1176">
        <v>7</v>
      </c>
      <c r="M1176">
        <v>0</v>
      </c>
      <c r="N1176">
        <v>7</v>
      </c>
      <c r="P1176">
        <f>G1176*I1176/100</f>
        <v>885.02</v>
      </c>
      <c r="Q1176">
        <f t="shared" si="18"/>
        <v>62472</v>
      </c>
      <c r="R1176">
        <f>K1176/J1176</f>
        <v>1</v>
      </c>
      <c r="S1176">
        <v>2020</v>
      </c>
    </row>
    <row r="1177" spans="1:19" x14ac:dyDescent="0.3">
      <c r="A1177">
        <v>39</v>
      </c>
      <c r="B1177">
        <v>492</v>
      </c>
      <c r="C1177" t="s">
        <v>17</v>
      </c>
      <c r="D1177" t="s">
        <v>18</v>
      </c>
      <c r="E1177">
        <v>66</v>
      </c>
      <c r="F1177" t="s">
        <v>21</v>
      </c>
      <c r="G1177">
        <v>5295</v>
      </c>
      <c r="H1177">
        <v>7693</v>
      </c>
      <c r="I1177">
        <v>21</v>
      </c>
      <c r="J1177">
        <v>7</v>
      </c>
      <c r="K1177">
        <v>5</v>
      </c>
      <c r="L1177">
        <v>4</v>
      </c>
      <c r="M1177">
        <v>1</v>
      </c>
      <c r="N1177">
        <v>0</v>
      </c>
      <c r="P1177">
        <f>G1177*I1177/100</f>
        <v>1111.95</v>
      </c>
      <c r="Q1177">
        <f t="shared" si="18"/>
        <v>63540</v>
      </c>
      <c r="R1177">
        <f>K1177/J1177</f>
        <v>0.7142857142857143</v>
      </c>
      <c r="S1177">
        <v>2020</v>
      </c>
    </row>
    <row r="1178" spans="1:19" x14ac:dyDescent="0.3">
      <c r="A1178">
        <v>49</v>
      </c>
      <c r="B1178">
        <v>301</v>
      </c>
      <c r="C1178" t="s">
        <v>17</v>
      </c>
      <c r="D1178" t="s">
        <v>15</v>
      </c>
      <c r="E1178">
        <v>72</v>
      </c>
      <c r="F1178" t="s">
        <v>25</v>
      </c>
      <c r="G1178">
        <v>16413</v>
      </c>
      <c r="H1178">
        <v>3498</v>
      </c>
      <c r="I1178">
        <v>16</v>
      </c>
      <c r="J1178">
        <v>27</v>
      </c>
      <c r="K1178">
        <v>4</v>
      </c>
      <c r="L1178">
        <v>2</v>
      </c>
      <c r="M1178">
        <v>1</v>
      </c>
      <c r="N1178">
        <v>2</v>
      </c>
      <c r="P1178">
        <f>G1178*I1178/100</f>
        <v>2626.08</v>
      </c>
      <c r="Q1178">
        <f t="shared" si="18"/>
        <v>196956</v>
      </c>
      <c r="R1178">
        <f>K1178/J1178</f>
        <v>0.14814814814814814</v>
      </c>
      <c r="S1178">
        <v>2020</v>
      </c>
    </row>
    <row r="1179" spans="1:19" x14ac:dyDescent="0.3">
      <c r="A1179">
        <v>50</v>
      </c>
      <c r="B1179">
        <v>813</v>
      </c>
      <c r="C1179" t="s">
        <v>17</v>
      </c>
      <c r="D1179" t="s">
        <v>15</v>
      </c>
      <c r="E1179">
        <v>50</v>
      </c>
      <c r="F1179" t="s">
        <v>25</v>
      </c>
      <c r="G1179">
        <v>13269</v>
      </c>
      <c r="H1179">
        <v>21981</v>
      </c>
      <c r="I1179">
        <v>15</v>
      </c>
      <c r="J1179">
        <v>19</v>
      </c>
      <c r="K1179">
        <v>14</v>
      </c>
      <c r="L1179">
        <v>11</v>
      </c>
      <c r="M1179">
        <v>1</v>
      </c>
      <c r="N1179">
        <v>11</v>
      </c>
      <c r="P1179">
        <f>G1179*I1179/100</f>
        <v>1990.35</v>
      </c>
      <c r="Q1179">
        <f t="shared" si="18"/>
        <v>159228</v>
      </c>
      <c r="R1179">
        <f>K1179/J1179</f>
        <v>0.73684210526315785</v>
      </c>
      <c r="S1179">
        <v>2020</v>
      </c>
    </row>
    <row r="1180" spans="1:19" x14ac:dyDescent="0.3">
      <c r="A1180">
        <v>20</v>
      </c>
      <c r="B1180">
        <v>1141</v>
      </c>
      <c r="C1180" t="s">
        <v>14</v>
      </c>
      <c r="D1180" t="s">
        <v>15</v>
      </c>
      <c r="E1180">
        <v>31</v>
      </c>
      <c r="F1180" t="s">
        <v>24</v>
      </c>
      <c r="G1180">
        <v>2783</v>
      </c>
      <c r="H1180">
        <v>13251</v>
      </c>
      <c r="I1180">
        <v>19</v>
      </c>
      <c r="J1180">
        <v>2</v>
      </c>
      <c r="K1180">
        <v>2</v>
      </c>
      <c r="L1180">
        <v>2</v>
      </c>
      <c r="M1180">
        <v>2</v>
      </c>
      <c r="N1180">
        <v>2</v>
      </c>
      <c r="P1180">
        <f>G1180*I1180/100</f>
        <v>528.77</v>
      </c>
      <c r="Q1180">
        <f t="shared" si="18"/>
        <v>33396</v>
      </c>
      <c r="R1180">
        <f>K1180/J1180</f>
        <v>1</v>
      </c>
      <c r="S1180">
        <v>2020</v>
      </c>
    </row>
    <row r="1181" spans="1:19" x14ac:dyDescent="0.3">
      <c r="A1181">
        <v>34</v>
      </c>
      <c r="B1181">
        <v>1130</v>
      </c>
      <c r="C1181" t="s">
        <v>17</v>
      </c>
      <c r="D1181" t="s">
        <v>15</v>
      </c>
      <c r="E1181">
        <v>66</v>
      </c>
      <c r="F1181" t="s">
        <v>19</v>
      </c>
      <c r="G1181">
        <v>5433</v>
      </c>
      <c r="H1181">
        <v>19332</v>
      </c>
      <c r="I1181">
        <v>12</v>
      </c>
      <c r="J1181">
        <v>11</v>
      </c>
      <c r="K1181">
        <v>11</v>
      </c>
      <c r="L1181">
        <v>8</v>
      </c>
      <c r="M1181">
        <v>7</v>
      </c>
      <c r="N1181">
        <v>9</v>
      </c>
      <c r="P1181">
        <f>G1181*I1181/100</f>
        <v>651.96</v>
      </c>
      <c r="Q1181">
        <f t="shared" si="18"/>
        <v>65196</v>
      </c>
      <c r="R1181">
        <f>K1181/J1181</f>
        <v>1</v>
      </c>
      <c r="S1181">
        <v>2020</v>
      </c>
    </row>
    <row r="1182" spans="1:19" x14ac:dyDescent="0.3">
      <c r="A1182">
        <v>36</v>
      </c>
      <c r="B1182">
        <v>311</v>
      </c>
      <c r="C1182" t="s">
        <v>17</v>
      </c>
      <c r="D1182" t="s">
        <v>18</v>
      </c>
      <c r="E1182">
        <v>77</v>
      </c>
      <c r="F1182" t="s">
        <v>20</v>
      </c>
      <c r="G1182">
        <v>2013</v>
      </c>
      <c r="H1182">
        <v>10950</v>
      </c>
      <c r="I1182">
        <v>11</v>
      </c>
      <c r="J1182">
        <v>15</v>
      </c>
      <c r="K1182">
        <v>4</v>
      </c>
      <c r="L1182">
        <v>3</v>
      </c>
      <c r="M1182">
        <v>1</v>
      </c>
      <c r="N1182">
        <v>3</v>
      </c>
      <c r="P1182">
        <f>G1182*I1182/100</f>
        <v>221.43</v>
      </c>
      <c r="Q1182">
        <f t="shared" si="18"/>
        <v>24156</v>
      </c>
      <c r="R1182">
        <f>K1182/J1182</f>
        <v>0.26666666666666666</v>
      </c>
      <c r="S1182">
        <v>2020</v>
      </c>
    </row>
    <row r="1183" spans="1:19" x14ac:dyDescent="0.3">
      <c r="A1183">
        <v>49</v>
      </c>
      <c r="B1183">
        <v>465</v>
      </c>
      <c r="C1183" t="s">
        <v>17</v>
      </c>
      <c r="D1183" t="s">
        <v>15</v>
      </c>
      <c r="E1183">
        <v>41</v>
      </c>
      <c r="F1183" t="s">
        <v>22</v>
      </c>
      <c r="G1183">
        <v>13966</v>
      </c>
      <c r="H1183">
        <v>11652</v>
      </c>
      <c r="I1183">
        <v>19</v>
      </c>
      <c r="J1183">
        <v>30</v>
      </c>
      <c r="K1183">
        <v>15</v>
      </c>
      <c r="L1183">
        <v>11</v>
      </c>
      <c r="M1183">
        <v>2</v>
      </c>
      <c r="N1183">
        <v>12</v>
      </c>
      <c r="P1183">
        <f>G1183*I1183/100</f>
        <v>2653.54</v>
      </c>
      <c r="Q1183">
        <f t="shared" si="18"/>
        <v>167592</v>
      </c>
      <c r="R1183">
        <f>K1183/J1183</f>
        <v>0.5</v>
      </c>
      <c r="S1183">
        <v>2020</v>
      </c>
    </row>
    <row r="1184" spans="1:19" x14ac:dyDescent="0.3">
      <c r="A1184">
        <v>36</v>
      </c>
      <c r="B1184">
        <v>894</v>
      </c>
      <c r="C1184" t="s">
        <v>17</v>
      </c>
      <c r="D1184" t="s">
        <v>15</v>
      </c>
      <c r="E1184">
        <v>33</v>
      </c>
      <c r="F1184" t="s">
        <v>21</v>
      </c>
      <c r="G1184">
        <v>4374</v>
      </c>
      <c r="H1184">
        <v>15411</v>
      </c>
      <c r="I1184">
        <v>15</v>
      </c>
      <c r="J1184">
        <v>4</v>
      </c>
      <c r="K1184">
        <v>3</v>
      </c>
      <c r="L1184">
        <v>2</v>
      </c>
      <c r="M1184">
        <v>1</v>
      </c>
      <c r="N1184">
        <v>2</v>
      </c>
      <c r="P1184">
        <f>G1184*I1184/100</f>
        <v>656.1</v>
      </c>
      <c r="Q1184">
        <f t="shared" si="18"/>
        <v>52488</v>
      </c>
      <c r="R1184">
        <f>K1184/J1184</f>
        <v>0.75</v>
      </c>
      <c r="S1184">
        <v>2020</v>
      </c>
    </row>
    <row r="1185" spans="1:19" x14ac:dyDescent="0.3">
      <c r="A1185">
        <v>36</v>
      </c>
      <c r="B1185">
        <v>1040</v>
      </c>
      <c r="C1185" t="s">
        <v>17</v>
      </c>
      <c r="D1185" t="s">
        <v>18</v>
      </c>
      <c r="E1185">
        <v>79</v>
      </c>
      <c r="F1185" t="s">
        <v>22</v>
      </c>
      <c r="G1185">
        <v>6842</v>
      </c>
      <c r="H1185">
        <v>26308</v>
      </c>
      <c r="I1185">
        <v>20</v>
      </c>
      <c r="J1185">
        <v>13</v>
      </c>
      <c r="K1185">
        <v>5</v>
      </c>
      <c r="L1185">
        <v>4</v>
      </c>
      <c r="M1185">
        <v>0</v>
      </c>
      <c r="N1185">
        <v>4</v>
      </c>
      <c r="P1185">
        <f>G1185*I1185/100</f>
        <v>1368.4</v>
      </c>
      <c r="Q1185">
        <f t="shared" si="18"/>
        <v>82104</v>
      </c>
      <c r="R1185">
        <f>K1185/J1185</f>
        <v>0.38461538461538464</v>
      </c>
      <c r="S1185">
        <v>2020</v>
      </c>
    </row>
    <row r="1186" spans="1:19" x14ac:dyDescent="0.3">
      <c r="A1186">
        <v>54</v>
      </c>
      <c r="B1186">
        <v>584</v>
      </c>
      <c r="C1186" t="s">
        <v>17</v>
      </c>
      <c r="D1186" t="s">
        <v>15</v>
      </c>
      <c r="E1186">
        <v>91</v>
      </c>
      <c r="F1186" t="s">
        <v>23</v>
      </c>
      <c r="G1186">
        <v>17426</v>
      </c>
      <c r="H1186">
        <v>18685</v>
      </c>
      <c r="I1186">
        <v>25</v>
      </c>
      <c r="J1186">
        <v>36</v>
      </c>
      <c r="K1186">
        <v>10</v>
      </c>
      <c r="L1186">
        <v>8</v>
      </c>
      <c r="M1186">
        <v>4</v>
      </c>
      <c r="N1186">
        <v>7</v>
      </c>
      <c r="P1186">
        <f>G1186*I1186/100</f>
        <v>4356.5</v>
      </c>
      <c r="Q1186">
        <f t="shared" si="18"/>
        <v>209112</v>
      </c>
      <c r="R1186">
        <f>K1186/J1186</f>
        <v>0.27777777777777779</v>
      </c>
      <c r="S1186">
        <v>2020</v>
      </c>
    </row>
    <row r="1187" spans="1:19" x14ac:dyDescent="0.3">
      <c r="A1187">
        <v>43</v>
      </c>
      <c r="B1187">
        <v>1291</v>
      </c>
      <c r="C1187" t="s">
        <v>17</v>
      </c>
      <c r="D1187" t="s">
        <v>18</v>
      </c>
      <c r="E1187">
        <v>65</v>
      </c>
      <c r="F1187" t="s">
        <v>25</v>
      </c>
      <c r="G1187">
        <v>17603</v>
      </c>
      <c r="H1187">
        <v>3525</v>
      </c>
      <c r="I1187">
        <v>24</v>
      </c>
      <c r="J1187">
        <v>14</v>
      </c>
      <c r="K1187">
        <v>14</v>
      </c>
      <c r="L1187">
        <v>10</v>
      </c>
      <c r="M1187">
        <v>6</v>
      </c>
      <c r="N1187">
        <v>11</v>
      </c>
      <c r="P1187">
        <f>G1187*I1187/100</f>
        <v>4224.72</v>
      </c>
      <c r="Q1187">
        <f t="shared" si="18"/>
        <v>211236</v>
      </c>
      <c r="R1187">
        <f>K1187/J1187</f>
        <v>1</v>
      </c>
      <c r="S1187">
        <v>2020</v>
      </c>
    </row>
    <row r="1188" spans="1:19" x14ac:dyDescent="0.3">
      <c r="A1188">
        <v>35</v>
      </c>
      <c r="B1188">
        <v>880</v>
      </c>
      <c r="C1188" t="s">
        <v>14</v>
      </c>
      <c r="D1188" t="s">
        <v>18</v>
      </c>
      <c r="E1188">
        <v>36</v>
      </c>
      <c r="F1188" t="s">
        <v>16</v>
      </c>
      <c r="G1188">
        <v>4581</v>
      </c>
      <c r="H1188">
        <v>10414</v>
      </c>
      <c r="I1188">
        <v>24</v>
      </c>
      <c r="J1188">
        <v>13</v>
      </c>
      <c r="K1188">
        <v>11</v>
      </c>
      <c r="L1188">
        <v>9</v>
      </c>
      <c r="M1188">
        <v>6</v>
      </c>
      <c r="N1188">
        <v>7</v>
      </c>
      <c r="P1188">
        <f>G1188*I1188/100</f>
        <v>1099.44</v>
      </c>
      <c r="Q1188">
        <f t="shared" si="18"/>
        <v>54972</v>
      </c>
      <c r="R1188">
        <f>K1188/J1188</f>
        <v>0.84615384615384615</v>
      </c>
      <c r="S1188">
        <v>2020</v>
      </c>
    </row>
    <row r="1189" spans="1:19" x14ac:dyDescent="0.3">
      <c r="A1189">
        <v>38</v>
      </c>
      <c r="B1189">
        <v>1189</v>
      </c>
      <c r="C1189" t="s">
        <v>17</v>
      </c>
      <c r="D1189" t="s">
        <v>18</v>
      </c>
      <c r="E1189">
        <v>90</v>
      </c>
      <c r="F1189" t="s">
        <v>19</v>
      </c>
      <c r="G1189">
        <v>4735</v>
      </c>
      <c r="H1189">
        <v>9867</v>
      </c>
      <c r="I1189">
        <v>15</v>
      </c>
      <c r="J1189">
        <v>19</v>
      </c>
      <c r="K1189">
        <v>13</v>
      </c>
      <c r="L1189">
        <v>11</v>
      </c>
      <c r="M1189">
        <v>2</v>
      </c>
      <c r="N1189">
        <v>9</v>
      </c>
      <c r="P1189">
        <f>G1189*I1189/100</f>
        <v>710.25</v>
      </c>
      <c r="Q1189">
        <f t="shared" si="18"/>
        <v>56820</v>
      </c>
      <c r="R1189">
        <f>K1189/J1189</f>
        <v>0.68421052631578949</v>
      </c>
      <c r="S1189">
        <v>2020</v>
      </c>
    </row>
    <row r="1190" spans="1:19" x14ac:dyDescent="0.3">
      <c r="A1190">
        <v>29</v>
      </c>
      <c r="B1190">
        <v>991</v>
      </c>
      <c r="C1190" t="s">
        <v>14</v>
      </c>
      <c r="D1190" t="s">
        <v>18</v>
      </c>
      <c r="E1190">
        <v>43</v>
      </c>
      <c r="F1190" t="s">
        <v>16</v>
      </c>
      <c r="G1190">
        <v>4187</v>
      </c>
      <c r="H1190">
        <v>3356</v>
      </c>
      <c r="I1190">
        <v>13</v>
      </c>
      <c r="J1190">
        <v>10</v>
      </c>
      <c r="K1190">
        <v>10</v>
      </c>
      <c r="L1190">
        <v>0</v>
      </c>
      <c r="M1190">
        <v>0</v>
      </c>
      <c r="N1190">
        <v>9</v>
      </c>
      <c r="P1190">
        <f>G1190*I1190/100</f>
        <v>544.30999999999995</v>
      </c>
      <c r="Q1190">
        <f t="shared" si="18"/>
        <v>50244</v>
      </c>
      <c r="R1190">
        <f>K1190/J1190</f>
        <v>1</v>
      </c>
      <c r="S1190">
        <v>2020</v>
      </c>
    </row>
    <row r="1191" spans="1:19" x14ac:dyDescent="0.3">
      <c r="A1191">
        <v>33</v>
      </c>
      <c r="B1191">
        <v>392</v>
      </c>
      <c r="C1191" t="s">
        <v>14</v>
      </c>
      <c r="D1191" t="s">
        <v>18</v>
      </c>
      <c r="E1191">
        <v>93</v>
      </c>
      <c r="F1191" t="s">
        <v>16</v>
      </c>
      <c r="G1191">
        <v>5505</v>
      </c>
      <c r="H1191">
        <v>3921</v>
      </c>
      <c r="I1191">
        <v>14</v>
      </c>
      <c r="J1191">
        <v>6</v>
      </c>
      <c r="K1191">
        <v>6</v>
      </c>
      <c r="L1191">
        <v>2</v>
      </c>
      <c r="M1191">
        <v>0</v>
      </c>
      <c r="N1191">
        <v>4</v>
      </c>
      <c r="P1191">
        <f>G1191*I1191/100</f>
        <v>770.7</v>
      </c>
      <c r="Q1191">
        <f t="shared" si="18"/>
        <v>66060</v>
      </c>
      <c r="R1191">
        <f>K1191/J1191</f>
        <v>1</v>
      </c>
      <c r="S1191">
        <v>2020</v>
      </c>
    </row>
    <row r="1192" spans="1:19" x14ac:dyDescent="0.3">
      <c r="A1192">
        <v>32</v>
      </c>
      <c r="B1192">
        <v>977</v>
      </c>
      <c r="C1192" t="s">
        <v>17</v>
      </c>
      <c r="D1192" t="s">
        <v>18</v>
      </c>
      <c r="E1192">
        <v>45</v>
      </c>
      <c r="F1192" t="s">
        <v>19</v>
      </c>
      <c r="G1192">
        <v>5470</v>
      </c>
      <c r="H1192">
        <v>25518</v>
      </c>
      <c r="I1192">
        <v>13</v>
      </c>
      <c r="J1192">
        <v>10</v>
      </c>
      <c r="K1192">
        <v>9</v>
      </c>
      <c r="L1192">
        <v>5</v>
      </c>
      <c r="M1192">
        <v>1</v>
      </c>
      <c r="N1192">
        <v>6</v>
      </c>
      <c r="P1192">
        <f>G1192*I1192/100</f>
        <v>711.1</v>
      </c>
      <c r="Q1192">
        <f t="shared" si="18"/>
        <v>65640</v>
      </c>
      <c r="R1192">
        <f>K1192/J1192</f>
        <v>0.9</v>
      </c>
      <c r="S1192">
        <v>2020</v>
      </c>
    </row>
    <row r="1193" spans="1:19" x14ac:dyDescent="0.3">
      <c r="A1193">
        <v>31</v>
      </c>
      <c r="B1193">
        <v>1112</v>
      </c>
      <c r="C1193" t="s">
        <v>14</v>
      </c>
      <c r="D1193" t="s">
        <v>15</v>
      </c>
      <c r="E1193">
        <v>67</v>
      </c>
      <c r="F1193" t="s">
        <v>16</v>
      </c>
      <c r="G1193">
        <v>5476</v>
      </c>
      <c r="H1193">
        <v>22589</v>
      </c>
      <c r="I1193">
        <v>11</v>
      </c>
      <c r="J1193">
        <v>10</v>
      </c>
      <c r="K1193">
        <v>10</v>
      </c>
      <c r="L1193">
        <v>0</v>
      </c>
      <c r="M1193">
        <v>0</v>
      </c>
      <c r="N1193">
        <v>2</v>
      </c>
      <c r="P1193">
        <f>G1193*I1193/100</f>
        <v>602.36</v>
      </c>
      <c r="Q1193">
        <f t="shared" si="18"/>
        <v>65712</v>
      </c>
      <c r="R1193">
        <f>K1193/J1193</f>
        <v>1</v>
      </c>
      <c r="S1193">
        <v>2020</v>
      </c>
    </row>
    <row r="1194" spans="1:19" x14ac:dyDescent="0.3">
      <c r="A1194">
        <v>49</v>
      </c>
      <c r="B1194">
        <v>464</v>
      </c>
      <c r="C1194" t="s">
        <v>17</v>
      </c>
      <c r="D1194" t="s">
        <v>15</v>
      </c>
      <c r="E1194">
        <v>74</v>
      </c>
      <c r="F1194" t="s">
        <v>20</v>
      </c>
      <c r="G1194">
        <v>2587</v>
      </c>
      <c r="H1194">
        <v>24941</v>
      </c>
      <c r="I1194">
        <v>16</v>
      </c>
      <c r="J1194">
        <v>17</v>
      </c>
      <c r="K1194">
        <v>2</v>
      </c>
      <c r="L1194">
        <v>2</v>
      </c>
      <c r="M1194">
        <v>2</v>
      </c>
      <c r="N1194">
        <v>2</v>
      </c>
      <c r="P1194">
        <f>G1194*I1194/100</f>
        <v>413.92</v>
      </c>
      <c r="Q1194">
        <f t="shared" si="18"/>
        <v>31044</v>
      </c>
      <c r="R1194">
        <f>K1194/J1194</f>
        <v>0.11764705882352941</v>
      </c>
      <c r="S1194">
        <v>2020</v>
      </c>
    </row>
    <row r="1195" spans="1:19" x14ac:dyDescent="0.3">
      <c r="A1195">
        <v>38</v>
      </c>
      <c r="B1195">
        <v>148</v>
      </c>
      <c r="C1195" t="s">
        <v>17</v>
      </c>
      <c r="D1195" t="s">
        <v>15</v>
      </c>
      <c r="E1195">
        <v>42</v>
      </c>
      <c r="F1195" t="s">
        <v>20</v>
      </c>
      <c r="G1195">
        <v>2440</v>
      </c>
      <c r="H1195">
        <v>23826</v>
      </c>
      <c r="I1195">
        <v>22</v>
      </c>
      <c r="J1195">
        <v>4</v>
      </c>
      <c r="K1195">
        <v>4</v>
      </c>
      <c r="L1195">
        <v>3</v>
      </c>
      <c r="M1195">
        <v>3</v>
      </c>
      <c r="N1195">
        <v>3</v>
      </c>
      <c r="P1195">
        <f>G1195*I1195/100</f>
        <v>536.79999999999995</v>
      </c>
      <c r="Q1195">
        <f t="shared" si="18"/>
        <v>29280</v>
      </c>
      <c r="R1195">
        <f>K1195/J1195</f>
        <v>1</v>
      </c>
      <c r="S1195">
        <v>2020</v>
      </c>
    </row>
    <row r="1196" spans="1:19" x14ac:dyDescent="0.3">
      <c r="A1196">
        <v>47</v>
      </c>
      <c r="B1196">
        <v>1225</v>
      </c>
      <c r="C1196" t="s">
        <v>14</v>
      </c>
      <c r="D1196" t="s">
        <v>15</v>
      </c>
      <c r="E1196">
        <v>47</v>
      </c>
      <c r="F1196" t="s">
        <v>23</v>
      </c>
      <c r="G1196">
        <v>15972</v>
      </c>
      <c r="H1196">
        <v>21086</v>
      </c>
      <c r="I1196">
        <v>14</v>
      </c>
      <c r="J1196">
        <v>29</v>
      </c>
      <c r="K1196">
        <v>3</v>
      </c>
      <c r="L1196">
        <v>2</v>
      </c>
      <c r="M1196">
        <v>1</v>
      </c>
      <c r="N1196">
        <v>2</v>
      </c>
      <c r="P1196">
        <f>G1196*I1196/100</f>
        <v>2236.08</v>
      </c>
      <c r="Q1196">
        <f t="shared" si="18"/>
        <v>191664</v>
      </c>
      <c r="R1196">
        <f>K1196/J1196</f>
        <v>0.10344827586206896</v>
      </c>
      <c r="S1196">
        <v>2020</v>
      </c>
    </row>
    <row r="1197" spans="1:19" x14ac:dyDescent="0.3">
      <c r="A1197">
        <v>49</v>
      </c>
      <c r="B1197">
        <v>809</v>
      </c>
      <c r="C1197" t="s">
        <v>17</v>
      </c>
      <c r="D1197" t="s">
        <v>18</v>
      </c>
      <c r="E1197">
        <v>36</v>
      </c>
      <c r="F1197" t="s">
        <v>23</v>
      </c>
      <c r="G1197">
        <v>15379</v>
      </c>
      <c r="H1197">
        <v>22384</v>
      </c>
      <c r="I1197">
        <v>14</v>
      </c>
      <c r="J1197">
        <v>23</v>
      </c>
      <c r="K1197">
        <v>8</v>
      </c>
      <c r="L1197">
        <v>7</v>
      </c>
      <c r="M1197">
        <v>0</v>
      </c>
      <c r="N1197">
        <v>0</v>
      </c>
      <c r="P1197">
        <f>G1197*I1197/100</f>
        <v>2153.06</v>
      </c>
      <c r="Q1197">
        <f t="shared" si="18"/>
        <v>184548</v>
      </c>
      <c r="R1197">
        <f>K1197/J1197</f>
        <v>0.34782608695652173</v>
      </c>
      <c r="S1197">
        <v>2020</v>
      </c>
    </row>
    <row r="1198" spans="1:19" x14ac:dyDescent="0.3">
      <c r="A1198">
        <v>41</v>
      </c>
      <c r="B1198">
        <v>1206</v>
      </c>
      <c r="C1198" t="s">
        <v>14</v>
      </c>
      <c r="D1198" t="s">
        <v>18</v>
      </c>
      <c r="E1198">
        <v>80</v>
      </c>
      <c r="F1198" t="s">
        <v>16</v>
      </c>
      <c r="G1198">
        <v>7082</v>
      </c>
      <c r="H1198">
        <v>11591</v>
      </c>
      <c r="I1198">
        <v>16</v>
      </c>
      <c r="J1198">
        <v>21</v>
      </c>
      <c r="K1198">
        <v>2</v>
      </c>
      <c r="L1198">
        <v>0</v>
      </c>
      <c r="M1198">
        <v>0</v>
      </c>
      <c r="N1198">
        <v>2</v>
      </c>
      <c r="P1198">
        <f>G1198*I1198/100</f>
        <v>1133.1199999999999</v>
      </c>
      <c r="Q1198">
        <f t="shared" si="18"/>
        <v>84984</v>
      </c>
      <c r="R1198">
        <f>K1198/J1198</f>
        <v>9.5238095238095233E-2</v>
      </c>
      <c r="S1198">
        <v>2020</v>
      </c>
    </row>
    <row r="1199" spans="1:19" x14ac:dyDescent="0.3">
      <c r="A1199">
        <v>20</v>
      </c>
      <c r="B1199">
        <v>727</v>
      </c>
      <c r="C1199" t="s">
        <v>14</v>
      </c>
      <c r="D1199" t="s">
        <v>18</v>
      </c>
      <c r="E1199">
        <v>54</v>
      </c>
      <c r="F1199" t="s">
        <v>24</v>
      </c>
      <c r="G1199">
        <v>2728</v>
      </c>
      <c r="H1199">
        <v>21082</v>
      </c>
      <c r="I1199">
        <v>11</v>
      </c>
      <c r="J1199">
        <v>2</v>
      </c>
      <c r="K1199">
        <v>2</v>
      </c>
      <c r="L1199">
        <v>2</v>
      </c>
      <c r="M1199">
        <v>0</v>
      </c>
      <c r="N1199">
        <v>2</v>
      </c>
      <c r="P1199">
        <f>G1199*I1199/100</f>
        <v>300.08</v>
      </c>
      <c r="Q1199">
        <f t="shared" si="18"/>
        <v>32736</v>
      </c>
      <c r="R1199">
        <f>K1199/J1199</f>
        <v>1</v>
      </c>
      <c r="S1199">
        <v>2020</v>
      </c>
    </row>
    <row r="1200" spans="1:19" x14ac:dyDescent="0.3">
      <c r="A1200">
        <v>33</v>
      </c>
      <c r="B1200">
        <v>530</v>
      </c>
      <c r="C1200" t="s">
        <v>14</v>
      </c>
      <c r="D1200" t="s">
        <v>15</v>
      </c>
      <c r="E1200">
        <v>36</v>
      </c>
      <c r="F1200" t="s">
        <v>16</v>
      </c>
      <c r="G1200">
        <v>5368</v>
      </c>
      <c r="H1200">
        <v>16130</v>
      </c>
      <c r="I1200">
        <v>25</v>
      </c>
      <c r="J1200">
        <v>7</v>
      </c>
      <c r="K1200">
        <v>6</v>
      </c>
      <c r="L1200">
        <v>5</v>
      </c>
      <c r="M1200">
        <v>1</v>
      </c>
      <c r="N1200">
        <v>2</v>
      </c>
      <c r="P1200">
        <f>G1200*I1200/100</f>
        <v>1342</v>
      </c>
      <c r="Q1200">
        <f t="shared" si="18"/>
        <v>64416</v>
      </c>
      <c r="R1200">
        <f>K1200/J1200</f>
        <v>0.8571428571428571</v>
      </c>
      <c r="S1200">
        <v>2020</v>
      </c>
    </row>
    <row r="1201" spans="1:19" x14ac:dyDescent="0.3">
      <c r="A1201">
        <v>36</v>
      </c>
      <c r="B1201">
        <v>1351</v>
      </c>
      <c r="C1201" t="s">
        <v>17</v>
      </c>
      <c r="D1201" t="s">
        <v>18</v>
      </c>
      <c r="E1201">
        <v>80</v>
      </c>
      <c r="F1201" t="s">
        <v>22</v>
      </c>
      <c r="G1201">
        <v>5347</v>
      </c>
      <c r="H1201">
        <v>7419</v>
      </c>
      <c r="I1201">
        <v>14</v>
      </c>
      <c r="J1201">
        <v>10</v>
      </c>
      <c r="K1201">
        <v>3</v>
      </c>
      <c r="L1201">
        <v>2</v>
      </c>
      <c r="M1201">
        <v>0</v>
      </c>
      <c r="N1201">
        <v>2</v>
      </c>
      <c r="P1201">
        <f>G1201*I1201/100</f>
        <v>748.58</v>
      </c>
      <c r="Q1201">
        <f t="shared" si="18"/>
        <v>64164</v>
      </c>
      <c r="R1201">
        <f>K1201/J1201</f>
        <v>0.3</v>
      </c>
      <c r="S1201">
        <v>2020</v>
      </c>
    </row>
    <row r="1202" spans="1:19" x14ac:dyDescent="0.3">
      <c r="A1202">
        <v>44</v>
      </c>
      <c r="B1202">
        <v>528</v>
      </c>
      <c r="C1202" t="s">
        <v>26</v>
      </c>
      <c r="D1202" t="s">
        <v>15</v>
      </c>
      <c r="E1202">
        <v>44</v>
      </c>
      <c r="F1202" t="s">
        <v>26</v>
      </c>
      <c r="G1202">
        <v>3195</v>
      </c>
      <c r="H1202">
        <v>4167</v>
      </c>
      <c r="I1202">
        <v>18</v>
      </c>
      <c r="J1202">
        <v>8</v>
      </c>
      <c r="K1202">
        <v>2</v>
      </c>
      <c r="L1202">
        <v>2</v>
      </c>
      <c r="M1202">
        <v>2</v>
      </c>
      <c r="N1202">
        <v>2</v>
      </c>
      <c r="P1202">
        <f>G1202*I1202/100</f>
        <v>575.1</v>
      </c>
      <c r="Q1202">
        <f t="shared" si="18"/>
        <v>38340</v>
      </c>
      <c r="R1202">
        <f>K1202/J1202</f>
        <v>0.25</v>
      </c>
      <c r="S1202">
        <v>2020</v>
      </c>
    </row>
    <row r="1203" spans="1:19" x14ac:dyDescent="0.3">
      <c r="A1203">
        <v>23</v>
      </c>
      <c r="B1203">
        <v>1320</v>
      </c>
      <c r="C1203" t="s">
        <v>17</v>
      </c>
      <c r="D1203" t="s">
        <v>18</v>
      </c>
      <c r="E1203">
        <v>93</v>
      </c>
      <c r="F1203" t="s">
        <v>20</v>
      </c>
      <c r="G1203">
        <v>3989</v>
      </c>
      <c r="H1203">
        <v>20586</v>
      </c>
      <c r="I1203">
        <v>11</v>
      </c>
      <c r="J1203">
        <v>5</v>
      </c>
      <c r="K1203">
        <v>5</v>
      </c>
      <c r="L1203">
        <v>4</v>
      </c>
      <c r="M1203">
        <v>1</v>
      </c>
      <c r="N1203">
        <v>2</v>
      </c>
      <c r="P1203">
        <f>G1203*I1203/100</f>
        <v>438.79</v>
      </c>
      <c r="Q1203">
        <f t="shared" si="18"/>
        <v>47868</v>
      </c>
      <c r="R1203">
        <f>K1203/J1203</f>
        <v>1</v>
      </c>
      <c r="S1203">
        <v>2020</v>
      </c>
    </row>
    <row r="1204" spans="1:19" x14ac:dyDescent="0.3">
      <c r="A1204">
        <v>38</v>
      </c>
      <c r="B1204">
        <v>1495</v>
      </c>
      <c r="C1204" t="s">
        <v>17</v>
      </c>
      <c r="D1204" t="s">
        <v>15</v>
      </c>
      <c r="E1204">
        <v>87</v>
      </c>
      <c r="F1204" t="s">
        <v>20</v>
      </c>
      <c r="G1204">
        <v>3306</v>
      </c>
      <c r="H1204">
        <v>26176</v>
      </c>
      <c r="I1204">
        <v>19</v>
      </c>
      <c r="J1204">
        <v>7</v>
      </c>
      <c r="K1204">
        <v>0</v>
      </c>
      <c r="L1204">
        <v>0</v>
      </c>
      <c r="M1204">
        <v>0</v>
      </c>
      <c r="N1204">
        <v>0</v>
      </c>
      <c r="P1204">
        <f>G1204*I1204/100</f>
        <v>628.14</v>
      </c>
      <c r="Q1204">
        <f t="shared" si="18"/>
        <v>39672</v>
      </c>
      <c r="R1204">
        <f>K1204/J1204</f>
        <v>0</v>
      </c>
      <c r="S1204">
        <v>2020</v>
      </c>
    </row>
    <row r="1205" spans="1:19" x14ac:dyDescent="0.3">
      <c r="A1205">
        <v>53</v>
      </c>
      <c r="B1205">
        <v>1395</v>
      </c>
      <c r="C1205" t="s">
        <v>17</v>
      </c>
      <c r="D1205" t="s">
        <v>18</v>
      </c>
      <c r="E1205">
        <v>48</v>
      </c>
      <c r="F1205" t="s">
        <v>22</v>
      </c>
      <c r="G1205">
        <v>7005</v>
      </c>
      <c r="H1205">
        <v>3458</v>
      </c>
      <c r="I1205">
        <v>15</v>
      </c>
      <c r="J1205">
        <v>11</v>
      </c>
      <c r="K1205">
        <v>4</v>
      </c>
      <c r="L1205">
        <v>3</v>
      </c>
      <c r="M1205">
        <v>1</v>
      </c>
      <c r="N1205">
        <v>2</v>
      </c>
      <c r="P1205">
        <f>G1205*I1205/100</f>
        <v>1050.75</v>
      </c>
      <c r="Q1205">
        <f t="shared" si="18"/>
        <v>84060</v>
      </c>
      <c r="R1205">
        <f>K1205/J1205</f>
        <v>0.36363636363636365</v>
      </c>
      <c r="S1205">
        <v>2020</v>
      </c>
    </row>
    <row r="1206" spans="1:19" x14ac:dyDescent="0.3">
      <c r="A1206">
        <v>48</v>
      </c>
      <c r="B1206">
        <v>708</v>
      </c>
      <c r="C1206" t="s">
        <v>14</v>
      </c>
      <c r="D1206" t="s">
        <v>15</v>
      </c>
      <c r="E1206">
        <v>95</v>
      </c>
      <c r="F1206" t="s">
        <v>24</v>
      </c>
      <c r="G1206">
        <v>2655</v>
      </c>
      <c r="H1206">
        <v>11740</v>
      </c>
      <c r="I1206">
        <v>11</v>
      </c>
      <c r="J1206">
        <v>19</v>
      </c>
      <c r="K1206">
        <v>9</v>
      </c>
      <c r="L1206">
        <v>7</v>
      </c>
      <c r="M1206">
        <v>7</v>
      </c>
      <c r="N1206">
        <v>7</v>
      </c>
      <c r="P1206">
        <f>G1206*I1206/100</f>
        <v>292.05</v>
      </c>
      <c r="Q1206">
        <f t="shared" si="18"/>
        <v>31860</v>
      </c>
      <c r="R1206">
        <f>K1206/J1206</f>
        <v>0.47368421052631576</v>
      </c>
      <c r="S1206">
        <v>2020</v>
      </c>
    </row>
    <row r="1207" spans="1:19" x14ac:dyDescent="0.3">
      <c r="A1207">
        <v>32</v>
      </c>
      <c r="B1207">
        <v>1259</v>
      </c>
      <c r="C1207" t="s">
        <v>17</v>
      </c>
      <c r="D1207" t="s">
        <v>18</v>
      </c>
      <c r="E1207">
        <v>95</v>
      </c>
      <c r="F1207" t="s">
        <v>20</v>
      </c>
      <c r="G1207">
        <v>1393</v>
      </c>
      <c r="H1207">
        <v>24852</v>
      </c>
      <c r="I1207">
        <v>12</v>
      </c>
      <c r="J1207">
        <v>1</v>
      </c>
      <c r="K1207">
        <v>1</v>
      </c>
      <c r="L1207">
        <v>0</v>
      </c>
      <c r="M1207">
        <v>0</v>
      </c>
      <c r="N1207">
        <v>0</v>
      </c>
      <c r="P1207">
        <f>G1207*I1207/100</f>
        <v>167.16</v>
      </c>
      <c r="Q1207">
        <f t="shared" si="18"/>
        <v>16716</v>
      </c>
      <c r="R1207">
        <f>K1207/J1207</f>
        <v>1</v>
      </c>
      <c r="S1207">
        <v>2020</v>
      </c>
    </row>
    <row r="1208" spans="1:19" x14ac:dyDescent="0.3">
      <c r="A1208">
        <v>26</v>
      </c>
      <c r="B1208">
        <v>786</v>
      </c>
      <c r="C1208" t="s">
        <v>17</v>
      </c>
      <c r="D1208" t="s">
        <v>18</v>
      </c>
      <c r="E1208">
        <v>76</v>
      </c>
      <c r="F1208" t="s">
        <v>20</v>
      </c>
      <c r="G1208">
        <v>2570</v>
      </c>
      <c r="H1208">
        <v>11925</v>
      </c>
      <c r="I1208">
        <v>20</v>
      </c>
      <c r="J1208">
        <v>7</v>
      </c>
      <c r="K1208">
        <v>7</v>
      </c>
      <c r="L1208">
        <v>7</v>
      </c>
      <c r="M1208">
        <v>5</v>
      </c>
      <c r="N1208">
        <v>7</v>
      </c>
      <c r="P1208">
        <f>G1208*I1208/100</f>
        <v>514</v>
      </c>
      <c r="Q1208">
        <f t="shared" si="18"/>
        <v>30840</v>
      </c>
      <c r="R1208">
        <f>K1208/J1208</f>
        <v>1</v>
      </c>
      <c r="S1208">
        <v>2020</v>
      </c>
    </row>
    <row r="1209" spans="1:19" x14ac:dyDescent="0.3">
      <c r="A1209">
        <v>55</v>
      </c>
      <c r="B1209">
        <v>1441</v>
      </c>
      <c r="C1209" t="s">
        <v>17</v>
      </c>
      <c r="D1209" t="s">
        <v>18</v>
      </c>
      <c r="E1209">
        <v>94</v>
      </c>
      <c r="F1209" t="s">
        <v>19</v>
      </c>
      <c r="G1209">
        <v>3537</v>
      </c>
      <c r="H1209">
        <v>23737</v>
      </c>
      <c r="I1209">
        <v>12</v>
      </c>
      <c r="J1209">
        <v>8</v>
      </c>
      <c r="K1209">
        <v>4</v>
      </c>
      <c r="L1209">
        <v>2</v>
      </c>
      <c r="M1209">
        <v>1</v>
      </c>
      <c r="N1209">
        <v>2</v>
      </c>
      <c r="P1209">
        <f>G1209*I1209/100</f>
        <v>424.44</v>
      </c>
      <c r="Q1209">
        <f t="shared" si="18"/>
        <v>42444</v>
      </c>
      <c r="R1209">
        <f>K1209/J1209</f>
        <v>0.5</v>
      </c>
      <c r="S1209">
        <v>2020</v>
      </c>
    </row>
    <row r="1210" spans="1:19" x14ac:dyDescent="0.3">
      <c r="A1210">
        <v>34</v>
      </c>
      <c r="B1210">
        <v>1157</v>
      </c>
      <c r="C1210" t="s">
        <v>17</v>
      </c>
      <c r="D1210" t="s">
        <v>18</v>
      </c>
      <c r="E1210">
        <v>57</v>
      </c>
      <c r="F1210" t="s">
        <v>20</v>
      </c>
      <c r="G1210">
        <v>3986</v>
      </c>
      <c r="H1210">
        <v>11912</v>
      </c>
      <c r="I1210">
        <v>14</v>
      </c>
      <c r="J1210">
        <v>15</v>
      </c>
      <c r="K1210">
        <v>15</v>
      </c>
      <c r="L1210">
        <v>10</v>
      </c>
      <c r="M1210">
        <v>4</v>
      </c>
      <c r="N1210">
        <v>13</v>
      </c>
      <c r="P1210">
        <f>G1210*I1210/100</f>
        <v>558.04</v>
      </c>
      <c r="Q1210">
        <f t="shared" si="18"/>
        <v>47832</v>
      </c>
      <c r="R1210">
        <f>K1210/J1210</f>
        <v>1</v>
      </c>
      <c r="S1210">
        <v>2020</v>
      </c>
    </row>
    <row r="1211" spans="1:19" x14ac:dyDescent="0.3">
      <c r="A1211">
        <v>60</v>
      </c>
      <c r="B1211">
        <v>370</v>
      </c>
      <c r="C1211" t="s">
        <v>17</v>
      </c>
      <c r="D1211" t="s">
        <v>18</v>
      </c>
      <c r="E1211">
        <v>92</v>
      </c>
      <c r="F1211" t="s">
        <v>22</v>
      </c>
      <c r="G1211">
        <v>10883</v>
      </c>
      <c r="H1211">
        <v>20467</v>
      </c>
      <c r="I1211">
        <v>20</v>
      </c>
      <c r="J1211">
        <v>19</v>
      </c>
      <c r="K1211">
        <v>1</v>
      </c>
      <c r="L1211">
        <v>0</v>
      </c>
      <c r="M1211">
        <v>0</v>
      </c>
      <c r="N1211">
        <v>0</v>
      </c>
      <c r="P1211">
        <f>G1211*I1211/100</f>
        <v>2176.6</v>
      </c>
      <c r="Q1211">
        <f t="shared" si="18"/>
        <v>130596</v>
      </c>
      <c r="R1211">
        <f>K1211/J1211</f>
        <v>5.2631578947368418E-2</v>
      </c>
      <c r="S1211">
        <v>2020</v>
      </c>
    </row>
    <row r="1212" spans="1:19" x14ac:dyDescent="0.3">
      <c r="A1212">
        <v>33</v>
      </c>
      <c r="B1212">
        <v>267</v>
      </c>
      <c r="C1212" t="s">
        <v>17</v>
      </c>
      <c r="D1212" t="s">
        <v>18</v>
      </c>
      <c r="E1212">
        <v>79</v>
      </c>
      <c r="F1212" t="s">
        <v>20</v>
      </c>
      <c r="G1212">
        <v>2028</v>
      </c>
      <c r="H1212">
        <v>13637</v>
      </c>
      <c r="I1212">
        <v>18</v>
      </c>
      <c r="J1212">
        <v>14</v>
      </c>
      <c r="K1212">
        <v>14</v>
      </c>
      <c r="L1212">
        <v>11</v>
      </c>
      <c r="M1212">
        <v>2</v>
      </c>
      <c r="N1212">
        <v>13</v>
      </c>
      <c r="P1212">
        <f>G1212*I1212/100</f>
        <v>365.04</v>
      </c>
      <c r="Q1212">
        <f t="shared" si="18"/>
        <v>24336</v>
      </c>
      <c r="R1212">
        <f>K1212/J1212</f>
        <v>1</v>
      </c>
      <c r="S1212">
        <v>2020</v>
      </c>
    </row>
    <row r="1213" spans="1:19" x14ac:dyDescent="0.3">
      <c r="A1213">
        <v>37</v>
      </c>
      <c r="B1213">
        <v>1278</v>
      </c>
      <c r="C1213" t="s">
        <v>14</v>
      </c>
      <c r="D1213" t="s">
        <v>18</v>
      </c>
      <c r="E1213">
        <v>31</v>
      </c>
      <c r="F1213" t="s">
        <v>16</v>
      </c>
      <c r="G1213">
        <v>9525</v>
      </c>
      <c r="H1213">
        <v>7677</v>
      </c>
      <c r="I1213">
        <v>14</v>
      </c>
      <c r="J1213">
        <v>6</v>
      </c>
      <c r="K1213">
        <v>6</v>
      </c>
      <c r="L1213">
        <v>3</v>
      </c>
      <c r="M1213">
        <v>1</v>
      </c>
      <c r="N1213">
        <v>3</v>
      </c>
      <c r="P1213">
        <f>G1213*I1213/100</f>
        <v>1333.5</v>
      </c>
      <c r="Q1213">
        <f t="shared" si="18"/>
        <v>114300</v>
      </c>
      <c r="R1213">
        <f>K1213/J1213</f>
        <v>1</v>
      </c>
      <c r="S1213">
        <v>2020</v>
      </c>
    </row>
    <row r="1214" spans="1:19" x14ac:dyDescent="0.3">
      <c r="A1214">
        <v>34</v>
      </c>
      <c r="B1214">
        <v>678</v>
      </c>
      <c r="C1214" t="s">
        <v>17</v>
      </c>
      <c r="D1214" t="s">
        <v>15</v>
      </c>
      <c r="E1214">
        <v>35</v>
      </c>
      <c r="F1214" t="s">
        <v>19</v>
      </c>
      <c r="G1214">
        <v>2929</v>
      </c>
      <c r="H1214">
        <v>20338</v>
      </c>
      <c r="I1214">
        <v>12</v>
      </c>
      <c r="J1214">
        <v>10</v>
      </c>
      <c r="K1214">
        <v>10</v>
      </c>
      <c r="L1214">
        <v>9</v>
      </c>
      <c r="M1214">
        <v>8</v>
      </c>
      <c r="N1214">
        <v>7</v>
      </c>
      <c r="P1214">
        <f>G1214*I1214/100</f>
        <v>351.48</v>
      </c>
      <c r="Q1214">
        <f t="shared" si="18"/>
        <v>35148</v>
      </c>
      <c r="R1214">
        <f>K1214/J1214</f>
        <v>1</v>
      </c>
      <c r="S1214">
        <v>2020</v>
      </c>
    </row>
    <row r="1215" spans="1:19" x14ac:dyDescent="0.3">
      <c r="A1215">
        <v>23</v>
      </c>
      <c r="B1215">
        <v>427</v>
      </c>
      <c r="C1215" t="s">
        <v>14</v>
      </c>
      <c r="D1215" t="s">
        <v>18</v>
      </c>
      <c r="E1215">
        <v>99</v>
      </c>
      <c r="F1215" t="s">
        <v>24</v>
      </c>
      <c r="G1215">
        <v>2275</v>
      </c>
      <c r="H1215">
        <v>25103</v>
      </c>
      <c r="I1215">
        <v>21</v>
      </c>
      <c r="J1215">
        <v>3</v>
      </c>
      <c r="K1215">
        <v>3</v>
      </c>
      <c r="L1215">
        <v>2</v>
      </c>
      <c r="M1215">
        <v>0</v>
      </c>
      <c r="N1215">
        <v>2</v>
      </c>
      <c r="P1215">
        <f>G1215*I1215/100</f>
        <v>477.75</v>
      </c>
      <c r="Q1215">
        <f t="shared" si="18"/>
        <v>27300</v>
      </c>
      <c r="R1215">
        <f>K1215/J1215</f>
        <v>1</v>
      </c>
      <c r="S1215">
        <v>2020</v>
      </c>
    </row>
    <row r="1216" spans="1:19" x14ac:dyDescent="0.3">
      <c r="A1216">
        <v>44</v>
      </c>
      <c r="B1216">
        <v>921</v>
      </c>
      <c r="C1216" t="s">
        <v>17</v>
      </c>
      <c r="D1216" t="s">
        <v>15</v>
      </c>
      <c r="E1216">
        <v>96</v>
      </c>
      <c r="F1216" t="s">
        <v>22</v>
      </c>
      <c r="G1216">
        <v>7879</v>
      </c>
      <c r="H1216">
        <v>14810</v>
      </c>
      <c r="I1216">
        <v>19</v>
      </c>
      <c r="J1216">
        <v>9</v>
      </c>
      <c r="K1216">
        <v>8</v>
      </c>
      <c r="L1216">
        <v>7</v>
      </c>
      <c r="M1216">
        <v>6</v>
      </c>
      <c r="N1216">
        <v>7</v>
      </c>
      <c r="P1216">
        <f>G1216*I1216/100</f>
        <v>1497.01</v>
      </c>
      <c r="Q1216">
        <f t="shared" si="18"/>
        <v>94548</v>
      </c>
      <c r="R1216">
        <f>K1216/J1216</f>
        <v>0.88888888888888884</v>
      </c>
      <c r="S1216">
        <v>2020</v>
      </c>
    </row>
    <row r="1217" spans="1:19" x14ac:dyDescent="0.3">
      <c r="A1217">
        <v>35</v>
      </c>
      <c r="B1217">
        <v>146</v>
      </c>
      <c r="C1217" t="s">
        <v>17</v>
      </c>
      <c r="D1217" t="s">
        <v>18</v>
      </c>
      <c r="E1217">
        <v>79</v>
      </c>
      <c r="F1217" t="s">
        <v>19</v>
      </c>
      <c r="G1217">
        <v>4930</v>
      </c>
      <c r="H1217">
        <v>13970</v>
      </c>
      <c r="I1217">
        <v>14</v>
      </c>
      <c r="J1217">
        <v>6</v>
      </c>
      <c r="K1217">
        <v>5</v>
      </c>
      <c r="L1217">
        <v>4</v>
      </c>
      <c r="M1217">
        <v>1</v>
      </c>
      <c r="N1217">
        <v>4</v>
      </c>
      <c r="P1217">
        <f>G1217*I1217/100</f>
        <v>690.2</v>
      </c>
      <c r="Q1217">
        <f t="shared" si="18"/>
        <v>59160</v>
      </c>
      <c r="R1217">
        <f>K1217/J1217</f>
        <v>0.83333333333333337</v>
      </c>
      <c r="S1217">
        <v>2020</v>
      </c>
    </row>
    <row r="1218" spans="1:19" x14ac:dyDescent="0.3">
      <c r="A1218">
        <v>43</v>
      </c>
      <c r="B1218">
        <v>1179</v>
      </c>
      <c r="C1218" t="s">
        <v>14</v>
      </c>
      <c r="D1218" t="s">
        <v>18</v>
      </c>
      <c r="E1218">
        <v>73</v>
      </c>
      <c r="F1218" t="s">
        <v>16</v>
      </c>
      <c r="G1218">
        <v>7847</v>
      </c>
      <c r="H1218">
        <v>6069</v>
      </c>
      <c r="I1218">
        <v>17</v>
      </c>
      <c r="J1218">
        <v>10</v>
      </c>
      <c r="K1218">
        <v>10</v>
      </c>
      <c r="L1218">
        <v>9</v>
      </c>
      <c r="M1218">
        <v>8</v>
      </c>
      <c r="N1218">
        <v>8</v>
      </c>
      <c r="P1218">
        <f>G1218*I1218/100</f>
        <v>1333.99</v>
      </c>
      <c r="Q1218">
        <f t="shared" si="18"/>
        <v>94164</v>
      </c>
      <c r="R1218">
        <f>K1218/J1218</f>
        <v>1</v>
      </c>
      <c r="S1218">
        <v>2020</v>
      </c>
    </row>
    <row r="1219" spans="1:19" x14ac:dyDescent="0.3">
      <c r="A1219">
        <v>24</v>
      </c>
      <c r="B1219">
        <v>581</v>
      </c>
      <c r="C1219" t="s">
        <v>17</v>
      </c>
      <c r="D1219" t="s">
        <v>18</v>
      </c>
      <c r="E1219">
        <v>62</v>
      </c>
      <c r="F1219" t="s">
        <v>19</v>
      </c>
      <c r="G1219">
        <v>4401</v>
      </c>
      <c r="H1219">
        <v>17616</v>
      </c>
      <c r="I1219">
        <v>16</v>
      </c>
      <c r="J1219">
        <v>5</v>
      </c>
      <c r="K1219">
        <v>5</v>
      </c>
      <c r="L1219">
        <v>3</v>
      </c>
      <c r="M1219">
        <v>0</v>
      </c>
      <c r="N1219">
        <v>4</v>
      </c>
      <c r="P1219">
        <f>G1219*I1219/100</f>
        <v>704.16</v>
      </c>
      <c r="Q1219">
        <f t="shared" ref="Q1219:Q1282" si="19">G1219*12</f>
        <v>52812</v>
      </c>
      <c r="R1219">
        <f>K1219/J1219</f>
        <v>1</v>
      </c>
      <c r="S1219">
        <v>2020</v>
      </c>
    </row>
    <row r="1220" spans="1:19" x14ac:dyDescent="0.3">
      <c r="A1220">
        <v>41</v>
      </c>
      <c r="B1220">
        <v>918</v>
      </c>
      <c r="C1220" t="s">
        <v>14</v>
      </c>
      <c r="D1220" t="s">
        <v>18</v>
      </c>
      <c r="E1220">
        <v>35</v>
      </c>
      <c r="F1220" t="s">
        <v>16</v>
      </c>
      <c r="G1220">
        <v>9241</v>
      </c>
      <c r="H1220">
        <v>15869</v>
      </c>
      <c r="I1220">
        <v>12</v>
      </c>
      <c r="J1220">
        <v>10</v>
      </c>
      <c r="K1220">
        <v>10</v>
      </c>
      <c r="L1220">
        <v>8</v>
      </c>
      <c r="M1220">
        <v>8</v>
      </c>
      <c r="N1220">
        <v>7</v>
      </c>
      <c r="P1220">
        <f>G1220*I1220/100</f>
        <v>1108.92</v>
      </c>
      <c r="Q1220">
        <f t="shared" si="19"/>
        <v>110892</v>
      </c>
      <c r="R1220">
        <f>K1220/J1220</f>
        <v>1</v>
      </c>
      <c r="S1220">
        <v>2020</v>
      </c>
    </row>
    <row r="1221" spans="1:19" x14ac:dyDescent="0.3">
      <c r="A1221">
        <v>29</v>
      </c>
      <c r="B1221">
        <v>1082</v>
      </c>
      <c r="C1221" t="s">
        <v>17</v>
      </c>
      <c r="D1221" t="s">
        <v>15</v>
      </c>
      <c r="E1221">
        <v>43</v>
      </c>
      <c r="F1221" t="s">
        <v>20</v>
      </c>
      <c r="G1221">
        <v>2974</v>
      </c>
      <c r="H1221">
        <v>25412</v>
      </c>
      <c r="I1221">
        <v>17</v>
      </c>
      <c r="J1221">
        <v>9</v>
      </c>
      <c r="K1221">
        <v>5</v>
      </c>
      <c r="L1221">
        <v>3</v>
      </c>
      <c r="M1221">
        <v>1</v>
      </c>
      <c r="N1221">
        <v>2</v>
      </c>
      <c r="P1221">
        <f>G1221*I1221/100</f>
        <v>505.58</v>
      </c>
      <c r="Q1221">
        <f t="shared" si="19"/>
        <v>35688</v>
      </c>
      <c r="R1221">
        <f>K1221/J1221</f>
        <v>0.55555555555555558</v>
      </c>
      <c r="S1221">
        <v>2020</v>
      </c>
    </row>
    <row r="1222" spans="1:19" x14ac:dyDescent="0.3">
      <c r="A1222">
        <v>36</v>
      </c>
      <c r="B1222">
        <v>530</v>
      </c>
      <c r="C1222" t="s">
        <v>14</v>
      </c>
      <c r="D1222" t="s">
        <v>15</v>
      </c>
      <c r="E1222">
        <v>51</v>
      </c>
      <c r="F1222" t="s">
        <v>24</v>
      </c>
      <c r="G1222">
        <v>4502</v>
      </c>
      <c r="H1222">
        <v>7439</v>
      </c>
      <c r="I1222">
        <v>15</v>
      </c>
      <c r="J1222">
        <v>17</v>
      </c>
      <c r="K1222">
        <v>13</v>
      </c>
      <c r="L1222">
        <v>7</v>
      </c>
      <c r="M1222">
        <v>6</v>
      </c>
      <c r="N1222">
        <v>7</v>
      </c>
      <c r="P1222">
        <f>G1222*I1222/100</f>
        <v>675.3</v>
      </c>
      <c r="Q1222">
        <f t="shared" si="19"/>
        <v>54024</v>
      </c>
      <c r="R1222">
        <f>K1222/J1222</f>
        <v>0.76470588235294112</v>
      </c>
      <c r="S1222">
        <v>2020</v>
      </c>
    </row>
    <row r="1223" spans="1:19" x14ac:dyDescent="0.3">
      <c r="A1223">
        <v>45</v>
      </c>
      <c r="B1223">
        <v>1238</v>
      </c>
      <c r="C1223" t="s">
        <v>17</v>
      </c>
      <c r="D1223" t="s">
        <v>18</v>
      </c>
      <c r="E1223">
        <v>74</v>
      </c>
      <c r="F1223" t="s">
        <v>22</v>
      </c>
      <c r="G1223">
        <v>10748</v>
      </c>
      <c r="H1223">
        <v>3395</v>
      </c>
      <c r="I1223">
        <v>23</v>
      </c>
      <c r="J1223">
        <v>25</v>
      </c>
      <c r="K1223">
        <v>23</v>
      </c>
      <c r="L1223">
        <v>15</v>
      </c>
      <c r="M1223">
        <v>14</v>
      </c>
      <c r="N1223">
        <v>4</v>
      </c>
      <c r="P1223">
        <f>G1223*I1223/100</f>
        <v>2472.04</v>
      </c>
      <c r="Q1223">
        <f t="shared" si="19"/>
        <v>128976</v>
      </c>
      <c r="R1223">
        <f>K1223/J1223</f>
        <v>0.92</v>
      </c>
      <c r="S1223">
        <v>2020</v>
      </c>
    </row>
    <row r="1224" spans="1:19" x14ac:dyDescent="0.3">
      <c r="A1224">
        <v>24</v>
      </c>
      <c r="B1224">
        <v>240</v>
      </c>
      <c r="C1224" t="s">
        <v>26</v>
      </c>
      <c r="D1224" t="s">
        <v>18</v>
      </c>
      <c r="E1224">
        <v>58</v>
      </c>
      <c r="F1224" t="s">
        <v>26</v>
      </c>
      <c r="G1224">
        <v>1555</v>
      </c>
      <c r="H1224">
        <v>11585</v>
      </c>
      <c r="I1224">
        <v>11</v>
      </c>
      <c r="J1224">
        <v>1</v>
      </c>
      <c r="K1224">
        <v>1</v>
      </c>
      <c r="L1224">
        <v>0</v>
      </c>
      <c r="M1224">
        <v>0</v>
      </c>
      <c r="N1224">
        <v>0</v>
      </c>
      <c r="P1224">
        <f>G1224*I1224/100</f>
        <v>171.05</v>
      </c>
      <c r="Q1224">
        <f t="shared" si="19"/>
        <v>18660</v>
      </c>
      <c r="R1224">
        <f>K1224/J1224</f>
        <v>1</v>
      </c>
      <c r="S1224">
        <v>2020</v>
      </c>
    </row>
    <row r="1225" spans="1:19" x14ac:dyDescent="0.3">
      <c r="A1225">
        <v>47</v>
      </c>
      <c r="B1225">
        <v>1093</v>
      </c>
      <c r="C1225" t="s">
        <v>14</v>
      </c>
      <c r="D1225" t="s">
        <v>18</v>
      </c>
      <c r="E1225">
        <v>82</v>
      </c>
      <c r="F1225" t="s">
        <v>16</v>
      </c>
      <c r="G1225">
        <v>12936</v>
      </c>
      <c r="H1225">
        <v>24164</v>
      </c>
      <c r="I1225">
        <v>11</v>
      </c>
      <c r="J1225">
        <v>25</v>
      </c>
      <c r="K1225">
        <v>23</v>
      </c>
      <c r="L1225">
        <v>5</v>
      </c>
      <c r="M1225">
        <v>14</v>
      </c>
      <c r="N1225">
        <v>10</v>
      </c>
      <c r="P1225">
        <f>G1225*I1225/100</f>
        <v>1422.96</v>
      </c>
      <c r="Q1225">
        <f t="shared" si="19"/>
        <v>155232</v>
      </c>
      <c r="R1225">
        <f>K1225/J1225</f>
        <v>0.92</v>
      </c>
      <c r="S1225">
        <v>2020</v>
      </c>
    </row>
    <row r="1226" spans="1:19" x14ac:dyDescent="0.3">
      <c r="A1226">
        <v>26</v>
      </c>
      <c r="B1226">
        <v>390</v>
      </c>
      <c r="C1226" t="s">
        <v>17</v>
      </c>
      <c r="D1226" t="s">
        <v>18</v>
      </c>
      <c r="E1226">
        <v>62</v>
      </c>
      <c r="F1226" t="s">
        <v>20</v>
      </c>
      <c r="G1226">
        <v>2305</v>
      </c>
      <c r="H1226">
        <v>6217</v>
      </c>
      <c r="I1226">
        <v>15</v>
      </c>
      <c r="J1226">
        <v>3</v>
      </c>
      <c r="K1226">
        <v>3</v>
      </c>
      <c r="L1226">
        <v>2</v>
      </c>
      <c r="M1226">
        <v>0</v>
      </c>
      <c r="N1226">
        <v>2</v>
      </c>
      <c r="P1226">
        <f>G1226*I1226/100</f>
        <v>345.75</v>
      </c>
      <c r="Q1226">
        <f t="shared" si="19"/>
        <v>27660</v>
      </c>
      <c r="R1226">
        <f>K1226/J1226</f>
        <v>1</v>
      </c>
      <c r="S1226">
        <v>2020</v>
      </c>
    </row>
    <row r="1227" spans="1:19" x14ac:dyDescent="0.3">
      <c r="A1227">
        <v>45</v>
      </c>
      <c r="B1227">
        <v>1005</v>
      </c>
      <c r="C1227" t="s">
        <v>17</v>
      </c>
      <c r="D1227" t="s">
        <v>15</v>
      </c>
      <c r="E1227">
        <v>48</v>
      </c>
      <c r="F1227" t="s">
        <v>25</v>
      </c>
      <c r="G1227">
        <v>16704</v>
      </c>
      <c r="H1227">
        <v>17119</v>
      </c>
      <c r="I1227">
        <v>11</v>
      </c>
      <c r="J1227">
        <v>21</v>
      </c>
      <c r="K1227">
        <v>21</v>
      </c>
      <c r="L1227">
        <v>6</v>
      </c>
      <c r="M1227">
        <v>8</v>
      </c>
      <c r="N1227">
        <v>6</v>
      </c>
      <c r="P1227">
        <f>G1227*I1227/100</f>
        <v>1837.44</v>
      </c>
      <c r="Q1227">
        <f t="shared" si="19"/>
        <v>200448</v>
      </c>
      <c r="R1227">
        <f>K1227/J1227</f>
        <v>1</v>
      </c>
      <c r="S1227">
        <v>2020</v>
      </c>
    </row>
    <row r="1228" spans="1:19" x14ac:dyDescent="0.3">
      <c r="A1228">
        <v>32</v>
      </c>
      <c r="B1228">
        <v>585</v>
      </c>
      <c r="C1228" t="s">
        <v>17</v>
      </c>
      <c r="D1228" t="s">
        <v>18</v>
      </c>
      <c r="E1228">
        <v>56</v>
      </c>
      <c r="F1228" t="s">
        <v>19</v>
      </c>
      <c r="G1228">
        <v>3433</v>
      </c>
      <c r="H1228">
        <v>17360</v>
      </c>
      <c r="I1228">
        <v>13</v>
      </c>
      <c r="J1228">
        <v>10</v>
      </c>
      <c r="K1228">
        <v>5</v>
      </c>
      <c r="L1228">
        <v>2</v>
      </c>
      <c r="M1228">
        <v>1</v>
      </c>
      <c r="N1228">
        <v>3</v>
      </c>
      <c r="P1228">
        <f>G1228*I1228/100</f>
        <v>446.29</v>
      </c>
      <c r="Q1228">
        <f t="shared" si="19"/>
        <v>41196</v>
      </c>
      <c r="R1228">
        <f>K1228/J1228</f>
        <v>0.5</v>
      </c>
      <c r="S1228">
        <v>2020</v>
      </c>
    </row>
    <row r="1229" spans="1:19" x14ac:dyDescent="0.3">
      <c r="A1229">
        <v>31</v>
      </c>
      <c r="B1229">
        <v>741</v>
      </c>
      <c r="C1229" t="s">
        <v>17</v>
      </c>
      <c r="D1229" t="s">
        <v>18</v>
      </c>
      <c r="E1229">
        <v>69</v>
      </c>
      <c r="F1229" t="s">
        <v>20</v>
      </c>
      <c r="G1229">
        <v>3477</v>
      </c>
      <c r="H1229">
        <v>18103</v>
      </c>
      <c r="I1229">
        <v>14</v>
      </c>
      <c r="J1229">
        <v>6</v>
      </c>
      <c r="K1229">
        <v>5</v>
      </c>
      <c r="L1229">
        <v>2</v>
      </c>
      <c r="M1229">
        <v>0</v>
      </c>
      <c r="N1229">
        <v>3</v>
      </c>
      <c r="P1229">
        <f>G1229*I1229/100</f>
        <v>486.78</v>
      </c>
      <c r="Q1229">
        <f t="shared" si="19"/>
        <v>41724</v>
      </c>
      <c r="R1229">
        <f>K1229/J1229</f>
        <v>0.83333333333333337</v>
      </c>
      <c r="S1229">
        <v>2020</v>
      </c>
    </row>
    <row r="1230" spans="1:19" x14ac:dyDescent="0.3">
      <c r="A1230">
        <v>41</v>
      </c>
      <c r="B1230">
        <v>552</v>
      </c>
      <c r="C1230" t="s">
        <v>26</v>
      </c>
      <c r="D1230" t="s">
        <v>18</v>
      </c>
      <c r="E1230">
        <v>60</v>
      </c>
      <c r="F1230" t="s">
        <v>26</v>
      </c>
      <c r="G1230">
        <v>6430</v>
      </c>
      <c r="H1230">
        <v>20794</v>
      </c>
      <c r="I1230">
        <v>19</v>
      </c>
      <c r="J1230">
        <v>10</v>
      </c>
      <c r="K1230">
        <v>3</v>
      </c>
      <c r="L1230">
        <v>2</v>
      </c>
      <c r="M1230">
        <v>1</v>
      </c>
      <c r="N1230">
        <v>2</v>
      </c>
      <c r="P1230">
        <f>G1230*I1230/100</f>
        <v>1221.7</v>
      </c>
      <c r="Q1230">
        <f t="shared" si="19"/>
        <v>77160</v>
      </c>
      <c r="R1230">
        <f>K1230/J1230</f>
        <v>0.3</v>
      </c>
      <c r="S1230">
        <v>2020</v>
      </c>
    </row>
    <row r="1231" spans="1:19" x14ac:dyDescent="0.3">
      <c r="A1231">
        <v>40</v>
      </c>
      <c r="B1231">
        <v>369</v>
      </c>
      <c r="C1231" t="s">
        <v>17</v>
      </c>
      <c r="D1231" t="s">
        <v>15</v>
      </c>
      <c r="E1231">
        <v>92</v>
      </c>
      <c r="F1231" t="s">
        <v>21</v>
      </c>
      <c r="G1231">
        <v>6516</v>
      </c>
      <c r="H1231">
        <v>5041</v>
      </c>
      <c r="I1231">
        <v>16</v>
      </c>
      <c r="J1231">
        <v>18</v>
      </c>
      <c r="K1231">
        <v>1</v>
      </c>
      <c r="L1231">
        <v>0</v>
      </c>
      <c r="M1231">
        <v>0</v>
      </c>
      <c r="N1231">
        <v>0</v>
      </c>
      <c r="P1231">
        <f>G1231*I1231/100</f>
        <v>1042.56</v>
      </c>
      <c r="Q1231">
        <f t="shared" si="19"/>
        <v>78192</v>
      </c>
      <c r="R1231">
        <f>K1231/J1231</f>
        <v>5.5555555555555552E-2</v>
      </c>
      <c r="S1231">
        <v>2020</v>
      </c>
    </row>
    <row r="1232" spans="1:19" x14ac:dyDescent="0.3">
      <c r="A1232">
        <v>24</v>
      </c>
      <c r="B1232">
        <v>506</v>
      </c>
      <c r="C1232" t="s">
        <v>17</v>
      </c>
      <c r="D1232" t="s">
        <v>18</v>
      </c>
      <c r="E1232">
        <v>91</v>
      </c>
      <c r="F1232" t="s">
        <v>20</v>
      </c>
      <c r="G1232">
        <v>3907</v>
      </c>
      <c r="H1232">
        <v>3622</v>
      </c>
      <c r="I1232">
        <v>13</v>
      </c>
      <c r="J1232">
        <v>6</v>
      </c>
      <c r="K1232">
        <v>6</v>
      </c>
      <c r="L1232">
        <v>2</v>
      </c>
      <c r="M1232">
        <v>1</v>
      </c>
      <c r="N1232">
        <v>2</v>
      </c>
      <c r="P1232">
        <f>G1232*I1232/100</f>
        <v>507.91</v>
      </c>
      <c r="Q1232">
        <f t="shared" si="19"/>
        <v>46884</v>
      </c>
      <c r="R1232">
        <f>K1232/J1232</f>
        <v>1</v>
      </c>
      <c r="S1232">
        <v>2020</v>
      </c>
    </row>
    <row r="1233" spans="1:19" x14ac:dyDescent="0.3">
      <c r="A1233">
        <v>46</v>
      </c>
      <c r="B1233">
        <v>717</v>
      </c>
      <c r="C1233" t="s">
        <v>17</v>
      </c>
      <c r="D1233" t="s">
        <v>18</v>
      </c>
      <c r="E1233">
        <v>34</v>
      </c>
      <c r="F1233" t="s">
        <v>22</v>
      </c>
      <c r="G1233">
        <v>5562</v>
      </c>
      <c r="H1233">
        <v>9697</v>
      </c>
      <c r="I1233">
        <v>14</v>
      </c>
      <c r="J1233">
        <v>19</v>
      </c>
      <c r="K1233">
        <v>10</v>
      </c>
      <c r="L1233">
        <v>7</v>
      </c>
      <c r="M1233">
        <v>0</v>
      </c>
      <c r="N1233">
        <v>9</v>
      </c>
      <c r="P1233">
        <f>G1233*I1233/100</f>
        <v>778.68</v>
      </c>
      <c r="Q1233">
        <f t="shared" si="19"/>
        <v>66744</v>
      </c>
      <c r="R1233">
        <f>K1233/J1233</f>
        <v>0.52631578947368418</v>
      </c>
      <c r="S1233">
        <v>2020</v>
      </c>
    </row>
    <row r="1234" spans="1:19" x14ac:dyDescent="0.3">
      <c r="A1234">
        <v>35</v>
      </c>
      <c r="B1234">
        <v>1370</v>
      </c>
      <c r="C1234" t="s">
        <v>17</v>
      </c>
      <c r="D1234" t="s">
        <v>18</v>
      </c>
      <c r="E1234">
        <v>49</v>
      </c>
      <c r="F1234" t="s">
        <v>21</v>
      </c>
      <c r="G1234">
        <v>6883</v>
      </c>
      <c r="H1234">
        <v>5151</v>
      </c>
      <c r="I1234">
        <v>16</v>
      </c>
      <c r="J1234">
        <v>17</v>
      </c>
      <c r="K1234">
        <v>7</v>
      </c>
      <c r="L1234">
        <v>7</v>
      </c>
      <c r="M1234">
        <v>0</v>
      </c>
      <c r="N1234">
        <v>7</v>
      </c>
      <c r="P1234">
        <f>G1234*I1234/100</f>
        <v>1101.28</v>
      </c>
      <c r="Q1234">
        <f t="shared" si="19"/>
        <v>82596</v>
      </c>
      <c r="R1234">
        <f>K1234/J1234</f>
        <v>0.41176470588235292</v>
      </c>
      <c r="S1234">
        <v>2020</v>
      </c>
    </row>
    <row r="1235" spans="1:19" x14ac:dyDescent="0.3">
      <c r="A1235">
        <v>30</v>
      </c>
      <c r="B1235">
        <v>793</v>
      </c>
      <c r="C1235" t="s">
        <v>17</v>
      </c>
      <c r="D1235" t="s">
        <v>18</v>
      </c>
      <c r="E1235">
        <v>33</v>
      </c>
      <c r="F1235" t="s">
        <v>19</v>
      </c>
      <c r="G1235">
        <v>2862</v>
      </c>
      <c r="H1235">
        <v>3811</v>
      </c>
      <c r="I1235">
        <v>12</v>
      </c>
      <c r="J1235">
        <v>10</v>
      </c>
      <c r="K1235">
        <v>10</v>
      </c>
      <c r="L1235">
        <v>0</v>
      </c>
      <c r="M1235">
        <v>0</v>
      </c>
      <c r="N1235">
        <v>8</v>
      </c>
      <c r="P1235">
        <f>G1235*I1235/100</f>
        <v>343.44</v>
      </c>
      <c r="Q1235">
        <f t="shared" si="19"/>
        <v>34344</v>
      </c>
      <c r="R1235">
        <f>K1235/J1235</f>
        <v>1</v>
      </c>
      <c r="S1235">
        <v>2020</v>
      </c>
    </row>
    <row r="1236" spans="1:19" x14ac:dyDescent="0.3">
      <c r="A1236">
        <v>47</v>
      </c>
      <c r="B1236">
        <v>543</v>
      </c>
      <c r="C1236" t="s">
        <v>14</v>
      </c>
      <c r="D1236" t="s">
        <v>18</v>
      </c>
      <c r="E1236">
        <v>87</v>
      </c>
      <c r="F1236" t="s">
        <v>16</v>
      </c>
      <c r="G1236">
        <v>4978</v>
      </c>
      <c r="H1236">
        <v>3536</v>
      </c>
      <c r="I1236">
        <v>11</v>
      </c>
      <c r="J1236">
        <v>4</v>
      </c>
      <c r="K1236">
        <v>1</v>
      </c>
      <c r="L1236">
        <v>0</v>
      </c>
      <c r="M1236">
        <v>0</v>
      </c>
      <c r="N1236">
        <v>0</v>
      </c>
      <c r="P1236">
        <f>G1236*I1236/100</f>
        <v>547.58000000000004</v>
      </c>
      <c r="Q1236">
        <f t="shared" si="19"/>
        <v>59736</v>
      </c>
      <c r="R1236">
        <f>K1236/J1236</f>
        <v>0.25</v>
      </c>
      <c r="S1236">
        <v>2020</v>
      </c>
    </row>
    <row r="1237" spans="1:19" x14ac:dyDescent="0.3">
      <c r="A1237">
        <v>46</v>
      </c>
      <c r="B1237">
        <v>1277</v>
      </c>
      <c r="C1237" t="s">
        <v>14</v>
      </c>
      <c r="D1237" t="s">
        <v>18</v>
      </c>
      <c r="E1237">
        <v>74</v>
      </c>
      <c r="F1237" t="s">
        <v>16</v>
      </c>
      <c r="G1237">
        <v>10368</v>
      </c>
      <c r="H1237">
        <v>5596</v>
      </c>
      <c r="I1237">
        <v>12</v>
      </c>
      <c r="J1237">
        <v>13</v>
      </c>
      <c r="K1237">
        <v>10</v>
      </c>
      <c r="L1237">
        <v>6</v>
      </c>
      <c r="M1237">
        <v>0</v>
      </c>
      <c r="N1237">
        <v>3</v>
      </c>
      <c r="P1237">
        <f>G1237*I1237/100</f>
        <v>1244.1600000000001</v>
      </c>
      <c r="Q1237">
        <f t="shared" si="19"/>
        <v>124416</v>
      </c>
      <c r="R1237">
        <f>K1237/J1237</f>
        <v>0.76923076923076927</v>
      </c>
      <c r="S1237">
        <v>2020</v>
      </c>
    </row>
    <row r="1238" spans="1:19" x14ac:dyDescent="0.3">
      <c r="A1238">
        <v>36</v>
      </c>
      <c r="B1238">
        <v>1456</v>
      </c>
      <c r="C1238" t="s">
        <v>14</v>
      </c>
      <c r="D1238" t="s">
        <v>18</v>
      </c>
      <c r="E1238">
        <v>96</v>
      </c>
      <c r="F1238" t="s">
        <v>16</v>
      </c>
      <c r="G1238">
        <v>6134</v>
      </c>
      <c r="H1238">
        <v>8658</v>
      </c>
      <c r="I1238">
        <v>13</v>
      </c>
      <c r="J1238">
        <v>16</v>
      </c>
      <c r="K1238">
        <v>2</v>
      </c>
      <c r="L1238">
        <v>2</v>
      </c>
      <c r="M1238">
        <v>2</v>
      </c>
      <c r="N1238">
        <v>2</v>
      </c>
      <c r="P1238">
        <f>G1238*I1238/100</f>
        <v>797.42</v>
      </c>
      <c r="Q1238">
        <f t="shared" si="19"/>
        <v>73608</v>
      </c>
      <c r="R1238">
        <f>K1238/J1238</f>
        <v>0.125</v>
      </c>
      <c r="S1238">
        <v>2020</v>
      </c>
    </row>
    <row r="1239" spans="1:19" x14ac:dyDescent="0.3">
      <c r="A1239">
        <v>32</v>
      </c>
      <c r="B1239">
        <v>964</v>
      </c>
      <c r="C1239" t="s">
        <v>14</v>
      </c>
      <c r="D1239" t="s">
        <v>18</v>
      </c>
      <c r="E1239">
        <v>34</v>
      </c>
      <c r="F1239" t="s">
        <v>16</v>
      </c>
      <c r="G1239">
        <v>6735</v>
      </c>
      <c r="H1239">
        <v>12147</v>
      </c>
      <c r="I1239">
        <v>15</v>
      </c>
      <c r="J1239">
        <v>10</v>
      </c>
      <c r="K1239">
        <v>0</v>
      </c>
      <c r="L1239">
        <v>0</v>
      </c>
      <c r="M1239">
        <v>0</v>
      </c>
      <c r="N1239">
        <v>0</v>
      </c>
      <c r="P1239">
        <f>G1239*I1239/100</f>
        <v>1010.25</v>
      </c>
      <c r="Q1239">
        <f t="shared" si="19"/>
        <v>80820</v>
      </c>
      <c r="R1239">
        <f>K1239/J1239</f>
        <v>0</v>
      </c>
      <c r="S1239">
        <v>2020</v>
      </c>
    </row>
    <row r="1240" spans="1:19" x14ac:dyDescent="0.3">
      <c r="A1240">
        <v>23</v>
      </c>
      <c r="B1240">
        <v>160</v>
      </c>
      <c r="C1240" t="s">
        <v>17</v>
      </c>
      <c r="D1240" t="s">
        <v>15</v>
      </c>
      <c r="E1240">
        <v>51</v>
      </c>
      <c r="F1240" t="s">
        <v>20</v>
      </c>
      <c r="G1240">
        <v>3295</v>
      </c>
      <c r="H1240">
        <v>12862</v>
      </c>
      <c r="I1240">
        <v>13</v>
      </c>
      <c r="J1240">
        <v>3</v>
      </c>
      <c r="K1240">
        <v>3</v>
      </c>
      <c r="L1240">
        <v>2</v>
      </c>
      <c r="M1240">
        <v>1</v>
      </c>
      <c r="N1240">
        <v>2</v>
      </c>
      <c r="P1240">
        <f>G1240*I1240/100</f>
        <v>428.35</v>
      </c>
      <c r="Q1240">
        <f t="shared" si="19"/>
        <v>39540</v>
      </c>
      <c r="R1240">
        <f>K1240/J1240</f>
        <v>1</v>
      </c>
      <c r="S1240">
        <v>2020</v>
      </c>
    </row>
    <row r="1241" spans="1:19" x14ac:dyDescent="0.3">
      <c r="A1241">
        <v>31</v>
      </c>
      <c r="B1241">
        <v>163</v>
      </c>
      <c r="C1241" t="s">
        <v>17</v>
      </c>
      <c r="D1241" t="s">
        <v>15</v>
      </c>
      <c r="E1241">
        <v>30</v>
      </c>
      <c r="F1241" t="s">
        <v>21</v>
      </c>
      <c r="G1241">
        <v>5238</v>
      </c>
      <c r="H1241">
        <v>6670</v>
      </c>
      <c r="I1241">
        <v>20</v>
      </c>
      <c r="J1241">
        <v>9</v>
      </c>
      <c r="K1241">
        <v>5</v>
      </c>
      <c r="L1241">
        <v>4</v>
      </c>
      <c r="M1241">
        <v>1</v>
      </c>
      <c r="N1241">
        <v>4</v>
      </c>
      <c r="P1241">
        <f>G1241*I1241/100</f>
        <v>1047.5999999999999</v>
      </c>
      <c r="Q1241">
        <f t="shared" si="19"/>
        <v>62856</v>
      </c>
      <c r="R1241">
        <f>K1241/J1241</f>
        <v>0.55555555555555558</v>
      </c>
      <c r="S1241">
        <v>2020</v>
      </c>
    </row>
    <row r="1242" spans="1:19" x14ac:dyDescent="0.3">
      <c r="A1242">
        <v>39</v>
      </c>
      <c r="B1242">
        <v>792</v>
      </c>
      <c r="C1242" t="s">
        <v>17</v>
      </c>
      <c r="D1242" t="s">
        <v>18</v>
      </c>
      <c r="E1242">
        <v>77</v>
      </c>
      <c r="F1242" t="s">
        <v>20</v>
      </c>
      <c r="G1242">
        <v>6472</v>
      </c>
      <c r="H1242">
        <v>8989</v>
      </c>
      <c r="I1242">
        <v>15</v>
      </c>
      <c r="J1242">
        <v>9</v>
      </c>
      <c r="K1242">
        <v>9</v>
      </c>
      <c r="L1242">
        <v>8</v>
      </c>
      <c r="M1242">
        <v>5</v>
      </c>
      <c r="N1242">
        <v>8</v>
      </c>
      <c r="P1242">
        <f>G1242*I1242/100</f>
        <v>970.8</v>
      </c>
      <c r="Q1242">
        <f t="shared" si="19"/>
        <v>77664</v>
      </c>
      <c r="R1242">
        <f>K1242/J1242</f>
        <v>1</v>
      </c>
      <c r="S1242">
        <v>2020</v>
      </c>
    </row>
    <row r="1243" spans="1:19" x14ac:dyDescent="0.3">
      <c r="A1243">
        <v>32</v>
      </c>
      <c r="B1243">
        <v>371</v>
      </c>
      <c r="C1243" t="s">
        <v>14</v>
      </c>
      <c r="D1243" t="s">
        <v>18</v>
      </c>
      <c r="E1243">
        <v>80</v>
      </c>
      <c r="F1243" t="s">
        <v>16</v>
      </c>
      <c r="G1243">
        <v>9610</v>
      </c>
      <c r="H1243">
        <v>3840</v>
      </c>
      <c r="I1243">
        <v>13</v>
      </c>
      <c r="J1243">
        <v>10</v>
      </c>
      <c r="K1243">
        <v>4</v>
      </c>
      <c r="L1243">
        <v>3</v>
      </c>
      <c r="M1243">
        <v>0</v>
      </c>
      <c r="N1243">
        <v>2</v>
      </c>
      <c r="P1243">
        <f>G1243*I1243/100</f>
        <v>1249.3</v>
      </c>
      <c r="Q1243">
        <f t="shared" si="19"/>
        <v>115320</v>
      </c>
      <c r="R1243">
        <f>K1243/J1243</f>
        <v>0.4</v>
      </c>
      <c r="S1243">
        <v>2020</v>
      </c>
    </row>
    <row r="1244" spans="1:19" x14ac:dyDescent="0.3">
      <c r="A1244">
        <v>40</v>
      </c>
      <c r="B1244">
        <v>611</v>
      </c>
      <c r="C1244" t="s">
        <v>14</v>
      </c>
      <c r="D1244" t="s">
        <v>18</v>
      </c>
      <c r="E1244">
        <v>88</v>
      </c>
      <c r="F1244" t="s">
        <v>23</v>
      </c>
      <c r="G1244">
        <v>19833</v>
      </c>
      <c r="H1244">
        <v>4349</v>
      </c>
      <c r="I1244">
        <v>14</v>
      </c>
      <c r="J1244">
        <v>21</v>
      </c>
      <c r="K1244">
        <v>21</v>
      </c>
      <c r="L1244">
        <v>8</v>
      </c>
      <c r="M1244">
        <v>12</v>
      </c>
      <c r="N1244">
        <v>8</v>
      </c>
      <c r="P1244">
        <f>G1244*I1244/100</f>
        <v>2776.62</v>
      </c>
      <c r="Q1244">
        <f t="shared" si="19"/>
        <v>237996</v>
      </c>
      <c r="R1244">
        <f>K1244/J1244</f>
        <v>1</v>
      </c>
      <c r="S1244">
        <v>2020</v>
      </c>
    </row>
    <row r="1245" spans="1:19" x14ac:dyDescent="0.3">
      <c r="A1245">
        <v>45</v>
      </c>
      <c r="B1245">
        <v>176</v>
      </c>
      <c r="C1245" t="s">
        <v>26</v>
      </c>
      <c r="D1245" t="s">
        <v>15</v>
      </c>
      <c r="E1245">
        <v>56</v>
      </c>
      <c r="F1245" t="s">
        <v>26</v>
      </c>
      <c r="G1245">
        <v>9756</v>
      </c>
      <c r="H1245">
        <v>6595</v>
      </c>
      <c r="I1245">
        <v>21</v>
      </c>
      <c r="J1245">
        <v>9</v>
      </c>
      <c r="K1245">
        <v>5</v>
      </c>
      <c r="L1245">
        <v>0</v>
      </c>
      <c r="M1245">
        <v>0</v>
      </c>
      <c r="N1245">
        <v>3</v>
      </c>
      <c r="P1245">
        <f>G1245*I1245/100</f>
        <v>2048.7600000000002</v>
      </c>
      <c r="Q1245">
        <f t="shared" si="19"/>
        <v>117072</v>
      </c>
      <c r="R1245">
        <f>K1245/J1245</f>
        <v>0.55555555555555558</v>
      </c>
      <c r="S1245">
        <v>2020</v>
      </c>
    </row>
    <row r="1246" spans="1:19" x14ac:dyDescent="0.3">
      <c r="A1246">
        <v>30</v>
      </c>
      <c r="B1246">
        <v>1312</v>
      </c>
      <c r="C1246" t="s">
        <v>17</v>
      </c>
      <c r="D1246" t="s">
        <v>15</v>
      </c>
      <c r="E1246">
        <v>78</v>
      </c>
      <c r="F1246" t="s">
        <v>19</v>
      </c>
      <c r="G1246">
        <v>4968</v>
      </c>
      <c r="H1246">
        <v>26427</v>
      </c>
      <c r="I1246">
        <v>16</v>
      </c>
      <c r="J1246">
        <v>10</v>
      </c>
      <c r="K1246">
        <v>9</v>
      </c>
      <c r="L1246">
        <v>7</v>
      </c>
      <c r="M1246">
        <v>0</v>
      </c>
      <c r="N1246">
        <v>7</v>
      </c>
      <c r="P1246">
        <f>G1246*I1246/100</f>
        <v>794.88</v>
      </c>
      <c r="Q1246">
        <f t="shared" si="19"/>
        <v>59616</v>
      </c>
      <c r="R1246">
        <f>K1246/J1246</f>
        <v>0.9</v>
      </c>
      <c r="S1246">
        <v>2020</v>
      </c>
    </row>
    <row r="1247" spans="1:19" x14ac:dyDescent="0.3">
      <c r="A1247">
        <v>24</v>
      </c>
      <c r="B1247">
        <v>897</v>
      </c>
      <c r="C1247" t="s">
        <v>26</v>
      </c>
      <c r="D1247" t="s">
        <v>18</v>
      </c>
      <c r="E1247">
        <v>59</v>
      </c>
      <c r="F1247" t="s">
        <v>26</v>
      </c>
      <c r="G1247">
        <v>2145</v>
      </c>
      <c r="H1247">
        <v>2097</v>
      </c>
      <c r="I1247">
        <v>14</v>
      </c>
      <c r="J1247">
        <v>3</v>
      </c>
      <c r="K1247">
        <v>2</v>
      </c>
      <c r="L1247">
        <v>2</v>
      </c>
      <c r="M1247">
        <v>2</v>
      </c>
      <c r="N1247">
        <v>1</v>
      </c>
      <c r="P1247">
        <f>G1247*I1247/100</f>
        <v>300.3</v>
      </c>
      <c r="Q1247">
        <f t="shared" si="19"/>
        <v>25740</v>
      </c>
      <c r="R1247">
        <f>K1247/J1247</f>
        <v>0.66666666666666663</v>
      </c>
      <c r="S1247">
        <v>2020</v>
      </c>
    </row>
    <row r="1248" spans="1:19" x14ac:dyDescent="0.3">
      <c r="A1248">
        <v>30</v>
      </c>
      <c r="B1248">
        <v>600</v>
      </c>
      <c r="C1248" t="s">
        <v>26</v>
      </c>
      <c r="D1248" t="s">
        <v>15</v>
      </c>
      <c r="E1248">
        <v>66</v>
      </c>
      <c r="F1248" t="s">
        <v>26</v>
      </c>
      <c r="G1248">
        <v>2180</v>
      </c>
      <c r="H1248">
        <v>9732</v>
      </c>
      <c r="I1248">
        <v>11</v>
      </c>
      <c r="J1248">
        <v>6</v>
      </c>
      <c r="K1248">
        <v>4</v>
      </c>
      <c r="L1248">
        <v>2</v>
      </c>
      <c r="M1248">
        <v>1</v>
      </c>
      <c r="N1248">
        <v>2</v>
      </c>
      <c r="P1248">
        <f>G1248*I1248/100</f>
        <v>239.8</v>
      </c>
      <c r="Q1248">
        <f t="shared" si="19"/>
        <v>26160</v>
      </c>
      <c r="R1248">
        <f>K1248/J1248</f>
        <v>0.66666666666666663</v>
      </c>
      <c r="S1248">
        <v>2020</v>
      </c>
    </row>
    <row r="1249" spans="1:19" x14ac:dyDescent="0.3">
      <c r="A1249">
        <v>31</v>
      </c>
      <c r="B1249">
        <v>1003</v>
      </c>
      <c r="C1249" t="s">
        <v>14</v>
      </c>
      <c r="D1249" t="s">
        <v>18</v>
      </c>
      <c r="E1249">
        <v>51</v>
      </c>
      <c r="F1249" t="s">
        <v>16</v>
      </c>
      <c r="G1249">
        <v>8346</v>
      </c>
      <c r="H1249">
        <v>20943</v>
      </c>
      <c r="I1249">
        <v>19</v>
      </c>
      <c r="J1249">
        <v>6</v>
      </c>
      <c r="K1249">
        <v>5</v>
      </c>
      <c r="L1249">
        <v>2</v>
      </c>
      <c r="M1249">
        <v>0</v>
      </c>
      <c r="N1249">
        <v>2</v>
      </c>
      <c r="P1249">
        <f>G1249*I1249/100</f>
        <v>1585.74</v>
      </c>
      <c r="Q1249">
        <f t="shared" si="19"/>
        <v>100152</v>
      </c>
      <c r="R1249">
        <f>K1249/J1249</f>
        <v>0.83333333333333337</v>
      </c>
      <c r="S1249">
        <v>2020</v>
      </c>
    </row>
    <row r="1250" spans="1:19" x14ac:dyDescent="0.3">
      <c r="A1250">
        <v>27</v>
      </c>
      <c r="B1250">
        <v>1054</v>
      </c>
      <c r="C1250" t="s">
        <v>17</v>
      </c>
      <c r="D1250" t="s">
        <v>15</v>
      </c>
      <c r="E1250">
        <v>67</v>
      </c>
      <c r="F1250" t="s">
        <v>19</v>
      </c>
      <c r="G1250">
        <v>3445</v>
      </c>
      <c r="H1250">
        <v>6152</v>
      </c>
      <c r="I1250">
        <v>11</v>
      </c>
      <c r="J1250">
        <v>6</v>
      </c>
      <c r="K1250">
        <v>6</v>
      </c>
      <c r="L1250">
        <v>2</v>
      </c>
      <c r="M1250">
        <v>1</v>
      </c>
      <c r="N1250">
        <v>4</v>
      </c>
      <c r="P1250">
        <f>G1250*I1250/100</f>
        <v>378.95</v>
      </c>
      <c r="Q1250">
        <f t="shared" si="19"/>
        <v>41340</v>
      </c>
      <c r="R1250">
        <f>K1250/J1250</f>
        <v>1</v>
      </c>
      <c r="S1250">
        <v>2020</v>
      </c>
    </row>
    <row r="1251" spans="1:19" x14ac:dyDescent="0.3">
      <c r="A1251">
        <v>29</v>
      </c>
      <c r="B1251">
        <v>428</v>
      </c>
      <c r="C1251" t="s">
        <v>14</v>
      </c>
      <c r="D1251" t="s">
        <v>15</v>
      </c>
      <c r="E1251">
        <v>52</v>
      </c>
      <c r="F1251" t="s">
        <v>24</v>
      </c>
      <c r="G1251">
        <v>2760</v>
      </c>
      <c r="H1251">
        <v>14630</v>
      </c>
      <c r="I1251">
        <v>13</v>
      </c>
      <c r="J1251">
        <v>2</v>
      </c>
      <c r="K1251">
        <v>2</v>
      </c>
      <c r="L1251">
        <v>2</v>
      </c>
      <c r="M1251">
        <v>2</v>
      </c>
      <c r="N1251">
        <v>2</v>
      </c>
      <c r="P1251">
        <f>G1251*I1251/100</f>
        <v>358.8</v>
      </c>
      <c r="Q1251">
        <f t="shared" si="19"/>
        <v>33120</v>
      </c>
      <c r="R1251">
        <f>K1251/J1251</f>
        <v>1</v>
      </c>
      <c r="S1251">
        <v>2020</v>
      </c>
    </row>
    <row r="1252" spans="1:19" x14ac:dyDescent="0.3">
      <c r="A1252">
        <v>29</v>
      </c>
      <c r="B1252">
        <v>461</v>
      </c>
      <c r="C1252" t="s">
        <v>17</v>
      </c>
      <c r="D1252" t="s">
        <v>18</v>
      </c>
      <c r="E1252">
        <v>70</v>
      </c>
      <c r="F1252" t="s">
        <v>22</v>
      </c>
      <c r="G1252">
        <v>6294</v>
      </c>
      <c r="H1252">
        <v>23060</v>
      </c>
      <c r="I1252">
        <v>12</v>
      </c>
      <c r="J1252">
        <v>10</v>
      </c>
      <c r="K1252">
        <v>3</v>
      </c>
      <c r="L1252">
        <v>2</v>
      </c>
      <c r="M1252">
        <v>0</v>
      </c>
      <c r="N1252">
        <v>2</v>
      </c>
      <c r="P1252">
        <f>G1252*I1252/100</f>
        <v>755.28</v>
      </c>
      <c r="Q1252">
        <f t="shared" si="19"/>
        <v>75528</v>
      </c>
      <c r="R1252">
        <f>K1252/J1252</f>
        <v>0.3</v>
      </c>
      <c r="S1252">
        <v>2020</v>
      </c>
    </row>
    <row r="1253" spans="1:19" x14ac:dyDescent="0.3">
      <c r="A1253">
        <v>30</v>
      </c>
      <c r="B1253">
        <v>979</v>
      </c>
      <c r="C1253" t="s">
        <v>14</v>
      </c>
      <c r="D1253" t="s">
        <v>18</v>
      </c>
      <c r="E1253">
        <v>94</v>
      </c>
      <c r="F1253" t="s">
        <v>16</v>
      </c>
      <c r="G1253">
        <v>7140</v>
      </c>
      <c r="H1253">
        <v>3088</v>
      </c>
      <c r="I1253">
        <v>11</v>
      </c>
      <c r="J1253">
        <v>12</v>
      </c>
      <c r="K1253">
        <v>7</v>
      </c>
      <c r="L1253">
        <v>7</v>
      </c>
      <c r="M1253">
        <v>1</v>
      </c>
      <c r="N1253">
        <v>7</v>
      </c>
      <c r="P1253">
        <f>G1253*I1253/100</f>
        <v>785.4</v>
      </c>
      <c r="Q1253">
        <f t="shared" si="19"/>
        <v>85680</v>
      </c>
      <c r="R1253">
        <f>K1253/J1253</f>
        <v>0.58333333333333337</v>
      </c>
      <c r="S1253">
        <v>2020</v>
      </c>
    </row>
    <row r="1254" spans="1:19" x14ac:dyDescent="0.3">
      <c r="A1254">
        <v>34</v>
      </c>
      <c r="B1254">
        <v>181</v>
      </c>
      <c r="C1254" t="s">
        <v>17</v>
      </c>
      <c r="D1254" t="s">
        <v>18</v>
      </c>
      <c r="E1254">
        <v>97</v>
      </c>
      <c r="F1254" t="s">
        <v>19</v>
      </c>
      <c r="G1254">
        <v>2932</v>
      </c>
      <c r="H1254">
        <v>5586</v>
      </c>
      <c r="I1254">
        <v>14</v>
      </c>
      <c r="J1254">
        <v>6</v>
      </c>
      <c r="K1254">
        <v>5</v>
      </c>
      <c r="L1254">
        <v>0</v>
      </c>
      <c r="M1254">
        <v>1</v>
      </c>
      <c r="N1254">
        <v>2</v>
      </c>
      <c r="P1254">
        <f>G1254*I1254/100</f>
        <v>410.48</v>
      </c>
      <c r="Q1254">
        <f t="shared" si="19"/>
        <v>35184</v>
      </c>
      <c r="R1254">
        <f>K1254/J1254</f>
        <v>0.83333333333333337</v>
      </c>
      <c r="S1254">
        <v>2020</v>
      </c>
    </row>
    <row r="1255" spans="1:19" x14ac:dyDescent="0.3">
      <c r="A1255">
        <v>33</v>
      </c>
      <c r="B1255">
        <v>1283</v>
      </c>
      <c r="C1255" t="s">
        <v>14</v>
      </c>
      <c r="D1255" t="s">
        <v>15</v>
      </c>
      <c r="E1255">
        <v>62</v>
      </c>
      <c r="F1255" t="s">
        <v>16</v>
      </c>
      <c r="G1255">
        <v>5147</v>
      </c>
      <c r="H1255">
        <v>10697</v>
      </c>
      <c r="I1255">
        <v>15</v>
      </c>
      <c r="J1255">
        <v>13</v>
      </c>
      <c r="K1255">
        <v>11</v>
      </c>
      <c r="L1255">
        <v>7</v>
      </c>
      <c r="M1255">
        <v>1</v>
      </c>
      <c r="N1255">
        <v>7</v>
      </c>
      <c r="P1255">
        <f>G1255*I1255/100</f>
        <v>772.05</v>
      </c>
      <c r="Q1255">
        <f t="shared" si="19"/>
        <v>61764</v>
      </c>
      <c r="R1255">
        <f>K1255/J1255</f>
        <v>0.84615384615384615</v>
      </c>
      <c r="S1255">
        <v>2020</v>
      </c>
    </row>
    <row r="1256" spans="1:19" x14ac:dyDescent="0.3">
      <c r="A1256">
        <v>49</v>
      </c>
      <c r="B1256">
        <v>1313</v>
      </c>
      <c r="C1256" t="s">
        <v>14</v>
      </c>
      <c r="D1256" t="s">
        <v>15</v>
      </c>
      <c r="E1256">
        <v>80</v>
      </c>
      <c r="F1256" t="s">
        <v>16</v>
      </c>
      <c r="G1256">
        <v>4507</v>
      </c>
      <c r="H1256">
        <v>8191</v>
      </c>
      <c r="I1256">
        <v>12</v>
      </c>
      <c r="J1256">
        <v>8</v>
      </c>
      <c r="K1256">
        <v>5</v>
      </c>
      <c r="L1256">
        <v>1</v>
      </c>
      <c r="M1256">
        <v>0</v>
      </c>
      <c r="N1256">
        <v>4</v>
      </c>
      <c r="P1256">
        <f>G1256*I1256/100</f>
        <v>540.84</v>
      </c>
      <c r="Q1256">
        <f t="shared" si="19"/>
        <v>54084</v>
      </c>
      <c r="R1256">
        <f>K1256/J1256</f>
        <v>0.625</v>
      </c>
      <c r="S1256">
        <v>2020</v>
      </c>
    </row>
    <row r="1257" spans="1:19" x14ac:dyDescent="0.3">
      <c r="A1257">
        <v>33</v>
      </c>
      <c r="B1257">
        <v>211</v>
      </c>
      <c r="C1257" t="s">
        <v>14</v>
      </c>
      <c r="D1257" t="s">
        <v>15</v>
      </c>
      <c r="E1257">
        <v>74</v>
      </c>
      <c r="F1257" t="s">
        <v>16</v>
      </c>
      <c r="G1257">
        <v>8564</v>
      </c>
      <c r="H1257">
        <v>10092</v>
      </c>
      <c r="I1257">
        <v>20</v>
      </c>
      <c r="J1257">
        <v>11</v>
      </c>
      <c r="K1257">
        <v>0</v>
      </c>
      <c r="L1257">
        <v>0</v>
      </c>
      <c r="M1257">
        <v>0</v>
      </c>
      <c r="N1257">
        <v>0</v>
      </c>
      <c r="P1257">
        <f>G1257*I1257/100</f>
        <v>1712.8</v>
      </c>
      <c r="Q1257">
        <f t="shared" si="19"/>
        <v>102768</v>
      </c>
      <c r="R1257">
        <f>K1257/J1257</f>
        <v>0</v>
      </c>
      <c r="S1257">
        <v>2020</v>
      </c>
    </row>
    <row r="1258" spans="1:19" x14ac:dyDescent="0.3">
      <c r="A1258">
        <v>38</v>
      </c>
      <c r="B1258">
        <v>594</v>
      </c>
      <c r="C1258" t="s">
        <v>17</v>
      </c>
      <c r="D1258" t="s">
        <v>15</v>
      </c>
      <c r="E1258">
        <v>75</v>
      </c>
      <c r="F1258" t="s">
        <v>20</v>
      </c>
      <c r="G1258">
        <v>2468</v>
      </c>
      <c r="H1258">
        <v>15963</v>
      </c>
      <c r="I1258">
        <v>14</v>
      </c>
      <c r="J1258">
        <v>9</v>
      </c>
      <c r="K1258">
        <v>6</v>
      </c>
      <c r="L1258">
        <v>1</v>
      </c>
      <c r="M1258">
        <v>0</v>
      </c>
      <c r="N1258">
        <v>5</v>
      </c>
      <c r="P1258">
        <f>G1258*I1258/100</f>
        <v>345.52</v>
      </c>
      <c r="Q1258">
        <f t="shared" si="19"/>
        <v>29616</v>
      </c>
      <c r="R1258">
        <f>K1258/J1258</f>
        <v>0.66666666666666663</v>
      </c>
      <c r="S1258">
        <v>2020</v>
      </c>
    </row>
    <row r="1259" spans="1:19" x14ac:dyDescent="0.3">
      <c r="A1259">
        <v>31</v>
      </c>
      <c r="B1259">
        <v>1079</v>
      </c>
      <c r="C1259" t="s">
        <v>14</v>
      </c>
      <c r="D1259" t="s">
        <v>18</v>
      </c>
      <c r="E1259">
        <v>70</v>
      </c>
      <c r="F1259" t="s">
        <v>16</v>
      </c>
      <c r="G1259">
        <v>8161</v>
      </c>
      <c r="H1259">
        <v>19002</v>
      </c>
      <c r="I1259">
        <v>13</v>
      </c>
      <c r="J1259">
        <v>10</v>
      </c>
      <c r="K1259">
        <v>1</v>
      </c>
      <c r="L1259">
        <v>0</v>
      </c>
      <c r="M1259">
        <v>0</v>
      </c>
      <c r="N1259">
        <v>0</v>
      </c>
      <c r="P1259">
        <f>G1259*I1259/100</f>
        <v>1060.93</v>
      </c>
      <c r="Q1259">
        <f t="shared" si="19"/>
        <v>97932</v>
      </c>
      <c r="R1259">
        <f>K1259/J1259</f>
        <v>0.1</v>
      </c>
      <c r="S1259">
        <v>2020</v>
      </c>
    </row>
    <row r="1260" spans="1:19" x14ac:dyDescent="0.3">
      <c r="A1260">
        <v>29</v>
      </c>
      <c r="B1260">
        <v>590</v>
      </c>
      <c r="C1260" t="s">
        <v>17</v>
      </c>
      <c r="D1260" t="s">
        <v>15</v>
      </c>
      <c r="E1260">
        <v>91</v>
      </c>
      <c r="F1260" t="s">
        <v>19</v>
      </c>
      <c r="G1260">
        <v>2109</v>
      </c>
      <c r="H1260">
        <v>10007</v>
      </c>
      <c r="I1260">
        <v>13</v>
      </c>
      <c r="J1260">
        <v>1</v>
      </c>
      <c r="K1260">
        <v>1</v>
      </c>
      <c r="L1260">
        <v>0</v>
      </c>
      <c r="M1260">
        <v>0</v>
      </c>
      <c r="N1260">
        <v>0</v>
      </c>
      <c r="P1260">
        <f>G1260*I1260/100</f>
        <v>274.17</v>
      </c>
      <c r="Q1260">
        <f t="shared" si="19"/>
        <v>25308</v>
      </c>
      <c r="R1260">
        <f>K1260/J1260</f>
        <v>1</v>
      </c>
      <c r="S1260">
        <v>2020</v>
      </c>
    </row>
    <row r="1261" spans="1:19" x14ac:dyDescent="0.3">
      <c r="A1261">
        <v>30</v>
      </c>
      <c r="B1261">
        <v>305</v>
      </c>
      <c r="C1261" t="s">
        <v>17</v>
      </c>
      <c r="D1261" t="s">
        <v>18</v>
      </c>
      <c r="E1261">
        <v>58</v>
      </c>
      <c r="F1261" t="s">
        <v>22</v>
      </c>
      <c r="G1261">
        <v>5294</v>
      </c>
      <c r="H1261">
        <v>9128</v>
      </c>
      <c r="I1261">
        <v>16</v>
      </c>
      <c r="J1261">
        <v>10</v>
      </c>
      <c r="K1261">
        <v>7</v>
      </c>
      <c r="L1261">
        <v>0</v>
      </c>
      <c r="M1261">
        <v>1</v>
      </c>
      <c r="N1261">
        <v>7</v>
      </c>
      <c r="P1261">
        <f>G1261*I1261/100</f>
        <v>847.04</v>
      </c>
      <c r="Q1261">
        <f t="shared" si="19"/>
        <v>63528</v>
      </c>
      <c r="R1261">
        <f>K1261/J1261</f>
        <v>0.7</v>
      </c>
      <c r="S1261">
        <v>2020</v>
      </c>
    </row>
    <row r="1262" spans="1:19" x14ac:dyDescent="0.3">
      <c r="A1262">
        <v>32</v>
      </c>
      <c r="B1262">
        <v>953</v>
      </c>
      <c r="C1262" t="s">
        <v>17</v>
      </c>
      <c r="D1262" t="s">
        <v>18</v>
      </c>
      <c r="E1262">
        <v>65</v>
      </c>
      <c r="F1262" t="s">
        <v>19</v>
      </c>
      <c r="G1262">
        <v>2718</v>
      </c>
      <c r="H1262">
        <v>17674</v>
      </c>
      <c r="I1262">
        <v>14</v>
      </c>
      <c r="J1262">
        <v>12</v>
      </c>
      <c r="K1262">
        <v>7</v>
      </c>
      <c r="L1262">
        <v>7</v>
      </c>
      <c r="M1262">
        <v>0</v>
      </c>
      <c r="N1262">
        <v>7</v>
      </c>
      <c r="P1262">
        <f>G1262*I1262/100</f>
        <v>380.52</v>
      </c>
      <c r="Q1262">
        <f t="shared" si="19"/>
        <v>32616</v>
      </c>
      <c r="R1262">
        <f>K1262/J1262</f>
        <v>0.58333333333333337</v>
      </c>
      <c r="S1262">
        <v>2020</v>
      </c>
    </row>
    <row r="1263" spans="1:19" x14ac:dyDescent="0.3">
      <c r="A1263">
        <v>38</v>
      </c>
      <c r="B1263">
        <v>833</v>
      </c>
      <c r="C1263" t="s">
        <v>17</v>
      </c>
      <c r="D1263" t="s">
        <v>18</v>
      </c>
      <c r="E1263">
        <v>60</v>
      </c>
      <c r="F1263" t="s">
        <v>22</v>
      </c>
      <c r="G1263">
        <v>5811</v>
      </c>
      <c r="H1263">
        <v>24539</v>
      </c>
      <c r="I1263">
        <v>16</v>
      </c>
      <c r="J1263">
        <v>15</v>
      </c>
      <c r="K1263">
        <v>1</v>
      </c>
      <c r="L1263">
        <v>0</v>
      </c>
      <c r="M1263">
        <v>1</v>
      </c>
      <c r="N1263">
        <v>0</v>
      </c>
      <c r="P1263">
        <f>G1263*I1263/100</f>
        <v>929.76</v>
      </c>
      <c r="Q1263">
        <f t="shared" si="19"/>
        <v>69732</v>
      </c>
      <c r="R1263">
        <f>K1263/J1263</f>
        <v>6.6666666666666666E-2</v>
      </c>
      <c r="S1263">
        <v>2020</v>
      </c>
    </row>
    <row r="1264" spans="1:19" x14ac:dyDescent="0.3">
      <c r="A1264">
        <v>43</v>
      </c>
      <c r="B1264">
        <v>807</v>
      </c>
      <c r="C1264" t="s">
        <v>17</v>
      </c>
      <c r="D1264" t="s">
        <v>18</v>
      </c>
      <c r="E1264">
        <v>38</v>
      </c>
      <c r="F1264" t="s">
        <v>19</v>
      </c>
      <c r="G1264">
        <v>2437</v>
      </c>
      <c r="H1264">
        <v>15587</v>
      </c>
      <c r="I1264">
        <v>16</v>
      </c>
      <c r="J1264">
        <v>6</v>
      </c>
      <c r="K1264">
        <v>1</v>
      </c>
      <c r="L1264">
        <v>0</v>
      </c>
      <c r="M1264">
        <v>0</v>
      </c>
      <c r="N1264">
        <v>0</v>
      </c>
      <c r="P1264">
        <f>G1264*I1264/100</f>
        <v>389.92</v>
      </c>
      <c r="Q1264">
        <f t="shared" si="19"/>
        <v>29244</v>
      </c>
      <c r="R1264">
        <f>K1264/J1264</f>
        <v>0.16666666666666666</v>
      </c>
      <c r="S1264">
        <v>2020</v>
      </c>
    </row>
    <row r="1265" spans="1:19" x14ac:dyDescent="0.3">
      <c r="A1265">
        <v>42</v>
      </c>
      <c r="B1265">
        <v>855</v>
      </c>
      <c r="C1265" t="s">
        <v>17</v>
      </c>
      <c r="D1265" t="s">
        <v>18</v>
      </c>
      <c r="E1265">
        <v>57</v>
      </c>
      <c r="F1265" t="s">
        <v>20</v>
      </c>
      <c r="G1265">
        <v>2766</v>
      </c>
      <c r="H1265">
        <v>8952</v>
      </c>
      <c r="I1265">
        <v>22</v>
      </c>
      <c r="J1265">
        <v>7</v>
      </c>
      <c r="K1265">
        <v>5</v>
      </c>
      <c r="L1265">
        <v>3</v>
      </c>
      <c r="M1265">
        <v>0</v>
      </c>
      <c r="N1265">
        <v>4</v>
      </c>
      <c r="P1265">
        <f>G1265*I1265/100</f>
        <v>608.52</v>
      </c>
      <c r="Q1265">
        <f t="shared" si="19"/>
        <v>33192</v>
      </c>
      <c r="R1265">
        <f>K1265/J1265</f>
        <v>0.7142857142857143</v>
      </c>
      <c r="S1265">
        <v>2020</v>
      </c>
    </row>
    <row r="1266" spans="1:19" x14ac:dyDescent="0.3">
      <c r="A1266">
        <v>55</v>
      </c>
      <c r="B1266">
        <v>478</v>
      </c>
      <c r="C1266" t="s">
        <v>17</v>
      </c>
      <c r="D1266" t="s">
        <v>18</v>
      </c>
      <c r="E1266">
        <v>60</v>
      </c>
      <c r="F1266" t="s">
        <v>25</v>
      </c>
      <c r="G1266">
        <v>19038</v>
      </c>
      <c r="H1266">
        <v>19805</v>
      </c>
      <c r="I1266">
        <v>12</v>
      </c>
      <c r="J1266">
        <v>34</v>
      </c>
      <c r="K1266">
        <v>1</v>
      </c>
      <c r="L1266">
        <v>0</v>
      </c>
      <c r="M1266">
        <v>0</v>
      </c>
      <c r="N1266">
        <v>0</v>
      </c>
      <c r="P1266">
        <f>G1266*I1266/100</f>
        <v>2284.56</v>
      </c>
      <c r="Q1266">
        <f t="shared" si="19"/>
        <v>228456</v>
      </c>
      <c r="R1266">
        <f>K1266/J1266</f>
        <v>2.9411764705882353E-2</v>
      </c>
      <c r="S1266">
        <v>2020</v>
      </c>
    </row>
    <row r="1267" spans="1:19" x14ac:dyDescent="0.3">
      <c r="A1267">
        <v>33</v>
      </c>
      <c r="B1267">
        <v>775</v>
      </c>
      <c r="C1267" t="s">
        <v>17</v>
      </c>
      <c r="D1267" t="s">
        <v>18</v>
      </c>
      <c r="E1267">
        <v>90</v>
      </c>
      <c r="F1267" t="s">
        <v>19</v>
      </c>
      <c r="G1267">
        <v>3055</v>
      </c>
      <c r="H1267">
        <v>6194</v>
      </c>
      <c r="I1267">
        <v>15</v>
      </c>
      <c r="J1267">
        <v>11</v>
      </c>
      <c r="K1267">
        <v>9</v>
      </c>
      <c r="L1267">
        <v>8</v>
      </c>
      <c r="M1267">
        <v>1</v>
      </c>
      <c r="N1267">
        <v>7</v>
      </c>
      <c r="P1267">
        <f>G1267*I1267/100</f>
        <v>458.25</v>
      </c>
      <c r="Q1267">
        <f t="shared" si="19"/>
        <v>36660</v>
      </c>
      <c r="R1267">
        <f>K1267/J1267</f>
        <v>0.81818181818181823</v>
      </c>
      <c r="S1267">
        <v>2020</v>
      </c>
    </row>
    <row r="1268" spans="1:19" x14ac:dyDescent="0.3">
      <c r="A1268">
        <v>41</v>
      </c>
      <c r="B1268">
        <v>548</v>
      </c>
      <c r="C1268" t="s">
        <v>17</v>
      </c>
      <c r="D1268" t="s">
        <v>18</v>
      </c>
      <c r="E1268">
        <v>94</v>
      </c>
      <c r="F1268" t="s">
        <v>20</v>
      </c>
      <c r="G1268">
        <v>2289</v>
      </c>
      <c r="H1268">
        <v>20520</v>
      </c>
      <c r="I1268">
        <v>20</v>
      </c>
      <c r="J1268">
        <v>5</v>
      </c>
      <c r="K1268">
        <v>5</v>
      </c>
      <c r="L1268">
        <v>3</v>
      </c>
      <c r="M1268">
        <v>0</v>
      </c>
      <c r="N1268">
        <v>4</v>
      </c>
      <c r="P1268">
        <f>G1268*I1268/100</f>
        <v>457.8</v>
      </c>
      <c r="Q1268">
        <f t="shared" si="19"/>
        <v>27468</v>
      </c>
      <c r="R1268">
        <f>K1268/J1268</f>
        <v>1</v>
      </c>
      <c r="S1268">
        <v>2020</v>
      </c>
    </row>
    <row r="1269" spans="1:19" x14ac:dyDescent="0.3">
      <c r="A1269">
        <v>34</v>
      </c>
      <c r="B1269">
        <v>1375</v>
      </c>
      <c r="C1269" t="s">
        <v>14</v>
      </c>
      <c r="D1269" t="s">
        <v>18</v>
      </c>
      <c r="E1269">
        <v>87</v>
      </c>
      <c r="F1269" t="s">
        <v>16</v>
      </c>
      <c r="G1269">
        <v>4001</v>
      </c>
      <c r="H1269">
        <v>12313</v>
      </c>
      <c r="I1269">
        <v>14</v>
      </c>
      <c r="J1269">
        <v>15</v>
      </c>
      <c r="K1269">
        <v>15</v>
      </c>
      <c r="L1269">
        <v>14</v>
      </c>
      <c r="M1269">
        <v>0</v>
      </c>
      <c r="N1269">
        <v>7</v>
      </c>
      <c r="P1269">
        <f>G1269*I1269/100</f>
        <v>560.14</v>
      </c>
      <c r="Q1269">
        <f t="shared" si="19"/>
        <v>48012</v>
      </c>
      <c r="R1269">
        <f>K1269/J1269</f>
        <v>1</v>
      </c>
      <c r="S1269">
        <v>2020</v>
      </c>
    </row>
    <row r="1270" spans="1:19" x14ac:dyDescent="0.3">
      <c r="A1270">
        <v>53</v>
      </c>
      <c r="B1270">
        <v>661</v>
      </c>
      <c r="C1270" t="s">
        <v>17</v>
      </c>
      <c r="D1270" t="s">
        <v>15</v>
      </c>
      <c r="E1270">
        <v>60</v>
      </c>
      <c r="F1270" t="s">
        <v>21</v>
      </c>
      <c r="G1270">
        <v>12965</v>
      </c>
      <c r="H1270">
        <v>22308</v>
      </c>
      <c r="I1270">
        <v>20</v>
      </c>
      <c r="J1270">
        <v>27</v>
      </c>
      <c r="K1270">
        <v>3</v>
      </c>
      <c r="L1270">
        <v>2</v>
      </c>
      <c r="M1270">
        <v>0</v>
      </c>
      <c r="N1270">
        <v>2</v>
      </c>
      <c r="P1270">
        <f>G1270*I1270/100</f>
        <v>2593</v>
      </c>
      <c r="Q1270">
        <f t="shared" si="19"/>
        <v>155580</v>
      </c>
      <c r="R1270">
        <f>K1270/J1270</f>
        <v>0.1111111111111111</v>
      </c>
      <c r="S1270">
        <v>2020</v>
      </c>
    </row>
    <row r="1271" spans="1:19" x14ac:dyDescent="0.3">
      <c r="A1271">
        <v>43</v>
      </c>
      <c r="B1271">
        <v>244</v>
      </c>
      <c r="C1271" t="s">
        <v>26</v>
      </c>
      <c r="D1271" t="s">
        <v>18</v>
      </c>
      <c r="E1271">
        <v>97</v>
      </c>
      <c r="F1271" t="s">
        <v>26</v>
      </c>
      <c r="G1271">
        <v>3539</v>
      </c>
      <c r="H1271">
        <v>5033</v>
      </c>
      <c r="I1271">
        <v>13</v>
      </c>
      <c r="J1271">
        <v>10</v>
      </c>
      <c r="K1271">
        <v>9</v>
      </c>
      <c r="L1271">
        <v>7</v>
      </c>
      <c r="M1271">
        <v>1</v>
      </c>
      <c r="N1271">
        <v>8</v>
      </c>
      <c r="P1271">
        <f>G1271*I1271/100</f>
        <v>460.07</v>
      </c>
      <c r="Q1271">
        <f t="shared" si="19"/>
        <v>42468</v>
      </c>
      <c r="R1271">
        <f>K1271/J1271</f>
        <v>0.9</v>
      </c>
      <c r="S1271">
        <v>2020</v>
      </c>
    </row>
    <row r="1272" spans="1:19" x14ac:dyDescent="0.3">
      <c r="A1272">
        <v>34</v>
      </c>
      <c r="B1272">
        <v>511</v>
      </c>
      <c r="C1272" t="s">
        <v>14</v>
      </c>
      <c r="D1272" t="s">
        <v>15</v>
      </c>
      <c r="E1272">
        <v>32</v>
      </c>
      <c r="F1272" t="s">
        <v>16</v>
      </c>
      <c r="G1272">
        <v>6029</v>
      </c>
      <c r="H1272">
        <v>25353</v>
      </c>
      <c r="I1272">
        <v>12</v>
      </c>
      <c r="J1272">
        <v>6</v>
      </c>
      <c r="K1272">
        <v>2</v>
      </c>
      <c r="L1272">
        <v>2</v>
      </c>
      <c r="M1272">
        <v>2</v>
      </c>
      <c r="N1272">
        <v>2</v>
      </c>
      <c r="P1272">
        <f>G1272*I1272/100</f>
        <v>723.48</v>
      </c>
      <c r="Q1272">
        <f t="shared" si="19"/>
        <v>72348</v>
      </c>
      <c r="R1272">
        <f>K1272/J1272</f>
        <v>0.33333333333333331</v>
      </c>
      <c r="S1272">
        <v>2020</v>
      </c>
    </row>
    <row r="1273" spans="1:19" x14ac:dyDescent="0.3">
      <c r="A1273">
        <v>21</v>
      </c>
      <c r="B1273">
        <v>337</v>
      </c>
      <c r="C1273" t="s">
        <v>14</v>
      </c>
      <c r="D1273" t="s">
        <v>18</v>
      </c>
      <c r="E1273">
        <v>31</v>
      </c>
      <c r="F1273" t="s">
        <v>24</v>
      </c>
      <c r="G1273">
        <v>2679</v>
      </c>
      <c r="H1273">
        <v>4567</v>
      </c>
      <c r="I1273">
        <v>13</v>
      </c>
      <c r="J1273">
        <v>1</v>
      </c>
      <c r="K1273">
        <v>1</v>
      </c>
      <c r="L1273">
        <v>0</v>
      </c>
      <c r="M1273">
        <v>1</v>
      </c>
      <c r="N1273">
        <v>0</v>
      </c>
      <c r="P1273">
        <f>G1273*I1273/100</f>
        <v>348.27</v>
      </c>
      <c r="Q1273">
        <f t="shared" si="19"/>
        <v>32148</v>
      </c>
      <c r="R1273">
        <f>K1273/J1273</f>
        <v>1</v>
      </c>
      <c r="S1273">
        <v>2020</v>
      </c>
    </row>
    <row r="1274" spans="1:19" x14ac:dyDescent="0.3">
      <c r="A1274">
        <v>38</v>
      </c>
      <c r="B1274">
        <v>1153</v>
      </c>
      <c r="C1274" t="s">
        <v>17</v>
      </c>
      <c r="D1274" t="s">
        <v>15</v>
      </c>
      <c r="E1274">
        <v>40</v>
      </c>
      <c r="F1274" t="s">
        <v>20</v>
      </c>
      <c r="G1274">
        <v>3702</v>
      </c>
      <c r="H1274">
        <v>16376</v>
      </c>
      <c r="I1274">
        <v>11</v>
      </c>
      <c r="J1274">
        <v>5</v>
      </c>
      <c r="K1274">
        <v>5</v>
      </c>
      <c r="L1274">
        <v>4</v>
      </c>
      <c r="M1274">
        <v>0</v>
      </c>
      <c r="N1274">
        <v>4</v>
      </c>
      <c r="P1274">
        <f>G1274*I1274/100</f>
        <v>407.22</v>
      </c>
      <c r="Q1274">
        <f t="shared" si="19"/>
        <v>44424</v>
      </c>
      <c r="R1274">
        <f>K1274/J1274</f>
        <v>1</v>
      </c>
      <c r="S1274">
        <v>2020</v>
      </c>
    </row>
    <row r="1275" spans="1:19" x14ac:dyDescent="0.3">
      <c r="A1275">
        <v>22</v>
      </c>
      <c r="B1275">
        <v>1294</v>
      </c>
      <c r="C1275" t="s">
        <v>17</v>
      </c>
      <c r="D1275" t="s">
        <v>15</v>
      </c>
      <c r="E1275">
        <v>79</v>
      </c>
      <c r="F1275" t="s">
        <v>20</v>
      </c>
      <c r="G1275">
        <v>2398</v>
      </c>
      <c r="H1275">
        <v>15999</v>
      </c>
      <c r="I1275">
        <v>17</v>
      </c>
      <c r="J1275">
        <v>1</v>
      </c>
      <c r="K1275">
        <v>1</v>
      </c>
      <c r="L1275">
        <v>0</v>
      </c>
      <c r="M1275">
        <v>0</v>
      </c>
      <c r="N1275">
        <v>0</v>
      </c>
      <c r="P1275">
        <f>G1275*I1275/100</f>
        <v>407.66</v>
      </c>
      <c r="Q1275">
        <f t="shared" si="19"/>
        <v>28776</v>
      </c>
      <c r="R1275">
        <f>K1275/J1275</f>
        <v>1</v>
      </c>
      <c r="S1275">
        <v>2020</v>
      </c>
    </row>
    <row r="1276" spans="1:19" x14ac:dyDescent="0.3">
      <c r="A1276">
        <v>31</v>
      </c>
      <c r="B1276">
        <v>196</v>
      </c>
      <c r="C1276" t="s">
        <v>14</v>
      </c>
      <c r="D1276" t="s">
        <v>15</v>
      </c>
      <c r="E1276">
        <v>91</v>
      </c>
      <c r="F1276" t="s">
        <v>16</v>
      </c>
      <c r="G1276">
        <v>5468</v>
      </c>
      <c r="H1276">
        <v>13402</v>
      </c>
      <c r="I1276">
        <v>14</v>
      </c>
      <c r="J1276">
        <v>13</v>
      </c>
      <c r="K1276">
        <v>12</v>
      </c>
      <c r="L1276">
        <v>7</v>
      </c>
      <c r="M1276">
        <v>5</v>
      </c>
      <c r="N1276">
        <v>7</v>
      </c>
      <c r="P1276">
        <f>G1276*I1276/100</f>
        <v>765.52</v>
      </c>
      <c r="Q1276">
        <f t="shared" si="19"/>
        <v>65616</v>
      </c>
      <c r="R1276">
        <f>K1276/J1276</f>
        <v>0.92307692307692313</v>
      </c>
      <c r="S1276">
        <v>2020</v>
      </c>
    </row>
    <row r="1277" spans="1:19" x14ac:dyDescent="0.3">
      <c r="A1277">
        <v>51</v>
      </c>
      <c r="B1277">
        <v>942</v>
      </c>
      <c r="C1277" t="s">
        <v>17</v>
      </c>
      <c r="D1277" t="s">
        <v>15</v>
      </c>
      <c r="E1277">
        <v>53</v>
      </c>
      <c r="F1277" t="s">
        <v>23</v>
      </c>
      <c r="G1277">
        <v>13116</v>
      </c>
      <c r="H1277">
        <v>22984</v>
      </c>
      <c r="I1277">
        <v>11</v>
      </c>
      <c r="J1277">
        <v>15</v>
      </c>
      <c r="K1277">
        <v>2</v>
      </c>
      <c r="L1277">
        <v>2</v>
      </c>
      <c r="M1277">
        <v>2</v>
      </c>
      <c r="N1277">
        <v>2</v>
      </c>
      <c r="P1277">
        <f>G1277*I1277/100</f>
        <v>1442.76</v>
      </c>
      <c r="Q1277">
        <f t="shared" si="19"/>
        <v>157392</v>
      </c>
      <c r="R1277">
        <f>K1277/J1277</f>
        <v>0.13333333333333333</v>
      </c>
      <c r="S1277">
        <v>2020</v>
      </c>
    </row>
    <row r="1278" spans="1:19" x14ac:dyDescent="0.3">
      <c r="A1278">
        <v>37</v>
      </c>
      <c r="B1278">
        <v>589</v>
      </c>
      <c r="C1278" t="s">
        <v>14</v>
      </c>
      <c r="D1278" t="s">
        <v>18</v>
      </c>
      <c r="E1278">
        <v>46</v>
      </c>
      <c r="F1278" t="s">
        <v>16</v>
      </c>
      <c r="G1278">
        <v>4189</v>
      </c>
      <c r="H1278">
        <v>8800</v>
      </c>
      <c r="I1278">
        <v>14</v>
      </c>
      <c r="J1278">
        <v>5</v>
      </c>
      <c r="K1278">
        <v>5</v>
      </c>
      <c r="L1278">
        <v>2</v>
      </c>
      <c r="M1278">
        <v>0</v>
      </c>
      <c r="N1278">
        <v>3</v>
      </c>
      <c r="P1278">
        <f>G1278*I1278/100</f>
        <v>586.46</v>
      </c>
      <c r="Q1278">
        <f t="shared" si="19"/>
        <v>50268</v>
      </c>
      <c r="R1278">
        <f>K1278/J1278</f>
        <v>1</v>
      </c>
      <c r="S1278">
        <v>2020</v>
      </c>
    </row>
    <row r="1279" spans="1:19" x14ac:dyDescent="0.3">
      <c r="A1279">
        <v>46</v>
      </c>
      <c r="B1279">
        <v>734</v>
      </c>
      <c r="C1279" t="s">
        <v>17</v>
      </c>
      <c r="D1279" t="s">
        <v>18</v>
      </c>
      <c r="E1279">
        <v>46</v>
      </c>
      <c r="F1279" t="s">
        <v>25</v>
      </c>
      <c r="G1279">
        <v>19328</v>
      </c>
      <c r="H1279">
        <v>14218</v>
      </c>
      <c r="I1279">
        <v>17</v>
      </c>
      <c r="J1279">
        <v>24</v>
      </c>
      <c r="K1279">
        <v>2</v>
      </c>
      <c r="L1279">
        <v>1</v>
      </c>
      <c r="M1279">
        <v>2</v>
      </c>
      <c r="N1279">
        <v>2</v>
      </c>
      <c r="P1279">
        <f>G1279*I1279/100</f>
        <v>3285.76</v>
      </c>
      <c r="Q1279">
        <f t="shared" si="19"/>
        <v>231936</v>
      </c>
      <c r="R1279">
        <f>K1279/J1279</f>
        <v>8.3333333333333329E-2</v>
      </c>
      <c r="S1279">
        <v>2020</v>
      </c>
    </row>
    <row r="1280" spans="1:19" x14ac:dyDescent="0.3">
      <c r="A1280">
        <v>36</v>
      </c>
      <c r="B1280">
        <v>1383</v>
      </c>
      <c r="C1280" t="s">
        <v>17</v>
      </c>
      <c r="D1280" t="s">
        <v>18</v>
      </c>
      <c r="E1280">
        <v>90</v>
      </c>
      <c r="F1280" t="s">
        <v>22</v>
      </c>
      <c r="G1280">
        <v>8321</v>
      </c>
      <c r="H1280">
        <v>25949</v>
      </c>
      <c r="I1280">
        <v>13</v>
      </c>
      <c r="J1280">
        <v>15</v>
      </c>
      <c r="K1280">
        <v>12</v>
      </c>
      <c r="L1280">
        <v>8</v>
      </c>
      <c r="M1280">
        <v>5</v>
      </c>
      <c r="N1280">
        <v>7</v>
      </c>
      <c r="P1280">
        <f>G1280*I1280/100</f>
        <v>1081.73</v>
      </c>
      <c r="Q1280">
        <f t="shared" si="19"/>
        <v>99852</v>
      </c>
      <c r="R1280">
        <f>K1280/J1280</f>
        <v>0.8</v>
      </c>
      <c r="S1280">
        <v>2020</v>
      </c>
    </row>
    <row r="1281" spans="1:19" x14ac:dyDescent="0.3">
      <c r="A1281">
        <v>44</v>
      </c>
      <c r="B1281">
        <v>429</v>
      </c>
      <c r="C1281" t="s">
        <v>17</v>
      </c>
      <c r="D1281" t="s">
        <v>18</v>
      </c>
      <c r="E1281">
        <v>99</v>
      </c>
      <c r="F1281" t="s">
        <v>19</v>
      </c>
      <c r="G1281">
        <v>2342</v>
      </c>
      <c r="H1281">
        <v>11092</v>
      </c>
      <c r="I1281">
        <v>12</v>
      </c>
      <c r="J1281">
        <v>6</v>
      </c>
      <c r="K1281">
        <v>5</v>
      </c>
      <c r="L1281">
        <v>3</v>
      </c>
      <c r="M1281">
        <v>2</v>
      </c>
      <c r="N1281">
        <v>3</v>
      </c>
      <c r="P1281">
        <f>G1281*I1281/100</f>
        <v>281.04000000000002</v>
      </c>
      <c r="Q1281">
        <f t="shared" si="19"/>
        <v>28104</v>
      </c>
      <c r="R1281">
        <f>K1281/J1281</f>
        <v>0.83333333333333337</v>
      </c>
      <c r="S1281">
        <v>2020</v>
      </c>
    </row>
    <row r="1282" spans="1:19" x14ac:dyDescent="0.3">
      <c r="A1282">
        <v>37</v>
      </c>
      <c r="B1282">
        <v>1239</v>
      </c>
      <c r="C1282" t="s">
        <v>26</v>
      </c>
      <c r="D1282" t="s">
        <v>18</v>
      </c>
      <c r="E1282">
        <v>89</v>
      </c>
      <c r="F1282" t="s">
        <v>26</v>
      </c>
      <c r="G1282">
        <v>4071</v>
      </c>
      <c r="H1282">
        <v>12832</v>
      </c>
      <c r="I1282">
        <v>13</v>
      </c>
      <c r="J1282">
        <v>19</v>
      </c>
      <c r="K1282">
        <v>10</v>
      </c>
      <c r="L1282">
        <v>0</v>
      </c>
      <c r="M1282">
        <v>4</v>
      </c>
      <c r="N1282">
        <v>7</v>
      </c>
      <c r="P1282">
        <f>G1282*I1282/100</f>
        <v>529.23</v>
      </c>
      <c r="Q1282">
        <f t="shared" si="19"/>
        <v>48852</v>
      </c>
      <c r="R1282">
        <f>K1282/J1282</f>
        <v>0.52631578947368418</v>
      </c>
      <c r="S1282">
        <v>2020</v>
      </c>
    </row>
    <row r="1283" spans="1:19" x14ac:dyDescent="0.3">
      <c r="A1283">
        <v>35</v>
      </c>
      <c r="B1283">
        <v>303</v>
      </c>
      <c r="C1283" t="s">
        <v>14</v>
      </c>
      <c r="D1283" t="s">
        <v>18</v>
      </c>
      <c r="E1283">
        <v>84</v>
      </c>
      <c r="F1283" t="s">
        <v>16</v>
      </c>
      <c r="G1283">
        <v>5813</v>
      </c>
      <c r="H1283">
        <v>13492</v>
      </c>
      <c r="I1283">
        <v>18</v>
      </c>
      <c r="J1283">
        <v>10</v>
      </c>
      <c r="K1283">
        <v>10</v>
      </c>
      <c r="L1283">
        <v>7</v>
      </c>
      <c r="M1283">
        <v>7</v>
      </c>
      <c r="N1283">
        <v>7</v>
      </c>
      <c r="P1283">
        <f>G1283*I1283/100</f>
        <v>1046.3399999999999</v>
      </c>
      <c r="Q1283">
        <f t="shared" ref="Q1283:Q1346" si="20">G1283*12</f>
        <v>69756</v>
      </c>
      <c r="R1283">
        <f>K1283/J1283</f>
        <v>1</v>
      </c>
      <c r="S1283">
        <v>2020</v>
      </c>
    </row>
    <row r="1284" spans="1:19" x14ac:dyDescent="0.3">
      <c r="A1284">
        <v>33</v>
      </c>
      <c r="B1284">
        <v>867</v>
      </c>
      <c r="C1284" t="s">
        <v>17</v>
      </c>
      <c r="D1284" t="s">
        <v>18</v>
      </c>
      <c r="E1284">
        <v>90</v>
      </c>
      <c r="F1284" t="s">
        <v>19</v>
      </c>
      <c r="G1284">
        <v>3143</v>
      </c>
      <c r="H1284">
        <v>6076</v>
      </c>
      <c r="I1284">
        <v>19</v>
      </c>
      <c r="J1284">
        <v>14</v>
      </c>
      <c r="K1284">
        <v>10</v>
      </c>
      <c r="L1284">
        <v>8</v>
      </c>
      <c r="M1284">
        <v>7</v>
      </c>
      <c r="N1284">
        <v>6</v>
      </c>
      <c r="P1284">
        <f>G1284*I1284/100</f>
        <v>597.16999999999996</v>
      </c>
      <c r="Q1284">
        <f t="shared" si="20"/>
        <v>37716</v>
      </c>
      <c r="R1284">
        <f>K1284/J1284</f>
        <v>0.7142857142857143</v>
      </c>
      <c r="S1284">
        <v>2020</v>
      </c>
    </row>
    <row r="1285" spans="1:19" x14ac:dyDescent="0.3">
      <c r="A1285">
        <v>28</v>
      </c>
      <c r="B1285">
        <v>1181</v>
      </c>
      <c r="C1285" t="s">
        <v>17</v>
      </c>
      <c r="D1285" t="s">
        <v>18</v>
      </c>
      <c r="E1285">
        <v>82</v>
      </c>
      <c r="F1285" t="s">
        <v>19</v>
      </c>
      <c r="G1285">
        <v>2044</v>
      </c>
      <c r="H1285">
        <v>5531</v>
      </c>
      <c r="I1285">
        <v>11</v>
      </c>
      <c r="J1285">
        <v>5</v>
      </c>
      <c r="K1285">
        <v>5</v>
      </c>
      <c r="L1285">
        <v>3</v>
      </c>
      <c r="M1285">
        <v>0</v>
      </c>
      <c r="N1285">
        <v>3</v>
      </c>
      <c r="P1285">
        <f>G1285*I1285/100</f>
        <v>224.84</v>
      </c>
      <c r="Q1285">
        <f t="shared" si="20"/>
        <v>24528</v>
      </c>
      <c r="R1285">
        <f>K1285/J1285</f>
        <v>1</v>
      </c>
      <c r="S1285">
        <v>2020</v>
      </c>
    </row>
    <row r="1286" spans="1:19" x14ac:dyDescent="0.3">
      <c r="A1286">
        <v>39</v>
      </c>
      <c r="B1286">
        <v>1253</v>
      </c>
      <c r="C1286" t="s">
        <v>17</v>
      </c>
      <c r="D1286" t="s">
        <v>18</v>
      </c>
      <c r="E1286">
        <v>65</v>
      </c>
      <c r="F1286" t="s">
        <v>25</v>
      </c>
      <c r="G1286">
        <v>13464</v>
      </c>
      <c r="H1286">
        <v>7914</v>
      </c>
      <c r="I1286">
        <v>21</v>
      </c>
      <c r="J1286">
        <v>9</v>
      </c>
      <c r="K1286">
        <v>4</v>
      </c>
      <c r="L1286">
        <v>3</v>
      </c>
      <c r="M1286">
        <v>2</v>
      </c>
      <c r="N1286">
        <v>2</v>
      </c>
      <c r="P1286">
        <f>G1286*I1286/100</f>
        <v>2827.44</v>
      </c>
      <c r="Q1286">
        <f t="shared" si="20"/>
        <v>161568</v>
      </c>
      <c r="R1286">
        <f>K1286/J1286</f>
        <v>0.44444444444444442</v>
      </c>
      <c r="S1286">
        <v>2020</v>
      </c>
    </row>
    <row r="1287" spans="1:19" x14ac:dyDescent="0.3">
      <c r="A1287">
        <v>46</v>
      </c>
      <c r="B1287">
        <v>849</v>
      </c>
      <c r="C1287" t="s">
        <v>14</v>
      </c>
      <c r="D1287" t="s">
        <v>18</v>
      </c>
      <c r="E1287">
        <v>98</v>
      </c>
      <c r="F1287" t="s">
        <v>16</v>
      </c>
      <c r="G1287">
        <v>7991</v>
      </c>
      <c r="H1287">
        <v>25166</v>
      </c>
      <c r="I1287">
        <v>15</v>
      </c>
      <c r="J1287">
        <v>6</v>
      </c>
      <c r="K1287">
        <v>2</v>
      </c>
      <c r="L1287">
        <v>2</v>
      </c>
      <c r="M1287">
        <v>2</v>
      </c>
      <c r="N1287">
        <v>2</v>
      </c>
      <c r="P1287">
        <f>G1287*I1287/100</f>
        <v>1198.6500000000001</v>
      </c>
      <c r="Q1287">
        <f t="shared" si="20"/>
        <v>95892</v>
      </c>
      <c r="R1287">
        <f>K1287/J1287</f>
        <v>0.33333333333333331</v>
      </c>
      <c r="S1287">
        <v>2020</v>
      </c>
    </row>
    <row r="1288" spans="1:19" x14ac:dyDescent="0.3">
      <c r="A1288">
        <v>40</v>
      </c>
      <c r="B1288">
        <v>616</v>
      </c>
      <c r="C1288" t="s">
        <v>17</v>
      </c>
      <c r="D1288" t="s">
        <v>15</v>
      </c>
      <c r="E1288">
        <v>99</v>
      </c>
      <c r="F1288" t="s">
        <v>20</v>
      </c>
      <c r="G1288">
        <v>3377</v>
      </c>
      <c r="H1288">
        <v>25605</v>
      </c>
      <c r="I1288">
        <v>17</v>
      </c>
      <c r="J1288">
        <v>7</v>
      </c>
      <c r="K1288">
        <v>4</v>
      </c>
      <c r="L1288">
        <v>3</v>
      </c>
      <c r="M1288">
        <v>0</v>
      </c>
      <c r="N1288">
        <v>2</v>
      </c>
      <c r="P1288">
        <f>G1288*I1288/100</f>
        <v>574.09</v>
      </c>
      <c r="Q1288">
        <f t="shared" si="20"/>
        <v>40524</v>
      </c>
      <c r="R1288">
        <f>K1288/J1288</f>
        <v>0.5714285714285714</v>
      </c>
      <c r="S1288">
        <v>2020</v>
      </c>
    </row>
    <row r="1289" spans="1:19" x14ac:dyDescent="0.3">
      <c r="A1289">
        <v>42</v>
      </c>
      <c r="B1289">
        <v>1128</v>
      </c>
      <c r="C1289" t="s">
        <v>17</v>
      </c>
      <c r="D1289" t="s">
        <v>18</v>
      </c>
      <c r="E1289">
        <v>95</v>
      </c>
      <c r="F1289" t="s">
        <v>22</v>
      </c>
      <c r="G1289">
        <v>5538</v>
      </c>
      <c r="H1289">
        <v>5696</v>
      </c>
      <c r="I1289">
        <v>18</v>
      </c>
      <c r="J1289">
        <v>10</v>
      </c>
      <c r="K1289">
        <v>0</v>
      </c>
      <c r="L1289">
        <v>0</v>
      </c>
      <c r="M1289">
        <v>0</v>
      </c>
      <c r="N1289">
        <v>0</v>
      </c>
      <c r="P1289">
        <f>G1289*I1289/100</f>
        <v>996.84</v>
      </c>
      <c r="Q1289">
        <f t="shared" si="20"/>
        <v>66456</v>
      </c>
      <c r="R1289">
        <f>K1289/J1289</f>
        <v>0</v>
      </c>
      <c r="S1289">
        <v>2020</v>
      </c>
    </row>
    <row r="1290" spans="1:19" x14ac:dyDescent="0.3">
      <c r="A1290">
        <v>35</v>
      </c>
      <c r="B1290">
        <v>1180</v>
      </c>
      <c r="C1290" t="s">
        <v>17</v>
      </c>
      <c r="D1290" t="s">
        <v>18</v>
      </c>
      <c r="E1290">
        <v>90</v>
      </c>
      <c r="F1290" t="s">
        <v>21</v>
      </c>
      <c r="G1290">
        <v>5762</v>
      </c>
      <c r="H1290">
        <v>24442</v>
      </c>
      <c r="I1290">
        <v>14</v>
      </c>
      <c r="J1290">
        <v>15</v>
      </c>
      <c r="K1290">
        <v>7</v>
      </c>
      <c r="L1290">
        <v>7</v>
      </c>
      <c r="M1290">
        <v>1</v>
      </c>
      <c r="N1290">
        <v>7</v>
      </c>
      <c r="P1290">
        <f>G1290*I1290/100</f>
        <v>806.68</v>
      </c>
      <c r="Q1290">
        <f t="shared" si="20"/>
        <v>69144</v>
      </c>
      <c r="R1290">
        <f>K1290/J1290</f>
        <v>0.46666666666666667</v>
      </c>
      <c r="S1290">
        <v>2020</v>
      </c>
    </row>
    <row r="1291" spans="1:19" x14ac:dyDescent="0.3">
      <c r="A1291">
        <v>38</v>
      </c>
      <c r="B1291">
        <v>1336</v>
      </c>
      <c r="C1291" t="s">
        <v>26</v>
      </c>
      <c r="D1291" t="s">
        <v>18</v>
      </c>
      <c r="E1291">
        <v>100</v>
      </c>
      <c r="F1291" t="s">
        <v>26</v>
      </c>
      <c r="G1291">
        <v>2592</v>
      </c>
      <c r="H1291">
        <v>7129</v>
      </c>
      <c r="I1291">
        <v>13</v>
      </c>
      <c r="J1291">
        <v>13</v>
      </c>
      <c r="K1291">
        <v>11</v>
      </c>
      <c r="L1291">
        <v>10</v>
      </c>
      <c r="M1291">
        <v>3</v>
      </c>
      <c r="N1291">
        <v>8</v>
      </c>
      <c r="P1291">
        <f>G1291*I1291/100</f>
        <v>336.96</v>
      </c>
      <c r="Q1291">
        <f t="shared" si="20"/>
        <v>31104</v>
      </c>
      <c r="R1291">
        <f>K1291/J1291</f>
        <v>0.84615384615384615</v>
      </c>
      <c r="S1291">
        <v>2020</v>
      </c>
    </row>
    <row r="1292" spans="1:19" x14ac:dyDescent="0.3">
      <c r="A1292">
        <v>34</v>
      </c>
      <c r="B1292">
        <v>234</v>
      </c>
      <c r="C1292" t="s">
        <v>17</v>
      </c>
      <c r="D1292" t="s">
        <v>18</v>
      </c>
      <c r="E1292">
        <v>93</v>
      </c>
      <c r="F1292" t="s">
        <v>20</v>
      </c>
      <c r="G1292">
        <v>5346</v>
      </c>
      <c r="H1292">
        <v>6208</v>
      </c>
      <c r="I1292">
        <v>17</v>
      </c>
      <c r="J1292">
        <v>11</v>
      </c>
      <c r="K1292">
        <v>7</v>
      </c>
      <c r="L1292">
        <v>1</v>
      </c>
      <c r="M1292">
        <v>0</v>
      </c>
      <c r="N1292">
        <v>7</v>
      </c>
      <c r="P1292">
        <f>G1292*I1292/100</f>
        <v>908.82</v>
      </c>
      <c r="Q1292">
        <f t="shared" si="20"/>
        <v>64152</v>
      </c>
      <c r="R1292">
        <f>K1292/J1292</f>
        <v>0.63636363636363635</v>
      </c>
      <c r="S1292">
        <v>2020</v>
      </c>
    </row>
    <row r="1293" spans="1:19" x14ac:dyDescent="0.3">
      <c r="A1293">
        <v>37</v>
      </c>
      <c r="B1293">
        <v>370</v>
      </c>
      <c r="C1293" t="s">
        <v>17</v>
      </c>
      <c r="D1293" t="s">
        <v>18</v>
      </c>
      <c r="E1293">
        <v>58</v>
      </c>
      <c r="F1293" t="s">
        <v>21</v>
      </c>
      <c r="G1293">
        <v>4213</v>
      </c>
      <c r="H1293">
        <v>4992</v>
      </c>
      <c r="I1293">
        <v>15</v>
      </c>
      <c r="J1293">
        <v>10</v>
      </c>
      <c r="K1293">
        <v>10</v>
      </c>
      <c r="L1293">
        <v>3</v>
      </c>
      <c r="M1293">
        <v>0</v>
      </c>
      <c r="N1293">
        <v>8</v>
      </c>
      <c r="P1293">
        <f>G1293*I1293/100</f>
        <v>631.95000000000005</v>
      </c>
      <c r="Q1293">
        <f t="shared" si="20"/>
        <v>50556</v>
      </c>
      <c r="R1293">
        <f>K1293/J1293</f>
        <v>1</v>
      </c>
      <c r="S1293">
        <v>2020</v>
      </c>
    </row>
    <row r="1294" spans="1:19" x14ac:dyDescent="0.3">
      <c r="A1294">
        <v>39</v>
      </c>
      <c r="B1294">
        <v>766</v>
      </c>
      <c r="C1294" t="s">
        <v>14</v>
      </c>
      <c r="D1294" t="s">
        <v>18</v>
      </c>
      <c r="E1294">
        <v>83</v>
      </c>
      <c r="F1294" t="s">
        <v>16</v>
      </c>
      <c r="G1294">
        <v>4127</v>
      </c>
      <c r="H1294">
        <v>19188</v>
      </c>
      <c r="I1294">
        <v>18</v>
      </c>
      <c r="J1294">
        <v>7</v>
      </c>
      <c r="K1294">
        <v>2</v>
      </c>
      <c r="L1294">
        <v>1</v>
      </c>
      <c r="M1294">
        <v>2</v>
      </c>
      <c r="N1294">
        <v>2</v>
      </c>
      <c r="P1294">
        <f>G1294*I1294/100</f>
        <v>742.86</v>
      </c>
      <c r="Q1294">
        <f t="shared" si="20"/>
        <v>49524</v>
      </c>
      <c r="R1294">
        <f>K1294/J1294</f>
        <v>0.2857142857142857</v>
      </c>
      <c r="S1294">
        <v>2020</v>
      </c>
    </row>
    <row r="1295" spans="1:19" x14ac:dyDescent="0.3">
      <c r="A1295">
        <v>43</v>
      </c>
      <c r="B1295">
        <v>343</v>
      </c>
      <c r="C1295" t="s">
        <v>17</v>
      </c>
      <c r="D1295" t="s">
        <v>18</v>
      </c>
      <c r="E1295">
        <v>52</v>
      </c>
      <c r="F1295" t="s">
        <v>19</v>
      </c>
      <c r="G1295">
        <v>2438</v>
      </c>
      <c r="H1295">
        <v>24978</v>
      </c>
      <c r="I1295">
        <v>13</v>
      </c>
      <c r="J1295">
        <v>7</v>
      </c>
      <c r="K1295">
        <v>3</v>
      </c>
      <c r="L1295">
        <v>2</v>
      </c>
      <c r="M1295">
        <v>1</v>
      </c>
      <c r="N1295">
        <v>2</v>
      </c>
      <c r="P1295">
        <f>G1295*I1295/100</f>
        <v>316.94</v>
      </c>
      <c r="Q1295">
        <f t="shared" si="20"/>
        <v>29256</v>
      </c>
      <c r="R1295">
        <f>K1295/J1295</f>
        <v>0.42857142857142855</v>
      </c>
      <c r="S1295">
        <v>2020</v>
      </c>
    </row>
    <row r="1296" spans="1:19" x14ac:dyDescent="0.3">
      <c r="A1296">
        <v>41</v>
      </c>
      <c r="B1296">
        <v>447</v>
      </c>
      <c r="C1296" t="s">
        <v>17</v>
      </c>
      <c r="D1296" t="s">
        <v>18</v>
      </c>
      <c r="E1296">
        <v>85</v>
      </c>
      <c r="F1296" t="s">
        <v>22</v>
      </c>
      <c r="G1296">
        <v>6870</v>
      </c>
      <c r="H1296">
        <v>15530</v>
      </c>
      <c r="I1296">
        <v>12</v>
      </c>
      <c r="J1296">
        <v>11</v>
      </c>
      <c r="K1296">
        <v>3</v>
      </c>
      <c r="L1296">
        <v>2</v>
      </c>
      <c r="M1296">
        <v>1</v>
      </c>
      <c r="N1296">
        <v>2</v>
      </c>
      <c r="P1296">
        <f>G1296*I1296/100</f>
        <v>824.4</v>
      </c>
      <c r="Q1296">
        <f t="shared" si="20"/>
        <v>82440</v>
      </c>
      <c r="R1296">
        <f>K1296/J1296</f>
        <v>0.27272727272727271</v>
      </c>
      <c r="S1296">
        <v>2020</v>
      </c>
    </row>
    <row r="1297" spans="1:19" x14ac:dyDescent="0.3">
      <c r="A1297">
        <v>41</v>
      </c>
      <c r="B1297">
        <v>796</v>
      </c>
      <c r="C1297" t="s">
        <v>14</v>
      </c>
      <c r="D1297" t="s">
        <v>15</v>
      </c>
      <c r="E1297">
        <v>81</v>
      </c>
      <c r="F1297" t="s">
        <v>16</v>
      </c>
      <c r="G1297">
        <v>10447</v>
      </c>
      <c r="H1297">
        <v>26458</v>
      </c>
      <c r="I1297">
        <v>13</v>
      </c>
      <c r="J1297">
        <v>23</v>
      </c>
      <c r="K1297">
        <v>22</v>
      </c>
      <c r="L1297">
        <v>14</v>
      </c>
      <c r="M1297">
        <v>13</v>
      </c>
      <c r="N1297">
        <v>5</v>
      </c>
      <c r="P1297">
        <f>G1297*I1297/100</f>
        <v>1358.11</v>
      </c>
      <c r="Q1297">
        <f t="shared" si="20"/>
        <v>125364</v>
      </c>
      <c r="R1297">
        <f>K1297/J1297</f>
        <v>0.95652173913043481</v>
      </c>
      <c r="S1297">
        <v>2020</v>
      </c>
    </row>
    <row r="1298" spans="1:19" x14ac:dyDescent="0.3">
      <c r="A1298">
        <v>30</v>
      </c>
      <c r="B1298">
        <v>1092</v>
      </c>
      <c r="C1298" t="s">
        <v>17</v>
      </c>
      <c r="D1298" t="s">
        <v>15</v>
      </c>
      <c r="E1298">
        <v>64</v>
      </c>
      <c r="F1298" t="s">
        <v>21</v>
      </c>
      <c r="G1298">
        <v>9667</v>
      </c>
      <c r="H1298">
        <v>2739</v>
      </c>
      <c r="I1298">
        <v>14</v>
      </c>
      <c r="J1298">
        <v>9</v>
      </c>
      <c r="K1298">
        <v>7</v>
      </c>
      <c r="L1298">
        <v>7</v>
      </c>
      <c r="M1298">
        <v>0</v>
      </c>
      <c r="N1298">
        <v>2</v>
      </c>
      <c r="P1298">
        <f>G1298*I1298/100</f>
        <v>1353.38</v>
      </c>
      <c r="Q1298">
        <f t="shared" si="20"/>
        <v>116004</v>
      </c>
      <c r="R1298">
        <f>K1298/J1298</f>
        <v>0.77777777777777779</v>
      </c>
      <c r="S1298">
        <v>2020</v>
      </c>
    </row>
    <row r="1299" spans="1:19" x14ac:dyDescent="0.3">
      <c r="A1299">
        <v>26</v>
      </c>
      <c r="B1299">
        <v>920</v>
      </c>
      <c r="C1299" t="s">
        <v>26</v>
      </c>
      <c r="D1299" t="s">
        <v>15</v>
      </c>
      <c r="E1299">
        <v>69</v>
      </c>
      <c r="F1299" t="s">
        <v>26</v>
      </c>
      <c r="G1299">
        <v>2148</v>
      </c>
      <c r="H1299">
        <v>6889</v>
      </c>
      <c r="I1299">
        <v>11</v>
      </c>
      <c r="J1299">
        <v>6</v>
      </c>
      <c r="K1299">
        <v>5</v>
      </c>
      <c r="L1299">
        <v>1</v>
      </c>
      <c r="M1299">
        <v>1</v>
      </c>
      <c r="N1299">
        <v>4</v>
      </c>
      <c r="P1299">
        <f>G1299*I1299/100</f>
        <v>236.28</v>
      </c>
      <c r="Q1299">
        <f t="shared" si="20"/>
        <v>25776</v>
      </c>
      <c r="R1299">
        <f>K1299/J1299</f>
        <v>0.83333333333333337</v>
      </c>
      <c r="S1299">
        <v>2020</v>
      </c>
    </row>
    <row r="1300" spans="1:19" x14ac:dyDescent="0.3">
      <c r="A1300">
        <v>46</v>
      </c>
      <c r="B1300">
        <v>261</v>
      </c>
      <c r="C1300" t="s">
        <v>17</v>
      </c>
      <c r="D1300" t="s">
        <v>15</v>
      </c>
      <c r="E1300">
        <v>66</v>
      </c>
      <c r="F1300" t="s">
        <v>22</v>
      </c>
      <c r="G1300">
        <v>8926</v>
      </c>
      <c r="H1300">
        <v>10842</v>
      </c>
      <c r="I1300">
        <v>22</v>
      </c>
      <c r="J1300">
        <v>13</v>
      </c>
      <c r="K1300">
        <v>9</v>
      </c>
      <c r="L1300">
        <v>7</v>
      </c>
      <c r="M1300">
        <v>3</v>
      </c>
      <c r="N1300">
        <v>7</v>
      </c>
      <c r="P1300">
        <f>G1300*I1300/100</f>
        <v>1963.72</v>
      </c>
      <c r="Q1300">
        <f t="shared" si="20"/>
        <v>107112</v>
      </c>
      <c r="R1300">
        <f>K1300/J1300</f>
        <v>0.69230769230769229</v>
      </c>
      <c r="S1300">
        <v>2020</v>
      </c>
    </row>
    <row r="1301" spans="1:19" x14ac:dyDescent="0.3">
      <c r="A1301">
        <v>40</v>
      </c>
      <c r="B1301">
        <v>1194</v>
      </c>
      <c r="C1301" t="s">
        <v>17</v>
      </c>
      <c r="D1301" t="s">
        <v>15</v>
      </c>
      <c r="E1301">
        <v>52</v>
      </c>
      <c r="F1301" t="s">
        <v>22</v>
      </c>
      <c r="G1301">
        <v>6513</v>
      </c>
      <c r="H1301">
        <v>9060</v>
      </c>
      <c r="I1301">
        <v>17</v>
      </c>
      <c r="J1301">
        <v>12</v>
      </c>
      <c r="K1301">
        <v>5</v>
      </c>
      <c r="L1301">
        <v>3</v>
      </c>
      <c r="M1301">
        <v>0</v>
      </c>
      <c r="N1301">
        <v>3</v>
      </c>
      <c r="P1301">
        <f>G1301*I1301/100</f>
        <v>1107.21</v>
      </c>
      <c r="Q1301">
        <f t="shared" si="20"/>
        <v>78156</v>
      </c>
      <c r="R1301">
        <f>K1301/J1301</f>
        <v>0.41666666666666669</v>
      </c>
      <c r="S1301">
        <v>2020</v>
      </c>
    </row>
    <row r="1302" spans="1:19" x14ac:dyDescent="0.3">
      <c r="A1302">
        <v>34</v>
      </c>
      <c r="B1302">
        <v>810</v>
      </c>
      <c r="C1302" t="s">
        <v>14</v>
      </c>
      <c r="D1302" t="s">
        <v>18</v>
      </c>
      <c r="E1302">
        <v>92</v>
      </c>
      <c r="F1302" t="s">
        <v>16</v>
      </c>
      <c r="G1302">
        <v>6799</v>
      </c>
      <c r="H1302">
        <v>22128</v>
      </c>
      <c r="I1302">
        <v>21</v>
      </c>
      <c r="J1302">
        <v>10</v>
      </c>
      <c r="K1302">
        <v>10</v>
      </c>
      <c r="L1302">
        <v>8</v>
      </c>
      <c r="M1302">
        <v>4</v>
      </c>
      <c r="N1302">
        <v>8</v>
      </c>
      <c r="P1302">
        <f>G1302*I1302/100</f>
        <v>1427.79</v>
      </c>
      <c r="Q1302">
        <f t="shared" si="20"/>
        <v>81588</v>
      </c>
      <c r="R1302">
        <f>K1302/J1302</f>
        <v>1</v>
      </c>
      <c r="S1302">
        <v>2020</v>
      </c>
    </row>
    <row r="1303" spans="1:19" x14ac:dyDescent="0.3">
      <c r="A1303">
        <v>58</v>
      </c>
      <c r="B1303">
        <v>350</v>
      </c>
      <c r="C1303" t="s">
        <v>14</v>
      </c>
      <c r="D1303" t="s">
        <v>18</v>
      </c>
      <c r="E1303">
        <v>52</v>
      </c>
      <c r="F1303" t="s">
        <v>23</v>
      </c>
      <c r="G1303">
        <v>16291</v>
      </c>
      <c r="H1303">
        <v>22577</v>
      </c>
      <c r="I1303">
        <v>22</v>
      </c>
      <c r="J1303">
        <v>37</v>
      </c>
      <c r="K1303">
        <v>16</v>
      </c>
      <c r="L1303">
        <v>9</v>
      </c>
      <c r="M1303">
        <v>14</v>
      </c>
      <c r="N1303">
        <v>14</v>
      </c>
      <c r="P1303">
        <f>G1303*I1303/100</f>
        <v>3584.02</v>
      </c>
      <c r="Q1303">
        <f t="shared" si="20"/>
        <v>195492</v>
      </c>
      <c r="R1303">
        <f>K1303/J1303</f>
        <v>0.43243243243243246</v>
      </c>
      <c r="S1303">
        <v>2020</v>
      </c>
    </row>
    <row r="1304" spans="1:19" x14ac:dyDescent="0.3">
      <c r="A1304">
        <v>35</v>
      </c>
      <c r="B1304">
        <v>185</v>
      </c>
      <c r="C1304" t="s">
        <v>17</v>
      </c>
      <c r="D1304" t="s">
        <v>18</v>
      </c>
      <c r="E1304">
        <v>91</v>
      </c>
      <c r="F1304" t="s">
        <v>20</v>
      </c>
      <c r="G1304">
        <v>2705</v>
      </c>
      <c r="H1304">
        <v>9696</v>
      </c>
      <c r="I1304">
        <v>16</v>
      </c>
      <c r="J1304">
        <v>6</v>
      </c>
      <c r="K1304">
        <v>5</v>
      </c>
      <c r="L1304">
        <v>4</v>
      </c>
      <c r="M1304">
        <v>0</v>
      </c>
      <c r="N1304">
        <v>3</v>
      </c>
      <c r="P1304">
        <f>G1304*I1304/100</f>
        <v>432.8</v>
      </c>
      <c r="Q1304">
        <f t="shared" si="20"/>
        <v>32460</v>
      </c>
      <c r="R1304">
        <f>K1304/J1304</f>
        <v>0.83333333333333337</v>
      </c>
      <c r="S1304">
        <v>2020</v>
      </c>
    </row>
    <row r="1305" spans="1:19" x14ac:dyDescent="0.3">
      <c r="A1305">
        <v>47</v>
      </c>
      <c r="B1305">
        <v>1001</v>
      </c>
      <c r="C1305" t="s">
        <v>17</v>
      </c>
      <c r="D1305" t="s">
        <v>15</v>
      </c>
      <c r="E1305">
        <v>92</v>
      </c>
      <c r="F1305" t="s">
        <v>21</v>
      </c>
      <c r="G1305">
        <v>10333</v>
      </c>
      <c r="H1305">
        <v>19271</v>
      </c>
      <c r="I1305">
        <v>12</v>
      </c>
      <c r="J1305">
        <v>28</v>
      </c>
      <c r="K1305">
        <v>22</v>
      </c>
      <c r="L1305">
        <v>11</v>
      </c>
      <c r="M1305">
        <v>14</v>
      </c>
      <c r="N1305">
        <v>10</v>
      </c>
      <c r="P1305">
        <f>G1305*I1305/100</f>
        <v>1239.96</v>
      </c>
      <c r="Q1305">
        <f t="shared" si="20"/>
        <v>123996</v>
      </c>
      <c r="R1305">
        <f>K1305/J1305</f>
        <v>0.7857142857142857</v>
      </c>
      <c r="S1305">
        <v>2020</v>
      </c>
    </row>
    <row r="1306" spans="1:19" x14ac:dyDescent="0.3">
      <c r="A1306">
        <v>40</v>
      </c>
      <c r="B1306">
        <v>750</v>
      </c>
      <c r="C1306" t="s">
        <v>17</v>
      </c>
      <c r="D1306" t="s">
        <v>15</v>
      </c>
      <c r="E1306">
        <v>47</v>
      </c>
      <c r="F1306" t="s">
        <v>22</v>
      </c>
      <c r="G1306">
        <v>4448</v>
      </c>
      <c r="H1306">
        <v>10748</v>
      </c>
      <c r="I1306">
        <v>12</v>
      </c>
      <c r="J1306">
        <v>15</v>
      </c>
      <c r="K1306">
        <v>7</v>
      </c>
      <c r="L1306">
        <v>4</v>
      </c>
      <c r="M1306">
        <v>7</v>
      </c>
      <c r="N1306">
        <v>7</v>
      </c>
      <c r="P1306">
        <f>G1306*I1306/100</f>
        <v>533.76</v>
      </c>
      <c r="Q1306">
        <f t="shared" si="20"/>
        <v>53376</v>
      </c>
      <c r="R1306">
        <f>K1306/J1306</f>
        <v>0.46666666666666667</v>
      </c>
      <c r="S1306">
        <v>2020</v>
      </c>
    </row>
    <row r="1307" spans="1:19" x14ac:dyDescent="0.3">
      <c r="A1307">
        <v>54</v>
      </c>
      <c r="B1307">
        <v>431</v>
      </c>
      <c r="C1307" t="s">
        <v>17</v>
      </c>
      <c r="D1307" t="s">
        <v>15</v>
      </c>
      <c r="E1307">
        <v>68</v>
      </c>
      <c r="F1307" t="s">
        <v>19</v>
      </c>
      <c r="G1307">
        <v>6854</v>
      </c>
      <c r="H1307">
        <v>15696</v>
      </c>
      <c r="I1307">
        <v>15</v>
      </c>
      <c r="J1307">
        <v>14</v>
      </c>
      <c r="K1307">
        <v>7</v>
      </c>
      <c r="L1307">
        <v>1</v>
      </c>
      <c r="M1307">
        <v>1</v>
      </c>
      <c r="N1307">
        <v>7</v>
      </c>
      <c r="P1307">
        <f>G1307*I1307/100</f>
        <v>1028.0999999999999</v>
      </c>
      <c r="Q1307">
        <f t="shared" si="20"/>
        <v>82248</v>
      </c>
      <c r="R1307">
        <f>K1307/J1307</f>
        <v>0.5</v>
      </c>
      <c r="S1307">
        <v>2020</v>
      </c>
    </row>
    <row r="1308" spans="1:19" x14ac:dyDescent="0.3">
      <c r="A1308">
        <v>31</v>
      </c>
      <c r="B1308">
        <v>1125</v>
      </c>
      <c r="C1308" t="s">
        <v>14</v>
      </c>
      <c r="D1308" t="s">
        <v>15</v>
      </c>
      <c r="E1308">
        <v>68</v>
      </c>
      <c r="F1308" t="s">
        <v>16</v>
      </c>
      <c r="G1308">
        <v>9637</v>
      </c>
      <c r="H1308">
        <v>8277</v>
      </c>
      <c r="I1308">
        <v>14</v>
      </c>
      <c r="J1308">
        <v>9</v>
      </c>
      <c r="K1308">
        <v>3</v>
      </c>
      <c r="L1308">
        <v>2</v>
      </c>
      <c r="M1308">
        <v>2</v>
      </c>
      <c r="N1308">
        <v>2</v>
      </c>
      <c r="P1308">
        <f>G1308*I1308/100</f>
        <v>1349.18</v>
      </c>
      <c r="Q1308">
        <f t="shared" si="20"/>
        <v>115644</v>
      </c>
      <c r="R1308">
        <f>K1308/J1308</f>
        <v>0.33333333333333331</v>
      </c>
      <c r="S1308">
        <v>2020</v>
      </c>
    </row>
    <row r="1309" spans="1:19" x14ac:dyDescent="0.3">
      <c r="A1309">
        <v>28</v>
      </c>
      <c r="B1309">
        <v>1217</v>
      </c>
      <c r="C1309" t="s">
        <v>17</v>
      </c>
      <c r="D1309" t="s">
        <v>15</v>
      </c>
      <c r="E1309">
        <v>67</v>
      </c>
      <c r="F1309" t="s">
        <v>19</v>
      </c>
      <c r="G1309">
        <v>3591</v>
      </c>
      <c r="H1309">
        <v>12719</v>
      </c>
      <c r="I1309">
        <v>25</v>
      </c>
      <c r="J1309">
        <v>3</v>
      </c>
      <c r="K1309">
        <v>3</v>
      </c>
      <c r="L1309">
        <v>2</v>
      </c>
      <c r="M1309">
        <v>1</v>
      </c>
      <c r="N1309">
        <v>2</v>
      </c>
      <c r="P1309">
        <f>G1309*I1309/100</f>
        <v>897.75</v>
      </c>
      <c r="Q1309">
        <f t="shared" si="20"/>
        <v>43092</v>
      </c>
      <c r="R1309">
        <f>K1309/J1309</f>
        <v>1</v>
      </c>
      <c r="S1309">
        <v>2020</v>
      </c>
    </row>
    <row r="1310" spans="1:19" x14ac:dyDescent="0.3">
      <c r="A1310">
        <v>38</v>
      </c>
      <c r="B1310">
        <v>723</v>
      </c>
      <c r="C1310" t="s">
        <v>14</v>
      </c>
      <c r="D1310" t="s">
        <v>15</v>
      </c>
      <c r="E1310">
        <v>77</v>
      </c>
      <c r="F1310" t="s">
        <v>24</v>
      </c>
      <c r="G1310">
        <v>5405</v>
      </c>
      <c r="H1310">
        <v>4244</v>
      </c>
      <c r="I1310">
        <v>20</v>
      </c>
      <c r="J1310">
        <v>20</v>
      </c>
      <c r="K1310">
        <v>4</v>
      </c>
      <c r="L1310">
        <v>2</v>
      </c>
      <c r="M1310">
        <v>0</v>
      </c>
      <c r="N1310">
        <v>3</v>
      </c>
      <c r="P1310">
        <f>G1310*I1310/100</f>
        <v>1081</v>
      </c>
      <c r="Q1310">
        <f t="shared" si="20"/>
        <v>64860</v>
      </c>
      <c r="R1310">
        <f>K1310/J1310</f>
        <v>0.2</v>
      </c>
      <c r="S1310">
        <v>2020</v>
      </c>
    </row>
    <row r="1311" spans="1:19" x14ac:dyDescent="0.3">
      <c r="A1311">
        <v>26</v>
      </c>
      <c r="B1311">
        <v>572</v>
      </c>
      <c r="C1311" t="s">
        <v>14</v>
      </c>
      <c r="D1311" t="s">
        <v>18</v>
      </c>
      <c r="E1311">
        <v>46</v>
      </c>
      <c r="F1311" t="s">
        <v>16</v>
      </c>
      <c r="G1311">
        <v>4684</v>
      </c>
      <c r="H1311">
        <v>9125</v>
      </c>
      <c r="I1311">
        <v>13</v>
      </c>
      <c r="J1311">
        <v>5</v>
      </c>
      <c r="K1311">
        <v>5</v>
      </c>
      <c r="L1311">
        <v>3</v>
      </c>
      <c r="M1311">
        <v>1</v>
      </c>
      <c r="N1311">
        <v>2</v>
      </c>
      <c r="P1311">
        <f>G1311*I1311/100</f>
        <v>608.91999999999996</v>
      </c>
      <c r="Q1311">
        <f t="shared" si="20"/>
        <v>56208</v>
      </c>
      <c r="R1311">
        <f>K1311/J1311</f>
        <v>1</v>
      </c>
      <c r="S1311">
        <v>2020</v>
      </c>
    </row>
    <row r="1312" spans="1:19" x14ac:dyDescent="0.3">
      <c r="A1312">
        <v>58</v>
      </c>
      <c r="B1312">
        <v>1216</v>
      </c>
      <c r="C1312" t="s">
        <v>17</v>
      </c>
      <c r="D1312" t="s">
        <v>18</v>
      </c>
      <c r="E1312">
        <v>87</v>
      </c>
      <c r="F1312" t="s">
        <v>25</v>
      </c>
      <c r="G1312">
        <v>15787</v>
      </c>
      <c r="H1312">
        <v>21624</v>
      </c>
      <c r="I1312">
        <v>14</v>
      </c>
      <c r="J1312">
        <v>23</v>
      </c>
      <c r="K1312">
        <v>2</v>
      </c>
      <c r="L1312">
        <v>2</v>
      </c>
      <c r="M1312">
        <v>2</v>
      </c>
      <c r="N1312">
        <v>2</v>
      </c>
      <c r="P1312">
        <f>G1312*I1312/100</f>
        <v>2210.1799999999998</v>
      </c>
      <c r="Q1312">
        <f t="shared" si="20"/>
        <v>189444</v>
      </c>
      <c r="R1312">
        <f>K1312/J1312</f>
        <v>8.6956521739130432E-2</v>
      </c>
      <c r="S1312">
        <v>2020</v>
      </c>
    </row>
    <row r="1313" spans="1:19" x14ac:dyDescent="0.3">
      <c r="A1313">
        <v>18</v>
      </c>
      <c r="B1313">
        <v>1431</v>
      </c>
      <c r="C1313" t="s">
        <v>17</v>
      </c>
      <c r="D1313" t="s">
        <v>15</v>
      </c>
      <c r="E1313">
        <v>33</v>
      </c>
      <c r="F1313" t="s">
        <v>19</v>
      </c>
      <c r="G1313">
        <v>1514</v>
      </c>
      <c r="H1313">
        <v>8018</v>
      </c>
      <c r="I1313">
        <v>16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f>G1313*I1313/100</f>
        <v>242.24</v>
      </c>
      <c r="Q1313">
        <f t="shared" si="20"/>
        <v>18168</v>
      </c>
      <c r="R1313" t="e">
        <f>K1313/J1313</f>
        <v>#DIV/0!</v>
      </c>
      <c r="S1313">
        <v>2020</v>
      </c>
    </row>
    <row r="1314" spans="1:19" x14ac:dyDescent="0.3">
      <c r="A1314">
        <v>31</v>
      </c>
      <c r="B1314">
        <v>359</v>
      </c>
      <c r="C1314" t="s">
        <v>26</v>
      </c>
      <c r="D1314" t="s">
        <v>18</v>
      </c>
      <c r="E1314">
        <v>89</v>
      </c>
      <c r="F1314" t="s">
        <v>26</v>
      </c>
      <c r="G1314">
        <v>2956</v>
      </c>
      <c r="H1314">
        <v>21495</v>
      </c>
      <c r="I1314">
        <v>17</v>
      </c>
      <c r="J1314">
        <v>2</v>
      </c>
      <c r="K1314">
        <v>1</v>
      </c>
      <c r="L1314">
        <v>0</v>
      </c>
      <c r="M1314">
        <v>0</v>
      </c>
      <c r="N1314">
        <v>0</v>
      </c>
      <c r="P1314">
        <f>G1314*I1314/100</f>
        <v>502.52</v>
      </c>
      <c r="Q1314">
        <f t="shared" si="20"/>
        <v>35472</v>
      </c>
      <c r="R1314">
        <f>K1314/J1314</f>
        <v>0.5</v>
      </c>
      <c r="S1314">
        <v>2020</v>
      </c>
    </row>
    <row r="1315" spans="1:19" x14ac:dyDescent="0.3">
      <c r="A1315">
        <v>29</v>
      </c>
      <c r="B1315">
        <v>350</v>
      </c>
      <c r="C1315" t="s">
        <v>26</v>
      </c>
      <c r="D1315" t="s">
        <v>18</v>
      </c>
      <c r="E1315">
        <v>56</v>
      </c>
      <c r="F1315" t="s">
        <v>26</v>
      </c>
      <c r="G1315">
        <v>2335</v>
      </c>
      <c r="H1315">
        <v>3157</v>
      </c>
      <c r="I1315">
        <v>15</v>
      </c>
      <c r="J1315">
        <v>4</v>
      </c>
      <c r="K1315">
        <v>2</v>
      </c>
      <c r="L1315">
        <v>2</v>
      </c>
      <c r="M1315">
        <v>2</v>
      </c>
      <c r="N1315">
        <v>0</v>
      </c>
      <c r="P1315">
        <f>G1315*I1315/100</f>
        <v>350.25</v>
      </c>
      <c r="Q1315">
        <f t="shared" si="20"/>
        <v>28020</v>
      </c>
      <c r="R1315">
        <f>K1315/J1315</f>
        <v>0.5</v>
      </c>
      <c r="S1315">
        <v>2020</v>
      </c>
    </row>
    <row r="1316" spans="1:19" x14ac:dyDescent="0.3">
      <c r="A1316">
        <v>45</v>
      </c>
      <c r="B1316">
        <v>589</v>
      </c>
      <c r="C1316" t="s">
        <v>14</v>
      </c>
      <c r="D1316" t="s">
        <v>15</v>
      </c>
      <c r="E1316">
        <v>67</v>
      </c>
      <c r="F1316" t="s">
        <v>16</v>
      </c>
      <c r="G1316">
        <v>5154</v>
      </c>
      <c r="H1316">
        <v>19665</v>
      </c>
      <c r="I1316">
        <v>22</v>
      </c>
      <c r="J1316">
        <v>10</v>
      </c>
      <c r="K1316">
        <v>8</v>
      </c>
      <c r="L1316">
        <v>7</v>
      </c>
      <c r="M1316">
        <v>5</v>
      </c>
      <c r="N1316">
        <v>7</v>
      </c>
      <c r="P1316">
        <f>G1316*I1316/100</f>
        <v>1133.8800000000001</v>
      </c>
      <c r="Q1316">
        <f t="shared" si="20"/>
        <v>61848</v>
      </c>
      <c r="R1316">
        <f>K1316/J1316</f>
        <v>0.8</v>
      </c>
      <c r="S1316">
        <v>2020</v>
      </c>
    </row>
    <row r="1317" spans="1:19" x14ac:dyDescent="0.3">
      <c r="A1317">
        <v>36</v>
      </c>
      <c r="B1317">
        <v>430</v>
      </c>
      <c r="C1317" t="s">
        <v>17</v>
      </c>
      <c r="D1317" t="s">
        <v>15</v>
      </c>
      <c r="E1317">
        <v>73</v>
      </c>
      <c r="F1317" t="s">
        <v>19</v>
      </c>
      <c r="G1317">
        <v>6962</v>
      </c>
      <c r="H1317">
        <v>19573</v>
      </c>
      <c r="I1317">
        <v>22</v>
      </c>
      <c r="J1317">
        <v>15</v>
      </c>
      <c r="K1317">
        <v>1</v>
      </c>
      <c r="L1317">
        <v>0</v>
      </c>
      <c r="M1317">
        <v>0</v>
      </c>
      <c r="N1317">
        <v>0</v>
      </c>
      <c r="P1317">
        <f>G1317*I1317/100</f>
        <v>1531.64</v>
      </c>
      <c r="Q1317">
        <f t="shared" si="20"/>
        <v>83544</v>
      </c>
      <c r="R1317">
        <f>K1317/J1317</f>
        <v>6.6666666666666666E-2</v>
      </c>
      <c r="S1317">
        <v>2020</v>
      </c>
    </row>
    <row r="1318" spans="1:19" x14ac:dyDescent="0.3">
      <c r="A1318">
        <v>43</v>
      </c>
      <c r="B1318">
        <v>1422</v>
      </c>
      <c r="C1318" t="s">
        <v>14</v>
      </c>
      <c r="D1318" t="s">
        <v>18</v>
      </c>
      <c r="E1318">
        <v>92</v>
      </c>
      <c r="F1318" t="s">
        <v>16</v>
      </c>
      <c r="G1318">
        <v>5675</v>
      </c>
      <c r="H1318">
        <v>19246</v>
      </c>
      <c r="I1318">
        <v>20</v>
      </c>
      <c r="J1318">
        <v>7</v>
      </c>
      <c r="K1318">
        <v>7</v>
      </c>
      <c r="L1318">
        <v>7</v>
      </c>
      <c r="M1318">
        <v>7</v>
      </c>
      <c r="N1318">
        <v>7</v>
      </c>
      <c r="P1318">
        <f>G1318*I1318/100</f>
        <v>1135</v>
      </c>
      <c r="Q1318">
        <f t="shared" si="20"/>
        <v>68100</v>
      </c>
      <c r="R1318">
        <f>K1318/J1318</f>
        <v>1</v>
      </c>
      <c r="S1318">
        <v>2020</v>
      </c>
    </row>
    <row r="1319" spans="1:19" x14ac:dyDescent="0.3">
      <c r="A1319">
        <v>27</v>
      </c>
      <c r="B1319">
        <v>1297</v>
      </c>
      <c r="C1319" t="s">
        <v>17</v>
      </c>
      <c r="D1319" t="s">
        <v>15</v>
      </c>
      <c r="E1319">
        <v>53</v>
      </c>
      <c r="F1319" t="s">
        <v>20</v>
      </c>
      <c r="G1319">
        <v>2379</v>
      </c>
      <c r="H1319">
        <v>19826</v>
      </c>
      <c r="I1319">
        <v>14</v>
      </c>
      <c r="J1319">
        <v>6</v>
      </c>
      <c r="K1319">
        <v>5</v>
      </c>
      <c r="L1319">
        <v>4</v>
      </c>
      <c r="M1319">
        <v>0</v>
      </c>
      <c r="N1319">
        <v>2</v>
      </c>
      <c r="P1319">
        <f>G1319*I1319/100</f>
        <v>333.06</v>
      </c>
      <c r="Q1319">
        <f t="shared" si="20"/>
        <v>28548</v>
      </c>
      <c r="R1319">
        <f>K1319/J1319</f>
        <v>0.83333333333333337</v>
      </c>
      <c r="S1319">
        <v>2020</v>
      </c>
    </row>
    <row r="1320" spans="1:19" x14ac:dyDescent="0.3">
      <c r="A1320">
        <v>29</v>
      </c>
      <c r="B1320">
        <v>574</v>
      </c>
      <c r="C1320" t="s">
        <v>17</v>
      </c>
      <c r="D1320" t="s">
        <v>18</v>
      </c>
      <c r="E1320">
        <v>40</v>
      </c>
      <c r="F1320" t="s">
        <v>20</v>
      </c>
      <c r="G1320">
        <v>3812</v>
      </c>
      <c r="H1320">
        <v>7003</v>
      </c>
      <c r="I1320">
        <v>13</v>
      </c>
      <c r="J1320">
        <v>11</v>
      </c>
      <c r="K1320">
        <v>11</v>
      </c>
      <c r="L1320">
        <v>8</v>
      </c>
      <c r="M1320">
        <v>3</v>
      </c>
      <c r="N1320">
        <v>10</v>
      </c>
      <c r="P1320">
        <f>G1320*I1320/100</f>
        <v>495.56</v>
      </c>
      <c r="Q1320">
        <f t="shared" si="20"/>
        <v>45744</v>
      </c>
      <c r="R1320">
        <f>K1320/J1320</f>
        <v>1</v>
      </c>
      <c r="S1320">
        <v>2020</v>
      </c>
    </row>
    <row r="1321" spans="1:19" x14ac:dyDescent="0.3">
      <c r="A1321">
        <v>32</v>
      </c>
      <c r="B1321">
        <v>1318</v>
      </c>
      <c r="C1321" t="s">
        <v>14</v>
      </c>
      <c r="D1321" t="s">
        <v>18</v>
      </c>
      <c r="E1321">
        <v>79</v>
      </c>
      <c r="F1321" t="s">
        <v>16</v>
      </c>
      <c r="G1321">
        <v>4648</v>
      </c>
      <c r="H1321">
        <v>26075</v>
      </c>
      <c r="I1321">
        <v>13</v>
      </c>
      <c r="J1321">
        <v>4</v>
      </c>
      <c r="K1321">
        <v>0</v>
      </c>
      <c r="L1321">
        <v>0</v>
      </c>
      <c r="M1321">
        <v>0</v>
      </c>
      <c r="N1321">
        <v>0</v>
      </c>
      <c r="P1321">
        <f>G1321*I1321/100</f>
        <v>604.24</v>
      </c>
      <c r="Q1321">
        <f t="shared" si="20"/>
        <v>55776</v>
      </c>
      <c r="R1321">
        <f>K1321/J1321</f>
        <v>0</v>
      </c>
      <c r="S1321">
        <v>2020</v>
      </c>
    </row>
    <row r="1322" spans="1:19" x14ac:dyDescent="0.3">
      <c r="A1322">
        <v>42</v>
      </c>
      <c r="B1322">
        <v>355</v>
      </c>
      <c r="C1322" t="s">
        <v>17</v>
      </c>
      <c r="D1322" t="s">
        <v>18</v>
      </c>
      <c r="E1322">
        <v>38</v>
      </c>
      <c r="F1322" t="s">
        <v>19</v>
      </c>
      <c r="G1322">
        <v>2936</v>
      </c>
      <c r="H1322">
        <v>6161</v>
      </c>
      <c r="I1322">
        <v>22</v>
      </c>
      <c r="J1322">
        <v>10</v>
      </c>
      <c r="K1322">
        <v>6</v>
      </c>
      <c r="L1322">
        <v>3</v>
      </c>
      <c r="M1322">
        <v>3</v>
      </c>
      <c r="N1322">
        <v>3</v>
      </c>
      <c r="P1322">
        <f>G1322*I1322/100</f>
        <v>645.91999999999996</v>
      </c>
      <c r="Q1322">
        <f t="shared" si="20"/>
        <v>35232</v>
      </c>
      <c r="R1322">
        <f>K1322/J1322</f>
        <v>0.6</v>
      </c>
      <c r="S1322">
        <v>2020</v>
      </c>
    </row>
    <row r="1323" spans="1:19" x14ac:dyDescent="0.3">
      <c r="A1323">
        <v>47</v>
      </c>
      <c r="B1323">
        <v>207</v>
      </c>
      <c r="C1323" t="s">
        <v>17</v>
      </c>
      <c r="D1323" t="s">
        <v>15</v>
      </c>
      <c r="E1323">
        <v>64</v>
      </c>
      <c r="F1323" t="s">
        <v>20</v>
      </c>
      <c r="G1323">
        <v>2105</v>
      </c>
      <c r="H1323">
        <v>5411</v>
      </c>
      <c r="I1323">
        <v>12</v>
      </c>
      <c r="J1323">
        <v>7</v>
      </c>
      <c r="K1323">
        <v>2</v>
      </c>
      <c r="L1323">
        <v>2</v>
      </c>
      <c r="M1323">
        <v>2</v>
      </c>
      <c r="N1323">
        <v>0</v>
      </c>
      <c r="P1323">
        <f>G1323*I1323/100</f>
        <v>252.6</v>
      </c>
      <c r="Q1323">
        <f t="shared" si="20"/>
        <v>25260</v>
      </c>
      <c r="R1323">
        <f>K1323/J1323</f>
        <v>0.2857142857142857</v>
      </c>
      <c r="S1323">
        <v>2020</v>
      </c>
    </row>
    <row r="1324" spans="1:19" x14ac:dyDescent="0.3">
      <c r="A1324">
        <v>46</v>
      </c>
      <c r="B1324">
        <v>706</v>
      </c>
      <c r="C1324" t="s">
        <v>17</v>
      </c>
      <c r="D1324" t="s">
        <v>18</v>
      </c>
      <c r="E1324">
        <v>82</v>
      </c>
      <c r="F1324" t="s">
        <v>21</v>
      </c>
      <c r="G1324">
        <v>8578</v>
      </c>
      <c r="H1324">
        <v>19989</v>
      </c>
      <c r="I1324">
        <v>14</v>
      </c>
      <c r="J1324">
        <v>12</v>
      </c>
      <c r="K1324">
        <v>9</v>
      </c>
      <c r="L1324">
        <v>8</v>
      </c>
      <c r="M1324">
        <v>4</v>
      </c>
      <c r="N1324">
        <v>7</v>
      </c>
      <c r="P1324">
        <f>G1324*I1324/100</f>
        <v>1200.92</v>
      </c>
      <c r="Q1324">
        <f t="shared" si="20"/>
        <v>102936</v>
      </c>
      <c r="R1324">
        <f>K1324/J1324</f>
        <v>0.75</v>
      </c>
      <c r="S1324">
        <v>2020</v>
      </c>
    </row>
    <row r="1325" spans="1:19" x14ac:dyDescent="0.3">
      <c r="A1325">
        <v>28</v>
      </c>
      <c r="B1325">
        <v>280</v>
      </c>
      <c r="C1325" t="s">
        <v>26</v>
      </c>
      <c r="D1325" t="s">
        <v>18</v>
      </c>
      <c r="E1325">
        <v>43</v>
      </c>
      <c r="F1325" t="s">
        <v>26</v>
      </c>
      <c r="G1325">
        <v>2706</v>
      </c>
      <c r="H1325">
        <v>10494</v>
      </c>
      <c r="I1325">
        <v>15</v>
      </c>
      <c r="J1325">
        <v>3</v>
      </c>
      <c r="K1325">
        <v>3</v>
      </c>
      <c r="L1325">
        <v>2</v>
      </c>
      <c r="M1325">
        <v>2</v>
      </c>
      <c r="N1325">
        <v>2</v>
      </c>
      <c r="P1325">
        <f>G1325*I1325/100</f>
        <v>405.9</v>
      </c>
      <c r="Q1325">
        <f t="shared" si="20"/>
        <v>32472</v>
      </c>
      <c r="R1325">
        <f>K1325/J1325</f>
        <v>1</v>
      </c>
      <c r="S1325">
        <v>2020</v>
      </c>
    </row>
    <row r="1326" spans="1:19" x14ac:dyDescent="0.3">
      <c r="A1326">
        <v>29</v>
      </c>
      <c r="B1326">
        <v>726</v>
      </c>
      <c r="C1326" t="s">
        <v>17</v>
      </c>
      <c r="D1326" t="s">
        <v>18</v>
      </c>
      <c r="E1326">
        <v>93</v>
      </c>
      <c r="F1326" t="s">
        <v>22</v>
      </c>
      <c r="G1326">
        <v>6384</v>
      </c>
      <c r="H1326">
        <v>21143</v>
      </c>
      <c r="I1326">
        <v>17</v>
      </c>
      <c r="J1326">
        <v>11</v>
      </c>
      <c r="K1326">
        <v>7</v>
      </c>
      <c r="L1326">
        <v>0</v>
      </c>
      <c r="M1326">
        <v>1</v>
      </c>
      <c r="N1326">
        <v>6</v>
      </c>
      <c r="P1326">
        <f>G1326*I1326/100</f>
        <v>1085.28</v>
      </c>
      <c r="Q1326">
        <f t="shared" si="20"/>
        <v>76608</v>
      </c>
      <c r="R1326">
        <f>K1326/J1326</f>
        <v>0.63636363636363635</v>
      </c>
      <c r="S1326">
        <v>2020</v>
      </c>
    </row>
    <row r="1327" spans="1:19" x14ac:dyDescent="0.3">
      <c r="A1327">
        <v>42</v>
      </c>
      <c r="B1327">
        <v>1142</v>
      </c>
      <c r="C1327" t="s">
        <v>17</v>
      </c>
      <c r="D1327" t="s">
        <v>18</v>
      </c>
      <c r="E1327">
        <v>81</v>
      </c>
      <c r="F1327" t="s">
        <v>20</v>
      </c>
      <c r="G1327">
        <v>3968</v>
      </c>
      <c r="H1327">
        <v>13624</v>
      </c>
      <c r="I1327">
        <v>13</v>
      </c>
      <c r="J1327">
        <v>8</v>
      </c>
      <c r="K1327">
        <v>0</v>
      </c>
      <c r="L1327">
        <v>0</v>
      </c>
      <c r="M1327">
        <v>0</v>
      </c>
      <c r="N1327">
        <v>0</v>
      </c>
      <c r="P1327">
        <f>G1327*I1327/100</f>
        <v>515.84</v>
      </c>
      <c r="Q1327">
        <f t="shared" si="20"/>
        <v>47616</v>
      </c>
      <c r="R1327">
        <f>K1327/J1327</f>
        <v>0</v>
      </c>
      <c r="S1327">
        <v>2020</v>
      </c>
    </row>
    <row r="1328" spans="1:19" x14ac:dyDescent="0.3">
      <c r="A1328">
        <v>32</v>
      </c>
      <c r="B1328">
        <v>414</v>
      </c>
      <c r="C1328" t="s">
        <v>14</v>
      </c>
      <c r="D1328" t="s">
        <v>18</v>
      </c>
      <c r="E1328">
        <v>82</v>
      </c>
      <c r="F1328" t="s">
        <v>16</v>
      </c>
      <c r="G1328">
        <v>9907</v>
      </c>
      <c r="H1328">
        <v>26186</v>
      </c>
      <c r="I1328">
        <v>12</v>
      </c>
      <c r="J1328">
        <v>7</v>
      </c>
      <c r="K1328">
        <v>2</v>
      </c>
      <c r="L1328">
        <v>2</v>
      </c>
      <c r="M1328">
        <v>2</v>
      </c>
      <c r="N1328">
        <v>2</v>
      </c>
      <c r="P1328">
        <f>G1328*I1328/100</f>
        <v>1188.8399999999999</v>
      </c>
      <c r="Q1328">
        <f t="shared" si="20"/>
        <v>118884</v>
      </c>
      <c r="R1328">
        <f>K1328/J1328</f>
        <v>0.2857142857142857</v>
      </c>
      <c r="S1328">
        <v>2020</v>
      </c>
    </row>
    <row r="1329" spans="1:19" x14ac:dyDescent="0.3">
      <c r="A1329">
        <v>46</v>
      </c>
      <c r="B1329">
        <v>1319</v>
      </c>
      <c r="C1329" t="s">
        <v>14</v>
      </c>
      <c r="D1329" t="s">
        <v>15</v>
      </c>
      <c r="E1329">
        <v>45</v>
      </c>
      <c r="F1329" t="s">
        <v>16</v>
      </c>
      <c r="G1329">
        <v>13225</v>
      </c>
      <c r="H1329">
        <v>7739</v>
      </c>
      <c r="I1329">
        <v>12</v>
      </c>
      <c r="J1329">
        <v>25</v>
      </c>
      <c r="K1329">
        <v>19</v>
      </c>
      <c r="L1329">
        <v>17</v>
      </c>
      <c r="M1329">
        <v>2</v>
      </c>
      <c r="N1329">
        <v>8</v>
      </c>
      <c r="P1329">
        <f>G1329*I1329/100</f>
        <v>1587</v>
      </c>
      <c r="Q1329">
        <f t="shared" si="20"/>
        <v>158700</v>
      </c>
      <c r="R1329">
        <f>K1329/J1329</f>
        <v>0.76</v>
      </c>
      <c r="S1329">
        <v>2020</v>
      </c>
    </row>
    <row r="1330" spans="1:19" x14ac:dyDescent="0.3">
      <c r="A1330">
        <v>27</v>
      </c>
      <c r="B1330">
        <v>728</v>
      </c>
      <c r="C1330" t="s">
        <v>14</v>
      </c>
      <c r="D1330" t="s">
        <v>15</v>
      </c>
      <c r="E1330">
        <v>36</v>
      </c>
      <c r="F1330" t="s">
        <v>24</v>
      </c>
      <c r="G1330">
        <v>3540</v>
      </c>
      <c r="H1330">
        <v>7018</v>
      </c>
      <c r="I1330">
        <v>21</v>
      </c>
      <c r="J1330">
        <v>9</v>
      </c>
      <c r="K1330">
        <v>9</v>
      </c>
      <c r="L1330">
        <v>8</v>
      </c>
      <c r="M1330">
        <v>5</v>
      </c>
      <c r="N1330">
        <v>8</v>
      </c>
      <c r="P1330">
        <f>G1330*I1330/100</f>
        <v>743.4</v>
      </c>
      <c r="Q1330">
        <f t="shared" si="20"/>
        <v>42480</v>
      </c>
      <c r="R1330">
        <f>K1330/J1330</f>
        <v>1</v>
      </c>
      <c r="S1330">
        <v>2020</v>
      </c>
    </row>
    <row r="1331" spans="1:19" x14ac:dyDescent="0.3">
      <c r="A1331">
        <v>29</v>
      </c>
      <c r="B1331">
        <v>352</v>
      </c>
      <c r="C1331" t="s">
        <v>26</v>
      </c>
      <c r="D1331" t="s">
        <v>18</v>
      </c>
      <c r="E1331">
        <v>87</v>
      </c>
      <c r="F1331" t="s">
        <v>26</v>
      </c>
      <c r="G1331">
        <v>2804</v>
      </c>
      <c r="H1331">
        <v>15434</v>
      </c>
      <c r="I1331">
        <v>11</v>
      </c>
      <c r="J1331">
        <v>1</v>
      </c>
      <c r="K1331">
        <v>1</v>
      </c>
      <c r="L1331">
        <v>0</v>
      </c>
      <c r="M1331">
        <v>0</v>
      </c>
      <c r="N1331">
        <v>0</v>
      </c>
      <c r="P1331">
        <f>G1331*I1331/100</f>
        <v>308.44</v>
      </c>
      <c r="Q1331">
        <f t="shared" si="20"/>
        <v>33648</v>
      </c>
      <c r="R1331">
        <f>K1331/J1331</f>
        <v>1</v>
      </c>
      <c r="S1331">
        <v>2020</v>
      </c>
    </row>
    <row r="1332" spans="1:19" x14ac:dyDescent="0.3">
      <c r="A1332">
        <v>43</v>
      </c>
      <c r="B1332">
        <v>823</v>
      </c>
      <c r="C1332" t="s">
        <v>17</v>
      </c>
      <c r="D1332" t="s">
        <v>15</v>
      </c>
      <c r="E1332">
        <v>81</v>
      </c>
      <c r="F1332" t="s">
        <v>23</v>
      </c>
      <c r="G1332">
        <v>19392</v>
      </c>
      <c r="H1332">
        <v>22539</v>
      </c>
      <c r="I1332">
        <v>13</v>
      </c>
      <c r="J1332">
        <v>21</v>
      </c>
      <c r="K1332">
        <v>16</v>
      </c>
      <c r="L1332">
        <v>12</v>
      </c>
      <c r="M1332">
        <v>6</v>
      </c>
      <c r="N1332">
        <v>14</v>
      </c>
      <c r="P1332">
        <f>G1332*I1332/100</f>
        <v>2520.96</v>
      </c>
      <c r="Q1332">
        <f t="shared" si="20"/>
        <v>232704</v>
      </c>
      <c r="R1332">
        <f>K1332/J1332</f>
        <v>0.76190476190476186</v>
      </c>
      <c r="S1332">
        <v>2020</v>
      </c>
    </row>
    <row r="1333" spans="1:19" x14ac:dyDescent="0.3">
      <c r="A1333">
        <v>48</v>
      </c>
      <c r="B1333">
        <v>1224</v>
      </c>
      <c r="C1333" t="s">
        <v>17</v>
      </c>
      <c r="D1333" t="s">
        <v>18</v>
      </c>
      <c r="E1333">
        <v>91</v>
      </c>
      <c r="F1333" t="s">
        <v>25</v>
      </c>
      <c r="G1333">
        <v>19665</v>
      </c>
      <c r="H1333">
        <v>13583</v>
      </c>
      <c r="I1333">
        <v>12</v>
      </c>
      <c r="J1333">
        <v>29</v>
      </c>
      <c r="K1333">
        <v>22</v>
      </c>
      <c r="L1333">
        <v>10</v>
      </c>
      <c r="M1333">
        <v>12</v>
      </c>
      <c r="N1333">
        <v>9</v>
      </c>
      <c r="P1333">
        <f>G1333*I1333/100</f>
        <v>2359.8000000000002</v>
      </c>
      <c r="Q1333">
        <f t="shared" si="20"/>
        <v>235980</v>
      </c>
      <c r="R1333">
        <f>K1333/J1333</f>
        <v>0.75862068965517238</v>
      </c>
      <c r="S1333">
        <v>2020</v>
      </c>
    </row>
    <row r="1334" spans="1:19" x14ac:dyDescent="0.3">
      <c r="A1334">
        <v>29</v>
      </c>
      <c r="B1334">
        <v>459</v>
      </c>
      <c r="C1334" t="s">
        <v>17</v>
      </c>
      <c r="D1334" t="s">
        <v>18</v>
      </c>
      <c r="E1334">
        <v>73</v>
      </c>
      <c r="F1334" t="s">
        <v>19</v>
      </c>
      <c r="G1334">
        <v>2439</v>
      </c>
      <c r="H1334">
        <v>14753</v>
      </c>
      <c r="I1334">
        <v>24</v>
      </c>
      <c r="J1334">
        <v>1</v>
      </c>
      <c r="K1334">
        <v>1</v>
      </c>
      <c r="L1334">
        <v>0</v>
      </c>
      <c r="M1334">
        <v>1</v>
      </c>
      <c r="N1334">
        <v>0</v>
      </c>
      <c r="P1334">
        <f>G1334*I1334/100</f>
        <v>585.36</v>
      </c>
      <c r="Q1334">
        <f t="shared" si="20"/>
        <v>29268</v>
      </c>
      <c r="R1334">
        <f>K1334/J1334</f>
        <v>1</v>
      </c>
      <c r="S1334">
        <v>2020</v>
      </c>
    </row>
    <row r="1335" spans="1:19" x14ac:dyDescent="0.3">
      <c r="A1335">
        <v>46</v>
      </c>
      <c r="B1335">
        <v>1254</v>
      </c>
      <c r="C1335" t="s">
        <v>14</v>
      </c>
      <c r="D1335" t="s">
        <v>15</v>
      </c>
      <c r="E1335">
        <v>64</v>
      </c>
      <c r="F1335" t="s">
        <v>16</v>
      </c>
      <c r="G1335">
        <v>7314</v>
      </c>
      <c r="H1335">
        <v>14011</v>
      </c>
      <c r="I1335">
        <v>21</v>
      </c>
      <c r="J1335">
        <v>14</v>
      </c>
      <c r="K1335">
        <v>8</v>
      </c>
      <c r="L1335">
        <v>7</v>
      </c>
      <c r="M1335">
        <v>0</v>
      </c>
      <c r="N1335">
        <v>7</v>
      </c>
      <c r="P1335">
        <f>G1335*I1335/100</f>
        <v>1535.94</v>
      </c>
      <c r="Q1335">
        <f t="shared" si="20"/>
        <v>87768</v>
      </c>
      <c r="R1335">
        <f>K1335/J1335</f>
        <v>0.5714285714285714</v>
      </c>
      <c r="S1335">
        <v>2020</v>
      </c>
    </row>
    <row r="1336" spans="1:19" x14ac:dyDescent="0.3">
      <c r="A1336">
        <v>27</v>
      </c>
      <c r="B1336">
        <v>1131</v>
      </c>
      <c r="C1336" t="s">
        <v>17</v>
      </c>
      <c r="D1336" t="s">
        <v>15</v>
      </c>
      <c r="E1336">
        <v>77</v>
      </c>
      <c r="F1336" t="s">
        <v>19</v>
      </c>
      <c r="G1336">
        <v>4774</v>
      </c>
      <c r="H1336">
        <v>23844</v>
      </c>
      <c r="I1336">
        <v>19</v>
      </c>
      <c r="J1336">
        <v>8</v>
      </c>
      <c r="K1336">
        <v>7</v>
      </c>
      <c r="L1336">
        <v>6</v>
      </c>
      <c r="M1336">
        <v>7</v>
      </c>
      <c r="N1336">
        <v>3</v>
      </c>
      <c r="P1336">
        <f>G1336*I1336/100</f>
        <v>907.06</v>
      </c>
      <c r="Q1336">
        <f t="shared" si="20"/>
        <v>57288</v>
      </c>
      <c r="R1336">
        <f>K1336/J1336</f>
        <v>0.875</v>
      </c>
      <c r="S1336">
        <v>2020</v>
      </c>
    </row>
    <row r="1337" spans="1:19" x14ac:dyDescent="0.3">
      <c r="A1337">
        <v>39</v>
      </c>
      <c r="B1337">
        <v>835</v>
      </c>
      <c r="C1337" t="s">
        <v>17</v>
      </c>
      <c r="D1337" t="s">
        <v>18</v>
      </c>
      <c r="E1337">
        <v>41</v>
      </c>
      <c r="F1337" t="s">
        <v>19</v>
      </c>
      <c r="G1337">
        <v>3902</v>
      </c>
      <c r="H1337">
        <v>5141</v>
      </c>
      <c r="I1337">
        <v>14</v>
      </c>
      <c r="J1337">
        <v>7</v>
      </c>
      <c r="K1337">
        <v>2</v>
      </c>
      <c r="L1337">
        <v>2</v>
      </c>
      <c r="M1337">
        <v>2</v>
      </c>
      <c r="N1337">
        <v>2</v>
      </c>
      <c r="P1337">
        <f>G1337*I1337/100</f>
        <v>546.28</v>
      </c>
      <c r="Q1337">
        <f t="shared" si="20"/>
        <v>46824</v>
      </c>
      <c r="R1337">
        <f>K1337/J1337</f>
        <v>0.2857142857142857</v>
      </c>
      <c r="S1337">
        <v>2020</v>
      </c>
    </row>
    <row r="1338" spans="1:19" x14ac:dyDescent="0.3">
      <c r="A1338">
        <v>55</v>
      </c>
      <c r="B1338">
        <v>836</v>
      </c>
      <c r="C1338" t="s">
        <v>17</v>
      </c>
      <c r="D1338" t="s">
        <v>18</v>
      </c>
      <c r="E1338">
        <v>98</v>
      </c>
      <c r="F1338" t="s">
        <v>19</v>
      </c>
      <c r="G1338">
        <v>2662</v>
      </c>
      <c r="H1338">
        <v>7975</v>
      </c>
      <c r="I1338">
        <v>20</v>
      </c>
      <c r="J1338">
        <v>19</v>
      </c>
      <c r="K1338">
        <v>5</v>
      </c>
      <c r="L1338">
        <v>2</v>
      </c>
      <c r="M1338">
        <v>0</v>
      </c>
      <c r="N1338">
        <v>4</v>
      </c>
      <c r="P1338">
        <f>G1338*I1338/100</f>
        <v>532.4</v>
      </c>
      <c r="Q1338">
        <f t="shared" si="20"/>
        <v>31944</v>
      </c>
      <c r="R1338">
        <f>K1338/J1338</f>
        <v>0.26315789473684209</v>
      </c>
      <c r="S1338">
        <v>2020</v>
      </c>
    </row>
    <row r="1339" spans="1:19" x14ac:dyDescent="0.3">
      <c r="A1339">
        <v>28</v>
      </c>
      <c r="B1339">
        <v>1172</v>
      </c>
      <c r="C1339" t="s">
        <v>14</v>
      </c>
      <c r="D1339" t="s">
        <v>15</v>
      </c>
      <c r="E1339">
        <v>78</v>
      </c>
      <c r="F1339" t="s">
        <v>24</v>
      </c>
      <c r="G1339">
        <v>2856</v>
      </c>
      <c r="H1339">
        <v>3692</v>
      </c>
      <c r="I1339">
        <v>19</v>
      </c>
      <c r="J1339">
        <v>1</v>
      </c>
      <c r="K1339">
        <v>1</v>
      </c>
      <c r="L1339">
        <v>0</v>
      </c>
      <c r="M1339">
        <v>0</v>
      </c>
      <c r="N1339">
        <v>0</v>
      </c>
      <c r="P1339">
        <f>G1339*I1339/100</f>
        <v>542.64</v>
      </c>
      <c r="Q1339">
        <f t="shared" si="20"/>
        <v>34272</v>
      </c>
      <c r="R1339">
        <f>K1339/J1339</f>
        <v>1</v>
      </c>
      <c r="S1339">
        <v>2020</v>
      </c>
    </row>
    <row r="1340" spans="1:19" x14ac:dyDescent="0.3">
      <c r="A1340">
        <v>30</v>
      </c>
      <c r="B1340">
        <v>945</v>
      </c>
      <c r="C1340" t="s">
        <v>14</v>
      </c>
      <c r="D1340" t="s">
        <v>18</v>
      </c>
      <c r="E1340">
        <v>89</v>
      </c>
      <c r="F1340" t="s">
        <v>24</v>
      </c>
      <c r="G1340">
        <v>1081</v>
      </c>
      <c r="H1340">
        <v>16019</v>
      </c>
      <c r="I1340">
        <v>13</v>
      </c>
      <c r="J1340">
        <v>1</v>
      </c>
      <c r="K1340">
        <v>1</v>
      </c>
      <c r="L1340">
        <v>0</v>
      </c>
      <c r="M1340">
        <v>0</v>
      </c>
      <c r="N1340">
        <v>0</v>
      </c>
      <c r="P1340">
        <f>G1340*I1340/100</f>
        <v>140.53</v>
      </c>
      <c r="Q1340">
        <f t="shared" si="20"/>
        <v>12972</v>
      </c>
      <c r="R1340">
        <f>K1340/J1340</f>
        <v>1</v>
      </c>
      <c r="S1340">
        <v>2020</v>
      </c>
    </row>
    <row r="1341" spans="1:19" x14ac:dyDescent="0.3">
      <c r="A1341">
        <v>22</v>
      </c>
      <c r="B1341">
        <v>391</v>
      </c>
      <c r="C1341" t="s">
        <v>17</v>
      </c>
      <c r="D1341" t="s">
        <v>18</v>
      </c>
      <c r="E1341">
        <v>75</v>
      </c>
      <c r="F1341" t="s">
        <v>19</v>
      </c>
      <c r="G1341">
        <v>2472</v>
      </c>
      <c r="H1341">
        <v>26092</v>
      </c>
      <c r="I1341">
        <v>23</v>
      </c>
      <c r="J1341">
        <v>1</v>
      </c>
      <c r="K1341">
        <v>1</v>
      </c>
      <c r="L1341">
        <v>0</v>
      </c>
      <c r="M1341">
        <v>0</v>
      </c>
      <c r="N1341">
        <v>0</v>
      </c>
      <c r="P1341">
        <f>G1341*I1341/100</f>
        <v>568.55999999999995</v>
      </c>
      <c r="Q1341">
        <f t="shared" si="20"/>
        <v>29664</v>
      </c>
      <c r="R1341">
        <f>K1341/J1341</f>
        <v>1</v>
      </c>
      <c r="S1341">
        <v>2020</v>
      </c>
    </row>
    <row r="1342" spans="1:19" x14ac:dyDescent="0.3">
      <c r="A1342">
        <v>36</v>
      </c>
      <c r="B1342">
        <v>1266</v>
      </c>
      <c r="C1342" t="s">
        <v>14</v>
      </c>
      <c r="D1342" t="s">
        <v>15</v>
      </c>
      <c r="E1342">
        <v>63</v>
      </c>
      <c r="F1342" t="s">
        <v>16</v>
      </c>
      <c r="G1342">
        <v>5673</v>
      </c>
      <c r="H1342">
        <v>6060</v>
      </c>
      <c r="I1342">
        <v>13</v>
      </c>
      <c r="J1342">
        <v>10</v>
      </c>
      <c r="K1342">
        <v>10</v>
      </c>
      <c r="L1342">
        <v>9</v>
      </c>
      <c r="M1342">
        <v>1</v>
      </c>
      <c r="N1342">
        <v>7</v>
      </c>
      <c r="P1342">
        <f>G1342*I1342/100</f>
        <v>737.49</v>
      </c>
      <c r="Q1342">
        <f t="shared" si="20"/>
        <v>68076</v>
      </c>
      <c r="R1342">
        <f>K1342/J1342</f>
        <v>1</v>
      </c>
      <c r="S1342">
        <v>2020</v>
      </c>
    </row>
    <row r="1343" spans="1:19" x14ac:dyDescent="0.3">
      <c r="A1343">
        <v>31</v>
      </c>
      <c r="B1343">
        <v>311</v>
      </c>
      <c r="C1343" t="s">
        <v>17</v>
      </c>
      <c r="D1343" t="s">
        <v>18</v>
      </c>
      <c r="E1343">
        <v>89</v>
      </c>
      <c r="F1343" t="s">
        <v>20</v>
      </c>
      <c r="G1343">
        <v>4197</v>
      </c>
      <c r="H1343">
        <v>18624</v>
      </c>
      <c r="I1343">
        <v>11</v>
      </c>
      <c r="J1343">
        <v>10</v>
      </c>
      <c r="K1343">
        <v>10</v>
      </c>
      <c r="L1343">
        <v>8</v>
      </c>
      <c r="M1343">
        <v>0</v>
      </c>
      <c r="N1343">
        <v>2</v>
      </c>
      <c r="P1343">
        <f>G1343*I1343/100</f>
        <v>461.67</v>
      </c>
      <c r="Q1343">
        <f t="shared" si="20"/>
        <v>50364</v>
      </c>
      <c r="R1343">
        <f>K1343/J1343</f>
        <v>1</v>
      </c>
      <c r="S1343">
        <v>2020</v>
      </c>
    </row>
    <row r="1344" spans="1:19" x14ac:dyDescent="0.3">
      <c r="A1344">
        <v>34</v>
      </c>
      <c r="B1344">
        <v>1480</v>
      </c>
      <c r="C1344" t="s">
        <v>14</v>
      </c>
      <c r="D1344" t="s">
        <v>18</v>
      </c>
      <c r="E1344">
        <v>64</v>
      </c>
      <c r="F1344" t="s">
        <v>16</v>
      </c>
      <c r="G1344">
        <v>9713</v>
      </c>
      <c r="H1344">
        <v>24444</v>
      </c>
      <c r="I1344">
        <v>13</v>
      </c>
      <c r="J1344">
        <v>9</v>
      </c>
      <c r="K1344">
        <v>5</v>
      </c>
      <c r="L1344">
        <v>3</v>
      </c>
      <c r="M1344">
        <v>1</v>
      </c>
      <c r="N1344">
        <v>0</v>
      </c>
      <c r="P1344">
        <f>G1344*I1344/100</f>
        <v>1262.69</v>
      </c>
      <c r="Q1344">
        <f t="shared" si="20"/>
        <v>116556</v>
      </c>
      <c r="R1344">
        <f>K1344/J1344</f>
        <v>0.55555555555555558</v>
      </c>
      <c r="S1344">
        <v>2020</v>
      </c>
    </row>
    <row r="1345" spans="1:19" x14ac:dyDescent="0.3">
      <c r="A1345">
        <v>29</v>
      </c>
      <c r="B1345">
        <v>592</v>
      </c>
      <c r="C1345" t="s">
        <v>17</v>
      </c>
      <c r="D1345" t="s">
        <v>18</v>
      </c>
      <c r="E1345">
        <v>59</v>
      </c>
      <c r="F1345" t="s">
        <v>20</v>
      </c>
      <c r="G1345">
        <v>2062</v>
      </c>
      <c r="H1345">
        <v>19384</v>
      </c>
      <c r="I1345">
        <v>14</v>
      </c>
      <c r="J1345">
        <v>11</v>
      </c>
      <c r="K1345">
        <v>3</v>
      </c>
      <c r="L1345">
        <v>2</v>
      </c>
      <c r="M1345">
        <v>1</v>
      </c>
      <c r="N1345">
        <v>2</v>
      </c>
      <c r="P1345">
        <f>G1345*I1345/100</f>
        <v>288.68</v>
      </c>
      <c r="Q1345">
        <f t="shared" si="20"/>
        <v>24744</v>
      </c>
      <c r="R1345">
        <f>K1345/J1345</f>
        <v>0.27272727272727271</v>
      </c>
      <c r="S1345">
        <v>2020</v>
      </c>
    </row>
    <row r="1346" spans="1:19" x14ac:dyDescent="0.3">
      <c r="A1346">
        <v>37</v>
      </c>
      <c r="B1346">
        <v>783</v>
      </c>
      <c r="C1346" t="s">
        <v>17</v>
      </c>
      <c r="D1346" t="s">
        <v>18</v>
      </c>
      <c r="E1346">
        <v>78</v>
      </c>
      <c r="F1346" t="s">
        <v>19</v>
      </c>
      <c r="G1346">
        <v>4284</v>
      </c>
      <c r="H1346">
        <v>13588</v>
      </c>
      <c r="I1346">
        <v>22</v>
      </c>
      <c r="J1346">
        <v>16</v>
      </c>
      <c r="K1346">
        <v>5</v>
      </c>
      <c r="L1346">
        <v>3</v>
      </c>
      <c r="M1346">
        <v>0</v>
      </c>
      <c r="N1346">
        <v>4</v>
      </c>
      <c r="P1346">
        <f>G1346*I1346/100</f>
        <v>942.48</v>
      </c>
      <c r="Q1346">
        <f t="shared" si="20"/>
        <v>51408</v>
      </c>
      <c r="R1346">
        <f>K1346/J1346</f>
        <v>0.3125</v>
      </c>
      <c r="S1346">
        <v>2020</v>
      </c>
    </row>
    <row r="1347" spans="1:19" x14ac:dyDescent="0.3">
      <c r="A1347">
        <v>35</v>
      </c>
      <c r="B1347">
        <v>219</v>
      </c>
      <c r="C1347" t="s">
        <v>17</v>
      </c>
      <c r="D1347" t="s">
        <v>15</v>
      </c>
      <c r="E1347">
        <v>44</v>
      </c>
      <c r="F1347" t="s">
        <v>21</v>
      </c>
      <c r="G1347">
        <v>4788</v>
      </c>
      <c r="H1347">
        <v>25388</v>
      </c>
      <c r="I1347">
        <v>11</v>
      </c>
      <c r="J1347">
        <v>4</v>
      </c>
      <c r="K1347">
        <v>3</v>
      </c>
      <c r="L1347">
        <v>2</v>
      </c>
      <c r="M1347">
        <v>0</v>
      </c>
      <c r="N1347">
        <v>2</v>
      </c>
      <c r="P1347">
        <f>G1347*I1347/100</f>
        <v>526.67999999999995</v>
      </c>
      <c r="Q1347">
        <f t="shared" ref="Q1347:Q1410" si="21">G1347*12</f>
        <v>57456</v>
      </c>
      <c r="R1347">
        <f>K1347/J1347</f>
        <v>0.75</v>
      </c>
      <c r="S1347">
        <v>2020</v>
      </c>
    </row>
    <row r="1348" spans="1:19" x14ac:dyDescent="0.3">
      <c r="A1348">
        <v>45</v>
      </c>
      <c r="B1348">
        <v>556</v>
      </c>
      <c r="C1348" t="s">
        <v>17</v>
      </c>
      <c r="D1348" t="s">
        <v>15</v>
      </c>
      <c r="E1348">
        <v>93</v>
      </c>
      <c r="F1348" t="s">
        <v>21</v>
      </c>
      <c r="G1348">
        <v>5906</v>
      </c>
      <c r="H1348">
        <v>23888</v>
      </c>
      <c r="I1348">
        <v>13</v>
      </c>
      <c r="J1348">
        <v>10</v>
      </c>
      <c r="K1348">
        <v>9</v>
      </c>
      <c r="L1348">
        <v>8</v>
      </c>
      <c r="M1348">
        <v>3</v>
      </c>
      <c r="N1348">
        <v>8</v>
      </c>
      <c r="P1348">
        <f>G1348*I1348/100</f>
        <v>767.78</v>
      </c>
      <c r="Q1348">
        <f t="shared" si="21"/>
        <v>70872</v>
      </c>
      <c r="R1348">
        <f>K1348/J1348</f>
        <v>0.9</v>
      </c>
      <c r="S1348">
        <v>2020</v>
      </c>
    </row>
    <row r="1349" spans="1:19" x14ac:dyDescent="0.3">
      <c r="A1349">
        <v>36</v>
      </c>
      <c r="B1349">
        <v>1213</v>
      </c>
      <c r="C1349" t="s">
        <v>26</v>
      </c>
      <c r="D1349" t="s">
        <v>18</v>
      </c>
      <c r="E1349">
        <v>94</v>
      </c>
      <c r="F1349" t="s">
        <v>26</v>
      </c>
      <c r="G1349">
        <v>3886</v>
      </c>
      <c r="H1349">
        <v>4223</v>
      </c>
      <c r="I1349">
        <v>21</v>
      </c>
      <c r="J1349">
        <v>10</v>
      </c>
      <c r="K1349">
        <v>10</v>
      </c>
      <c r="L1349">
        <v>1</v>
      </c>
      <c r="M1349">
        <v>0</v>
      </c>
      <c r="N1349">
        <v>8</v>
      </c>
      <c r="P1349">
        <f>G1349*I1349/100</f>
        <v>816.06</v>
      </c>
      <c r="Q1349">
        <f t="shared" si="21"/>
        <v>46632</v>
      </c>
      <c r="R1349">
        <f>K1349/J1349</f>
        <v>1</v>
      </c>
      <c r="S1349">
        <v>2020</v>
      </c>
    </row>
    <row r="1350" spans="1:19" x14ac:dyDescent="0.3">
      <c r="A1350">
        <v>40</v>
      </c>
      <c r="B1350">
        <v>1137</v>
      </c>
      <c r="C1350" t="s">
        <v>17</v>
      </c>
      <c r="D1350" t="s">
        <v>18</v>
      </c>
      <c r="E1350">
        <v>98</v>
      </c>
      <c r="F1350" t="s">
        <v>23</v>
      </c>
      <c r="G1350">
        <v>16823</v>
      </c>
      <c r="H1350">
        <v>18991</v>
      </c>
      <c r="I1350">
        <v>11</v>
      </c>
      <c r="J1350">
        <v>22</v>
      </c>
      <c r="K1350">
        <v>19</v>
      </c>
      <c r="L1350">
        <v>7</v>
      </c>
      <c r="M1350">
        <v>11</v>
      </c>
      <c r="N1350">
        <v>16</v>
      </c>
      <c r="P1350">
        <f>G1350*I1350/100</f>
        <v>1850.53</v>
      </c>
      <c r="Q1350">
        <f t="shared" si="21"/>
        <v>201876</v>
      </c>
      <c r="R1350">
        <f>K1350/J1350</f>
        <v>0.86363636363636365</v>
      </c>
      <c r="S1350">
        <v>2020</v>
      </c>
    </row>
    <row r="1351" spans="1:19" x14ac:dyDescent="0.3">
      <c r="A1351">
        <v>26</v>
      </c>
      <c r="B1351">
        <v>482</v>
      </c>
      <c r="C1351" t="s">
        <v>17</v>
      </c>
      <c r="D1351" t="s">
        <v>15</v>
      </c>
      <c r="E1351">
        <v>90</v>
      </c>
      <c r="F1351" t="s">
        <v>19</v>
      </c>
      <c r="G1351">
        <v>2933</v>
      </c>
      <c r="H1351">
        <v>14908</v>
      </c>
      <c r="I1351">
        <v>13</v>
      </c>
      <c r="J1351">
        <v>1</v>
      </c>
      <c r="K1351">
        <v>1</v>
      </c>
      <c r="L1351">
        <v>0</v>
      </c>
      <c r="M1351">
        <v>1</v>
      </c>
      <c r="N1351">
        <v>0</v>
      </c>
      <c r="P1351">
        <f>G1351*I1351/100</f>
        <v>381.29</v>
      </c>
      <c r="Q1351">
        <f t="shared" si="21"/>
        <v>35196</v>
      </c>
      <c r="R1351">
        <f>K1351/J1351</f>
        <v>1</v>
      </c>
      <c r="S1351">
        <v>2020</v>
      </c>
    </row>
    <row r="1352" spans="1:19" x14ac:dyDescent="0.3">
      <c r="A1352">
        <v>27</v>
      </c>
      <c r="B1352">
        <v>511</v>
      </c>
      <c r="C1352" t="s">
        <v>14</v>
      </c>
      <c r="D1352" t="s">
        <v>15</v>
      </c>
      <c r="E1352">
        <v>89</v>
      </c>
      <c r="F1352" t="s">
        <v>16</v>
      </c>
      <c r="G1352">
        <v>6500</v>
      </c>
      <c r="H1352">
        <v>26997</v>
      </c>
      <c r="I1352">
        <v>14</v>
      </c>
      <c r="J1352">
        <v>9</v>
      </c>
      <c r="K1352">
        <v>8</v>
      </c>
      <c r="L1352">
        <v>7</v>
      </c>
      <c r="M1352">
        <v>0</v>
      </c>
      <c r="N1352">
        <v>7</v>
      </c>
      <c r="P1352">
        <f>G1352*I1352/100</f>
        <v>910</v>
      </c>
      <c r="Q1352">
        <f t="shared" si="21"/>
        <v>78000</v>
      </c>
      <c r="R1352">
        <f>K1352/J1352</f>
        <v>0.88888888888888884</v>
      </c>
      <c r="S1352">
        <v>2020</v>
      </c>
    </row>
    <row r="1353" spans="1:19" x14ac:dyDescent="0.3">
      <c r="A1353">
        <v>48</v>
      </c>
      <c r="B1353">
        <v>117</v>
      </c>
      <c r="C1353" t="s">
        <v>17</v>
      </c>
      <c r="D1353" t="s">
        <v>15</v>
      </c>
      <c r="E1353">
        <v>58</v>
      </c>
      <c r="F1353" t="s">
        <v>23</v>
      </c>
      <c r="G1353">
        <v>17174</v>
      </c>
      <c r="H1353">
        <v>2437</v>
      </c>
      <c r="I1353">
        <v>11</v>
      </c>
      <c r="J1353">
        <v>24</v>
      </c>
      <c r="K1353">
        <v>22</v>
      </c>
      <c r="L1353">
        <v>17</v>
      </c>
      <c r="M1353">
        <v>4</v>
      </c>
      <c r="N1353">
        <v>7</v>
      </c>
      <c r="P1353">
        <f>G1353*I1353/100</f>
        <v>1889.14</v>
      </c>
      <c r="Q1353">
        <f t="shared" si="21"/>
        <v>206088</v>
      </c>
      <c r="R1353">
        <f>K1353/J1353</f>
        <v>0.91666666666666663</v>
      </c>
      <c r="S1353">
        <v>2020</v>
      </c>
    </row>
    <row r="1354" spans="1:19" x14ac:dyDescent="0.3">
      <c r="A1354">
        <v>44</v>
      </c>
      <c r="B1354">
        <v>170</v>
      </c>
      <c r="C1354" t="s">
        <v>17</v>
      </c>
      <c r="D1354" t="s">
        <v>18</v>
      </c>
      <c r="E1354">
        <v>78</v>
      </c>
      <c r="F1354" t="s">
        <v>22</v>
      </c>
      <c r="G1354">
        <v>5033</v>
      </c>
      <c r="H1354">
        <v>9364</v>
      </c>
      <c r="I1354">
        <v>15</v>
      </c>
      <c r="J1354">
        <v>10</v>
      </c>
      <c r="K1354">
        <v>2</v>
      </c>
      <c r="L1354">
        <v>0</v>
      </c>
      <c r="M1354">
        <v>2</v>
      </c>
      <c r="N1354">
        <v>2</v>
      </c>
      <c r="P1354">
        <f>G1354*I1354/100</f>
        <v>754.95</v>
      </c>
      <c r="Q1354">
        <f t="shared" si="21"/>
        <v>60396</v>
      </c>
      <c r="R1354">
        <f>K1354/J1354</f>
        <v>0.2</v>
      </c>
      <c r="S1354">
        <v>2020</v>
      </c>
    </row>
    <row r="1355" spans="1:19" x14ac:dyDescent="0.3">
      <c r="A1355">
        <v>34</v>
      </c>
      <c r="B1355">
        <v>967</v>
      </c>
      <c r="C1355" t="s">
        <v>17</v>
      </c>
      <c r="D1355" t="s">
        <v>18</v>
      </c>
      <c r="E1355">
        <v>85</v>
      </c>
      <c r="F1355" t="s">
        <v>19</v>
      </c>
      <c r="G1355">
        <v>2307</v>
      </c>
      <c r="H1355">
        <v>14460</v>
      </c>
      <c r="I1355">
        <v>23</v>
      </c>
      <c r="J1355">
        <v>5</v>
      </c>
      <c r="K1355">
        <v>5</v>
      </c>
      <c r="L1355">
        <v>2</v>
      </c>
      <c r="M1355">
        <v>3</v>
      </c>
      <c r="N1355">
        <v>0</v>
      </c>
      <c r="P1355">
        <f>G1355*I1355/100</f>
        <v>530.61</v>
      </c>
      <c r="Q1355">
        <f t="shared" si="21"/>
        <v>27684</v>
      </c>
      <c r="R1355">
        <f>K1355/J1355</f>
        <v>1</v>
      </c>
      <c r="S1355">
        <v>2020</v>
      </c>
    </row>
    <row r="1356" spans="1:19" x14ac:dyDescent="0.3">
      <c r="A1356">
        <v>56</v>
      </c>
      <c r="B1356">
        <v>1162</v>
      </c>
      <c r="C1356" t="s">
        <v>17</v>
      </c>
      <c r="D1356" t="s">
        <v>18</v>
      </c>
      <c r="E1356">
        <v>97</v>
      </c>
      <c r="F1356" t="s">
        <v>20</v>
      </c>
      <c r="G1356">
        <v>2587</v>
      </c>
      <c r="H1356">
        <v>10261</v>
      </c>
      <c r="I1356">
        <v>16</v>
      </c>
      <c r="J1356">
        <v>5</v>
      </c>
      <c r="K1356">
        <v>4</v>
      </c>
      <c r="L1356">
        <v>2</v>
      </c>
      <c r="M1356">
        <v>1</v>
      </c>
      <c r="N1356">
        <v>0</v>
      </c>
      <c r="P1356">
        <f>G1356*I1356/100</f>
        <v>413.92</v>
      </c>
      <c r="Q1356">
        <f t="shared" si="21"/>
        <v>31044</v>
      </c>
      <c r="R1356">
        <f>K1356/J1356</f>
        <v>0.8</v>
      </c>
      <c r="S1356">
        <v>2020</v>
      </c>
    </row>
    <row r="1357" spans="1:19" x14ac:dyDescent="0.3">
      <c r="A1357">
        <v>36</v>
      </c>
      <c r="B1357">
        <v>335</v>
      </c>
      <c r="C1357" t="s">
        <v>14</v>
      </c>
      <c r="D1357" t="s">
        <v>18</v>
      </c>
      <c r="E1357">
        <v>33</v>
      </c>
      <c r="F1357" t="s">
        <v>16</v>
      </c>
      <c r="G1357">
        <v>5507</v>
      </c>
      <c r="H1357">
        <v>16822</v>
      </c>
      <c r="I1357">
        <v>16</v>
      </c>
      <c r="J1357">
        <v>12</v>
      </c>
      <c r="K1357">
        <v>4</v>
      </c>
      <c r="L1357">
        <v>2</v>
      </c>
      <c r="M1357">
        <v>1</v>
      </c>
      <c r="N1357">
        <v>3</v>
      </c>
      <c r="P1357">
        <f>G1357*I1357/100</f>
        <v>881.12</v>
      </c>
      <c r="Q1357">
        <f t="shared" si="21"/>
        <v>66084</v>
      </c>
      <c r="R1357">
        <f>K1357/J1357</f>
        <v>0.33333333333333331</v>
      </c>
      <c r="S1357">
        <v>2020</v>
      </c>
    </row>
    <row r="1358" spans="1:19" x14ac:dyDescent="0.3">
      <c r="A1358">
        <v>41</v>
      </c>
      <c r="B1358">
        <v>337</v>
      </c>
      <c r="C1358" t="s">
        <v>14</v>
      </c>
      <c r="D1358" t="s">
        <v>15</v>
      </c>
      <c r="E1358">
        <v>54</v>
      </c>
      <c r="F1358" t="s">
        <v>16</v>
      </c>
      <c r="G1358">
        <v>4393</v>
      </c>
      <c r="H1358">
        <v>26841</v>
      </c>
      <c r="I1358">
        <v>21</v>
      </c>
      <c r="J1358">
        <v>14</v>
      </c>
      <c r="K1358">
        <v>5</v>
      </c>
      <c r="L1358">
        <v>4</v>
      </c>
      <c r="M1358">
        <v>1</v>
      </c>
      <c r="N1358">
        <v>4</v>
      </c>
      <c r="P1358">
        <f>G1358*I1358/100</f>
        <v>922.53</v>
      </c>
      <c r="Q1358">
        <f t="shared" si="21"/>
        <v>52716</v>
      </c>
      <c r="R1358">
        <f>K1358/J1358</f>
        <v>0.35714285714285715</v>
      </c>
      <c r="S1358">
        <v>2020</v>
      </c>
    </row>
    <row r="1359" spans="1:19" x14ac:dyDescent="0.3">
      <c r="A1359">
        <v>42</v>
      </c>
      <c r="B1359">
        <v>1396</v>
      </c>
      <c r="C1359" t="s">
        <v>17</v>
      </c>
      <c r="D1359" t="s">
        <v>18</v>
      </c>
      <c r="E1359">
        <v>83</v>
      </c>
      <c r="F1359" t="s">
        <v>25</v>
      </c>
      <c r="G1359">
        <v>13348</v>
      </c>
      <c r="H1359">
        <v>14842</v>
      </c>
      <c r="I1359">
        <v>13</v>
      </c>
      <c r="J1359">
        <v>18</v>
      </c>
      <c r="K1359">
        <v>13</v>
      </c>
      <c r="L1359">
        <v>7</v>
      </c>
      <c r="M1359">
        <v>5</v>
      </c>
      <c r="N1359">
        <v>7</v>
      </c>
      <c r="P1359">
        <f>G1359*I1359/100</f>
        <v>1735.24</v>
      </c>
      <c r="Q1359">
        <f t="shared" si="21"/>
        <v>160176</v>
      </c>
      <c r="R1359">
        <f>K1359/J1359</f>
        <v>0.72222222222222221</v>
      </c>
      <c r="S1359">
        <v>2020</v>
      </c>
    </row>
    <row r="1360" spans="1:19" x14ac:dyDescent="0.3">
      <c r="A1360">
        <v>31</v>
      </c>
      <c r="B1360">
        <v>1079</v>
      </c>
      <c r="C1360" t="s">
        <v>14</v>
      </c>
      <c r="D1360" t="s">
        <v>15</v>
      </c>
      <c r="E1360">
        <v>86</v>
      </c>
      <c r="F1360" t="s">
        <v>16</v>
      </c>
      <c r="G1360">
        <v>6583</v>
      </c>
      <c r="H1360">
        <v>20115</v>
      </c>
      <c r="I1360">
        <v>11</v>
      </c>
      <c r="J1360">
        <v>8</v>
      </c>
      <c r="K1360">
        <v>5</v>
      </c>
      <c r="L1360">
        <v>2</v>
      </c>
      <c r="M1360">
        <v>1</v>
      </c>
      <c r="N1360">
        <v>4</v>
      </c>
      <c r="P1360">
        <f>G1360*I1360/100</f>
        <v>724.13</v>
      </c>
      <c r="Q1360">
        <f t="shared" si="21"/>
        <v>78996</v>
      </c>
      <c r="R1360">
        <f>K1360/J1360</f>
        <v>0.625</v>
      </c>
      <c r="S1360">
        <v>2020</v>
      </c>
    </row>
    <row r="1361" spans="1:19" x14ac:dyDescent="0.3">
      <c r="A1361">
        <v>34</v>
      </c>
      <c r="B1361">
        <v>735</v>
      </c>
      <c r="C1361" t="s">
        <v>14</v>
      </c>
      <c r="D1361" t="s">
        <v>15</v>
      </c>
      <c r="E1361">
        <v>75</v>
      </c>
      <c r="F1361" t="s">
        <v>16</v>
      </c>
      <c r="G1361">
        <v>8103</v>
      </c>
      <c r="H1361">
        <v>16495</v>
      </c>
      <c r="I1361">
        <v>12</v>
      </c>
      <c r="J1361">
        <v>9</v>
      </c>
      <c r="K1361">
        <v>4</v>
      </c>
      <c r="L1361">
        <v>2</v>
      </c>
      <c r="M1361">
        <v>0</v>
      </c>
      <c r="N1361">
        <v>1</v>
      </c>
      <c r="P1361">
        <f>G1361*I1361/100</f>
        <v>972.36</v>
      </c>
      <c r="Q1361">
        <f t="shared" si="21"/>
        <v>97236</v>
      </c>
      <c r="R1361">
        <f>K1361/J1361</f>
        <v>0.44444444444444442</v>
      </c>
      <c r="S1361">
        <v>2020</v>
      </c>
    </row>
    <row r="1362" spans="1:19" x14ac:dyDescent="0.3">
      <c r="A1362">
        <v>31</v>
      </c>
      <c r="B1362">
        <v>471</v>
      </c>
      <c r="C1362" t="s">
        <v>17</v>
      </c>
      <c r="D1362" t="s">
        <v>15</v>
      </c>
      <c r="E1362">
        <v>62</v>
      </c>
      <c r="F1362" t="s">
        <v>20</v>
      </c>
      <c r="G1362">
        <v>3978</v>
      </c>
      <c r="H1362">
        <v>16031</v>
      </c>
      <c r="I1362">
        <v>12</v>
      </c>
      <c r="J1362">
        <v>4</v>
      </c>
      <c r="K1362">
        <v>2</v>
      </c>
      <c r="L1362">
        <v>2</v>
      </c>
      <c r="M1362">
        <v>2</v>
      </c>
      <c r="N1362">
        <v>2</v>
      </c>
      <c r="P1362">
        <f>G1362*I1362/100</f>
        <v>477.36</v>
      </c>
      <c r="Q1362">
        <f t="shared" si="21"/>
        <v>47736</v>
      </c>
      <c r="R1362">
        <f>K1362/J1362</f>
        <v>0.5</v>
      </c>
      <c r="S1362">
        <v>2020</v>
      </c>
    </row>
    <row r="1363" spans="1:19" x14ac:dyDescent="0.3">
      <c r="A1363">
        <v>26</v>
      </c>
      <c r="B1363">
        <v>1096</v>
      </c>
      <c r="C1363" t="s">
        <v>17</v>
      </c>
      <c r="D1363" t="s">
        <v>18</v>
      </c>
      <c r="E1363">
        <v>61</v>
      </c>
      <c r="F1363" t="s">
        <v>20</v>
      </c>
      <c r="G1363">
        <v>2544</v>
      </c>
      <c r="H1363">
        <v>7102</v>
      </c>
      <c r="I1363">
        <v>18</v>
      </c>
      <c r="J1363">
        <v>8</v>
      </c>
      <c r="K1363">
        <v>7</v>
      </c>
      <c r="L1363">
        <v>7</v>
      </c>
      <c r="M1363">
        <v>7</v>
      </c>
      <c r="N1363">
        <v>7</v>
      </c>
      <c r="P1363">
        <f>G1363*I1363/100</f>
        <v>457.92</v>
      </c>
      <c r="Q1363">
        <f t="shared" si="21"/>
        <v>30528</v>
      </c>
      <c r="R1363">
        <f>K1363/J1363</f>
        <v>0.875</v>
      </c>
      <c r="S1363">
        <v>2020</v>
      </c>
    </row>
    <row r="1364" spans="1:19" x14ac:dyDescent="0.3">
      <c r="A1364">
        <v>45</v>
      </c>
      <c r="B1364">
        <v>1297</v>
      </c>
      <c r="C1364" t="s">
        <v>17</v>
      </c>
      <c r="D1364" t="s">
        <v>18</v>
      </c>
      <c r="E1364">
        <v>44</v>
      </c>
      <c r="F1364" t="s">
        <v>22</v>
      </c>
      <c r="G1364">
        <v>5399</v>
      </c>
      <c r="H1364">
        <v>14511</v>
      </c>
      <c r="I1364">
        <v>12</v>
      </c>
      <c r="J1364">
        <v>12</v>
      </c>
      <c r="K1364">
        <v>4</v>
      </c>
      <c r="L1364">
        <v>2</v>
      </c>
      <c r="M1364">
        <v>0</v>
      </c>
      <c r="N1364">
        <v>3</v>
      </c>
      <c r="P1364">
        <f>G1364*I1364/100</f>
        <v>647.88</v>
      </c>
      <c r="Q1364">
        <f t="shared" si="21"/>
        <v>64788</v>
      </c>
      <c r="R1364">
        <f>K1364/J1364</f>
        <v>0.33333333333333331</v>
      </c>
      <c r="S1364">
        <v>2020</v>
      </c>
    </row>
    <row r="1365" spans="1:19" x14ac:dyDescent="0.3">
      <c r="A1365">
        <v>33</v>
      </c>
      <c r="B1365">
        <v>217</v>
      </c>
      <c r="C1365" t="s">
        <v>14</v>
      </c>
      <c r="D1365" t="s">
        <v>18</v>
      </c>
      <c r="E1365">
        <v>43</v>
      </c>
      <c r="F1365" t="s">
        <v>16</v>
      </c>
      <c r="G1365">
        <v>5487</v>
      </c>
      <c r="H1365">
        <v>10410</v>
      </c>
      <c r="I1365">
        <v>14</v>
      </c>
      <c r="J1365">
        <v>10</v>
      </c>
      <c r="K1365">
        <v>10</v>
      </c>
      <c r="L1365">
        <v>4</v>
      </c>
      <c r="M1365">
        <v>0</v>
      </c>
      <c r="N1365">
        <v>9</v>
      </c>
      <c r="P1365">
        <f>G1365*I1365/100</f>
        <v>768.18</v>
      </c>
      <c r="Q1365">
        <f t="shared" si="21"/>
        <v>65844</v>
      </c>
      <c r="R1365">
        <f>K1365/J1365</f>
        <v>1</v>
      </c>
      <c r="S1365">
        <v>2020</v>
      </c>
    </row>
    <row r="1366" spans="1:19" x14ac:dyDescent="0.3">
      <c r="A1366">
        <v>28</v>
      </c>
      <c r="B1366">
        <v>783</v>
      </c>
      <c r="C1366" t="s">
        <v>14</v>
      </c>
      <c r="D1366" t="s">
        <v>18</v>
      </c>
      <c r="E1366">
        <v>42</v>
      </c>
      <c r="F1366" t="s">
        <v>16</v>
      </c>
      <c r="G1366">
        <v>6834</v>
      </c>
      <c r="H1366">
        <v>19255</v>
      </c>
      <c r="I1366">
        <v>12</v>
      </c>
      <c r="J1366">
        <v>7</v>
      </c>
      <c r="K1366">
        <v>7</v>
      </c>
      <c r="L1366">
        <v>7</v>
      </c>
      <c r="M1366">
        <v>0</v>
      </c>
      <c r="N1366">
        <v>7</v>
      </c>
      <c r="P1366">
        <f>G1366*I1366/100</f>
        <v>820.08</v>
      </c>
      <c r="Q1366">
        <f t="shared" si="21"/>
        <v>82008</v>
      </c>
      <c r="R1366">
        <f>K1366/J1366</f>
        <v>1</v>
      </c>
      <c r="S1366">
        <v>2020</v>
      </c>
    </row>
    <row r="1367" spans="1:19" x14ac:dyDescent="0.3">
      <c r="A1367">
        <v>29</v>
      </c>
      <c r="B1367">
        <v>746</v>
      </c>
      <c r="C1367" t="s">
        <v>14</v>
      </c>
      <c r="D1367" t="s">
        <v>18</v>
      </c>
      <c r="E1367">
        <v>45</v>
      </c>
      <c r="F1367" t="s">
        <v>24</v>
      </c>
      <c r="G1367">
        <v>1091</v>
      </c>
      <c r="H1367">
        <v>10642</v>
      </c>
      <c r="I1367">
        <v>17</v>
      </c>
      <c r="J1367">
        <v>1</v>
      </c>
      <c r="K1367">
        <v>1</v>
      </c>
      <c r="L1367">
        <v>0</v>
      </c>
      <c r="M1367">
        <v>0</v>
      </c>
      <c r="N1367">
        <v>0</v>
      </c>
      <c r="P1367">
        <f>G1367*I1367/100</f>
        <v>185.47</v>
      </c>
      <c r="Q1367">
        <f t="shared" si="21"/>
        <v>13092</v>
      </c>
      <c r="R1367">
        <f>K1367/J1367</f>
        <v>1</v>
      </c>
      <c r="S1367">
        <v>2020</v>
      </c>
    </row>
    <row r="1368" spans="1:19" x14ac:dyDescent="0.3">
      <c r="A1368">
        <v>39</v>
      </c>
      <c r="B1368">
        <v>1251</v>
      </c>
      <c r="C1368" t="s">
        <v>14</v>
      </c>
      <c r="D1368" t="s">
        <v>15</v>
      </c>
      <c r="E1368">
        <v>32</v>
      </c>
      <c r="F1368" t="s">
        <v>16</v>
      </c>
      <c r="G1368">
        <v>5736</v>
      </c>
      <c r="H1368">
        <v>3987</v>
      </c>
      <c r="I1368">
        <v>19</v>
      </c>
      <c r="J1368">
        <v>10</v>
      </c>
      <c r="K1368">
        <v>3</v>
      </c>
      <c r="L1368">
        <v>2</v>
      </c>
      <c r="M1368">
        <v>1</v>
      </c>
      <c r="N1368">
        <v>2</v>
      </c>
      <c r="P1368">
        <f>G1368*I1368/100</f>
        <v>1089.8399999999999</v>
      </c>
      <c r="Q1368">
        <f t="shared" si="21"/>
        <v>68832</v>
      </c>
      <c r="R1368">
        <f>K1368/J1368</f>
        <v>0.3</v>
      </c>
      <c r="S1368">
        <v>2020</v>
      </c>
    </row>
    <row r="1369" spans="1:19" x14ac:dyDescent="0.3">
      <c r="A1369">
        <v>27</v>
      </c>
      <c r="B1369">
        <v>1354</v>
      </c>
      <c r="C1369" t="s">
        <v>17</v>
      </c>
      <c r="D1369" t="s">
        <v>18</v>
      </c>
      <c r="E1369">
        <v>41</v>
      </c>
      <c r="F1369" t="s">
        <v>19</v>
      </c>
      <c r="G1369">
        <v>2226</v>
      </c>
      <c r="H1369">
        <v>6073</v>
      </c>
      <c r="I1369">
        <v>11</v>
      </c>
      <c r="J1369">
        <v>6</v>
      </c>
      <c r="K1369">
        <v>5</v>
      </c>
      <c r="L1369">
        <v>3</v>
      </c>
      <c r="M1369">
        <v>1</v>
      </c>
      <c r="N1369">
        <v>2</v>
      </c>
      <c r="P1369">
        <f>G1369*I1369/100</f>
        <v>244.86</v>
      </c>
      <c r="Q1369">
        <f t="shared" si="21"/>
        <v>26712</v>
      </c>
      <c r="R1369">
        <f>K1369/J1369</f>
        <v>0.83333333333333337</v>
      </c>
      <c r="S1369">
        <v>2020</v>
      </c>
    </row>
    <row r="1370" spans="1:19" x14ac:dyDescent="0.3">
      <c r="A1370">
        <v>34</v>
      </c>
      <c r="B1370">
        <v>735</v>
      </c>
      <c r="C1370" t="s">
        <v>17</v>
      </c>
      <c r="D1370" t="s">
        <v>18</v>
      </c>
      <c r="E1370">
        <v>86</v>
      </c>
      <c r="F1370" t="s">
        <v>19</v>
      </c>
      <c r="G1370">
        <v>5747</v>
      </c>
      <c r="H1370">
        <v>26496</v>
      </c>
      <c r="I1370">
        <v>15</v>
      </c>
      <c r="J1370">
        <v>16</v>
      </c>
      <c r="K1370">
        <v>15</v>
      </c>
      <c r="L1370">
        <v>10</v>
      </c>
      <c r="M1370">
        <v>6</v>
      </c>
      <c r="N1370">
        <v>11</v>
      </c>
      <c r="P1370">
        <f>G1370*I1370/100</f>
        <v>862.05</v>
      </c>
      <c r="Q1370">
        <f t="shared" si="21"/>
        <v>68964</v>
      </c>
      <c r="R1370">
        <f>K1370/J1370</f>
        <v>0.9375</v>
      </c>
      <c r="S1370">
        <v>2020</v>
      </c>
    </row>
    <row r="1371" spans="1:19" x14ac:dyDescent="0.3">
      <c r="A1371">
        <v>28</v>
      </c>
      <c r="B1371">
        <v>1475</v>
      </c>
      <c r="C1371" t="s">
        <v>14</v>
      </c>
      <c r="D1371" t="s">
        <v>15</v>
      </c>
      <c r="E1371">
        <v>84</v>
      </c>
      <c r="F1371" t="s">
        <v>16</v>
      </c>
      <c r="G1371">
        <v>9854</v>
      </c>
      <c r="H1371">
        <v>23352</v>
      </c>
      <c r="I1371">
        <v>11</v>
      </c>
      <c r="J1371">
        <v>6</v>
      </c>
      <c r="K1371">
        <v>2</v>
      </c>
      <c r="L1371">
        <v>0</v>
      </c>
      <c r="M1371">
        <v>2</v>
      </c>
      <c r="N1371">
        <v>2</v>
      </c>
      <c r="P1371">
        <f>G1371*I1371/100</f>
        <v>1083.94</v>
      </c>
      <c r="Q1371">
        <f t="shared" si="21"/>
        <v>118248</v>
      </c>
      <c r="R1371">
        <f>K1371/J1371</f>
        <v>0.33333333333333331</v>
      </c>
      <c r="S1371">
        <v>2020</v>
      </c>
    </row>
    <row r="1372" spans="1:19" x14ac:dyDescent="0.3">
      <c r="A1372">
        <v>47</v>
      </c>
      <c r="B1372">
        <v>1169</v>
      </c>
      <c r="C1372" t="s">
        <v>17</v>
      </c>
      <c r="D1372" t="s">
        <v>18</v>
      </c>
      <c r="E1372">
        <v>64</v>
      </c>
      <c r="F1372" t="s">
        <v>19</v>
      </c>
      <c r="G1372">
        <v>5467</v>
      </c>
      <c r="H1372">
        <v>2125</v>
      </c>
      <c r="I1372">
        <v>18</v>
      </c>
      <c r="J1372">
        <v>16</v>
      </c>
      <c r="K1372">
        <v>8</v>
      </c>
      <c r="L1372">
        <v>7</v>
      </c>
      <c r="M1372">
        <v>1</v>
      </c>
      <c r="N1372">
        <v>7</v>
      </c>
      <c r="P1372">
        <f>G1372*I1372/100</f>
        <v>984.06</v>
      </c>
      <c r="Q1372">
        <f t="shared" si="21"/>
        <v>65604</v>
      </c>
      <c r="R1372">
        <f>K1372/J1372</f>
        <v>0.5</v>
      </c>
      <c r="S1372">
        <v>2020</v>
      </c>
    </row>
    <row r="1373" spans="1:19" x14ac:dyDescent="0.3">
      <c r="A1373">
        <v>56</v>
      </c>
      <c r="B1373">
        <v>1443</v>
      </c>
      <c r="C1373" t="s">
        <v>14</v>
      </c>
      <c r="D1373" t="s">
        <v>15</v>
      </c>
      <c r="E1373">
        <v>89</v>
      </c>
      <c r="F1373" t="s">
        <v>16</v>
      </c>
      <c r="G1373">
        <v>5380</v>
      </c>
      <c r="H1373">
        <v>20328</v>
      </c>
      <c r="I1373">
        <v>16</v>
      </c>
      <c r="J1373">
        <v>6</v>
      </c>
      <c r="K1373">
        <v>0</v>
      </c>
      <c r="L1373">
        <v>0</v>
      </c>
      <c r="M1373">
        <v>0</v>
      </c>
      <c r="N1373">
        <v>0</v>
      </c>
      <c r="P1373">
        <f>G1373*I1373/100</f>
        <v>860.8</v>
      </c>
      <c r="Q1373">
        <f t="shared" si="21"/>
        <v>64560</v>
      </c>
      <c r="R1373">
        <f>K1373/J1373</f>
        <v>0</v>
      </c>
      <c r="S1373">
        <v>2020</v>
      </c>
    </row>
    <row r="1374" spans="1:19" x14ac:dyDescent="0.3">
      <c r="A1374">
        <v>39</v>
      </c>
      <c r="B1374">
        <v>867</v>
      </c>
      <c r="C1374" t="s">
        <v>17</v>
      </c>
      <c r="D1374" t="s">
        <v>18</v>
      </c>
      <c r="E1374">
        <v>87</v>
      </c>
      <c r="F1374" t="s">
        <v>21</v>
      </c>
      <c r="G1374">
        <v>5151</v>
      </c>
      <c r="H1374">
        <v>12315</v>
      </c>
      <c r="I1374">
        <v>25</v>
      </c>
      <c r="J1374">
        <v>10</v>
      </c>
      <c r="K1374">
        <v>10</v>
      </c>
      <c r="L1374">
        <v>0</v>
      </c>
      <c r="M1374">
        <v>7</v>
      </c>
      <c r="N1374">
        <v>9</v>
      </c>
      <c r="P1374">
        <f>G1374*I1374/100</f>
        <v>1287.75</v>
      </c>
      <c r="Q1374">
        <f t="shared" si="21"/>
        <v>61812</v>
      </c>
      <c r="R1374">
        <f>K1374/J1374</f>
        <v>1</v>
      </c>
      <c r="S1374">
        <v>2020</v>
      </c>
    </row>
    <row r="1375" spans="1:19" x14ac:dyDescent="0.3">
      <c r="A1375">
        <v>38</v>
      </c>
      <c r="B1375">
        <v>1394</v>
      </c>
      <c r="C1375" t="s">
        <v>17</v>
      </c>
      <c r="D1375" t="s">
        <v>15</v>
      </c>
      <c r="E1375">
        <v>58</v>
      </c>
      <c r="F1375" t="s">
        <v>19</v>
      </c>
      <c r="G1375">
        <v>2133</v>
      </c>
      <c r="H1375">
        <v>18115</v>
      </c>
      <c r="I1375">
        <v>16</v>
      </c>
      <c r="J1375">
        <v>20</v>
      </c>
      <c r="K1375">
        <v>20</v>
      </c>
      <c r="L1375">
        <v>11</v>
      </c>
      <c r="M1375">
        <v>0</v>
      </c>
      <c r="N1375">
        <v>7</v>
      </c>
      <c r="P1375">
        <f>G1375*I1375/100</f>
        <v>341.28</v>
      </c>
      <c r="Q1375">
        <f t="shared" si="21"/>
        <v>25596</v>
      </c>
      <c r="R1375">
        <f>K1375/J1375</f>
        <v>1</v>
      </c>
      <c r="S1375">
        <v>2020</v>
      </c>
    </row>
    <row r="1376" spans="1:19" x14ac:dyDescent="0.3">
      <c r="A1376">
        <v>58</v>
      </c>
      <c r="B1376">
        <v>605</v>
      </c>
      <c r="C1376" t="s">
        <v>14</v>
      </c>
      <c r="D1376" t="s">
        <v>15</v>
      </c>
      <c r="E1376">
        <v>72</v>
      </c>
      <c r="F1376" t="s">
        <v>23</v>
      </c>
      <c r="G1376">
        <v>17875</v>
      </c>
      <c r="H1376">
        <v>11761</v>
      </c>
      <c r="I1376">
        <v>13</v>
      </c>
      <c r="J1376">
        <v>29</v>
      </c>
      <c r="K1376">
        <v>1</v>
      </c>
      <c r="L1376">
        <v>0</v>
      </c>
      <c r="M1376">
        <v>0</v>
      </c>
      <c r="N1376">
        <v>0</v>
      </c>
      <c r="P1376">
        <f>G1376*I1376/100</f>
        <v>2323.75</v>
      </c>
      <c r="Q1376">
        <f t="shared" si="21"/>
        <v>214500</v>
      </c>
      <c r="R1376">
        <f>K1376/J1376</f>
        <v>3.4482758620689655E-2</v>
      </c>
      <c r="S1376">
        <v>2020</v>
      </c>
    </row>
    <row r="1377" spans="1:19" x14ac:dyDescent="0.3">
      <c r="A1377">
        <v>32</v>
      </c>
      <c r="B1377">
        <v>238</v>
      </c>
      <c r="C1377" t="s">
        <v>17</v>
      </c>
      <c r="D1377" t="s">
        <v>15</v>
      </c>
      <c r="E1377">
        <v>47</v>
      </c>
      <c r="F1377" t="s">
        <v>19</v>
      </c>
      <c r="G1377">
        <v>2432</v>
      </c>
      <c r="H1377">
        <v>15318</v>
      </c>
      <c r="I1377">
        <v>14</v>
      </c>
      <c r="J1377">
        <v>8</v>
      </c>
      <c r="K1377">
        <v>4</v>
      </c>
      <c r="L1377">
        <v>1</v>
      </c>
      <c r="M1377">
        <v>0</v>
      </c>
      <c r="N1377">
        <v>3</v>
      </c>
      <c r="P1377">
        <f>G1377*I1377/100</f>
        <v>340.48</v>
      </c>
      <c r="Q1377">
        <f t="shared" si="21"/>
        <v>29184</v>
      </c>
      <c r="R1377">
        <f>K1377/J1377</f>
        <v>0.5</v>
      </c>
      <c r="S1377">
        <v>2020</v>
      </c>
    </row>
    <row r="1378" spans="1:19" x14ac:dyDescent="0.3">
      <c r="A1378">
        <v>38</v>
      </c>
      <c r="B1378">
        <v>1206</v>
      </c>
      <c r="C1378" t="s">
        <v>17</v>
      </c>
      <c r="D1378" t="s">
        <v>18</v>
      </c>
      <c r="E1378">
        <v>71</v>
      </c>
      <c r="F1378" t="s">
        <v>19</v>
      </c>
      <c r="G1378">
        <v>4771</v>
      </c>
      <c r="H1378">
        <v>14293</v>
      </c>
      <c r="I1378">
        <v>19</v>
      </c>
      <c r="J1378">
        <v>10</v>
      </c>
      <c r="K1378">
        <v>5</v>
      </c>
      <c r="L1378">
        <v>2</v>
      </c>
      <c r="M1378">
        <v>0</v>
      </c>
      <c r="N1378">
        <v>3</v>
      </c>
      <c r="P1378">
        <f>G1378*I1378/100</f>
        <v>906.49</v>
      </c>
      <c r="Q1378">
        <f t="shared" si="21"/>
        <v>57252</v>
      </c>
      <c r="R1378">
        <f>K1378/J1378</f>
        <v>0.5</v>
      </c>
      <c r="S1378">
        <v>2020</v>
      </c>
    </row>
    <row r="1379" spans="1:19" x14ac:dyDescent="0.3">
      <c r="A1379">
        <v>49</v>
      </c>
      <c r="B1379">
        <v>1064</v>
      </c>
      <c r="C1379" t="s">
        <v>17</v>
      </c>
      <c r="D1379" t="s">
        <v>18</v>
      </c>
      <c r="E1379">
        <v>42</v>
      </c>
      <c r="F1379" t="s">
        <v>25</v>
      </c>
      <c r="G1379">
        <v>19161</v>
      </c>
      <c r="H1379">
        <v>13738</v>
      </c>
      <c r="I1379">
        <v>15</v>
      </c>
      <c r="J1379">
        <v>28</v>
      </c>
      <c r="K1379">
        <v>5</v>
      </c>
      <c r="L1379">
        <v>4</v>
      </c>
      <c r="M1379">
        <v>4</v>
      </c>
      <c r="N1379">
        <v>3</v>
      </c>
      <c r="P1379">
        <f>G1379*I1379/100</f>
        <v>2874.15</v>
      </c>
      <c r="Q1379">
        <f t="shared" si="21"/>
        <v>229932</v>
      </c>
      <c r="R1379">
        <f>K1379/J1379</f>
        <v>0.17857142857142858</v>
      </c>
      <c r="S1379">
        <v>2020</v>
      </c>
    </row>
    <row r="1380" spans="1:19" x14ac:dyDescent="0.3">
      <c r="A1380">
        <v>42</v>
      </c>
      <c r="B1380">
        <v>419</v>
      </c>
      <c r="C1380" t="s">
        <v>14</v>
      </c>
      <c r="D1380" t="s">
        <v>18</v>
      </c>
      <c r="E1380">
        <v>77</v>
      </c>
      <c r="F1380" t="s">
        <v>16</v>
      </c>
      <c r="G1380">
        <v>5087</v>
      </c>
      <c r="H1380">
        <v>2900</v>
      </c>
      <c r="I1380">
        <v>12</v>
      </c>
      <c r="J1380">
        <v>14</v>
      </c>
      <c r="K1380">
        <v>0</v>
      </c>
      <c r="L1380">
        <v>0</v>
      </c>
      <c r="M1380">
        <v>0</v>
      </c>
      <c r="N1380">
        <v>0</v>
      </c>
      <c r="P1380">
        <f>G1380*I1380/100</f>
        <v>610.44000000000005</v>
      </c>
      <c r="Q1380">
        <f t="shared" si="21"/>
        <v>61044</v>
      </c>
      <c r="R1380">
        <f>K1380/J1380</f>
        <v>0</v>
      </c>
      <c r="S1380">
        <v>2020</v>
      </c>
    </row>
    <row r="1381" spans="1:19" x14ac:dyDescent="0.3">
      <c r="A1381">
        <v>27</v>
      </c>
      <c r="B1381">
        <v>1337</v>
      </c>
      <c r="C1381" t="s">
        <v>26</v>
      </c>
      <c r="D1381" t="s">
        <v>15</v>
      </c>
      <c r="E1381">
        <v>58</v>
      </c>
      <c r="F1381" t="s">
        <v>26</v>
      </c>
      <c r="G1381">
        <v>2863</v>
      </c>
      <c r="H1381">
        <v>19555</v>
      </c>
      <c r="I1381">
        <v>12</v>
      </c>
      <c r="J1381">
        <v>1</v>
      </c>
      <c r="K1381">
        <v>1</v>
      </c>
      <c r="L1381">
        <v>0</v>
      </c>
      <c r="M1381">
        <v>0</v>
      </c>
      <c r="N1381">
        <v>0</v>
      </c>
      <c r="P1381">
        <f>G1381*I1381/100</f>
        <v>343.56</v>
      </c>
      <c r="Q1381">
        <f t="shared" si="21"/>
        <v>34356</v>
      </c>
      <c r="R1381">
        <f>K1381/J1381</f>
        <v>1</v>
      </c>
      <c r="S1381">
        <v>2020</v>
      </c>
    </row>
    <row r="1382" spans="1:19" x14ac:dyDescent="0.3">
      <c r="A1382">
        <v>35</v>
      </c>
      <c r="B1382">
        <v>682</v>
      </c>
      <c r="C1382" t="s">
        <v>14</v>
      </c>
      <c r="D1382" t="s">
        <v>18</v>
      </c>
      <c r="E1382">
        <v>71</v>
      </c>
      <c r="F1382" t="s">
        <v>16</v>
      </c>
      <c r="G1382">
        <v>5561</v>
      </c>
      <c r="H1382">
        <v>15975</v>
      </c>
      <c r="I1382">
        <v>16</v>
      </c>
      <c r="J1382">
        <v>6</v>
      </c>
      <c r="K1382">
        <v>5</v>
      </c>
      <c r="L1382">
        <v>3</v>
      </c>
      <c r="M1382">
        <v>0</v>
      </c>
      <c r="N1382">
        <v>4</v>
      </c>
      <c r="P1382">
        <f>G1382*I1382/100</f>
        <v>889.76</v>
      </c>
      <c r="Q1382">
        <f t="shared" si="21"/>
        <v>66732</v>
      </c>
      <c r="R1382">
        <f>K1382/J1382</f>
        <v>0.83333333333333337</v>
      </c>
      <c r="S1382">
        <v>2020</v>
      </c>
    </row>
    <row r="1383" spans="1:19" x14ac:dyDescent="0.3">
      <c r="A1383">
        <v>28</v>
      </c>
      <c r="B1383">
        <v>1103</v>
      </c>
      <c r="C1383" t="s">
        <v>17</v>
      </c>
      <c r="D1383" t="s">
        <v>18</v>
      </c>
      <c r="E1383">
        <v>49</v>
      </c>
      <c r="F1383" t="s">
        <v>19</v>
      </c>
      <c r="G1383">
        <v>2144</v>
      </c>
      <c r="H1383">
        <v>2122</v>
      </c>
      <c r="I1383">
        <v>14</v>
      </c>
      <c r="J1383">
        <v>5</v>
      </c>
      <c r="K1383">
        <v>5</v>
      </c>
      <c r="L1383">
        <v>3</v>
      </c>
      <c r="M1383">
        <v>1</v>
      </c>
      <c r="N1383">
        <v>4</v>
      </c>
      <c r="P1383">
        <f>G1383*I1383/100</f>
        <v>300.16000000000003</v>
      </c>
      <c r="Q1383">
        <f t="shared" si="21"/>
        <v>25728</v>
      </c>
      <c r="R1383">
        <f>K1383/J1383</f>
        <v>1</v>
      </c>
      <c r="S1383">
        <v>2020</v>
      </c>
    </row>
    <row r="1384" spans="1:19" x14ac:dyDescent="0.3">
      <c r="A1384">
        <v>31</v>
      </c>
      <c r="B1384">
        <v>976</v>
      </c>
      <c r="C1384" t="s">
        <v>17</v>
      </c>
      <c r="D1384" t="s">
        <v>18</v>
      </c>
      <c r="E1384">
        <v>48</v>
      </c>
      <c r="F1384" t="s">
        <v>19</v>
      </c>
      <c r="G1384">
        <v>3065</v>
      </c>
      <c r="H1384">
        <v>3995</v>
      </c>
      <c r="I1384">
        <v>13</v>
      </c>
      <c r="J1384">
        <v>4</v>
      </c>
      <c r="K1384">
        <v>4</v>
      </c>
      <c r="L1384">
        <v>2</v>
      </c>
      <c r="M1384">
        <v>2</v>
      </c>
      <c r="N1384">
        <v>3</v>
      </c>
      <c r="P1384">
        <f>G1384*I1384/100</f>
        <v>398.45</v>
      </c>
      <c r="Q1384">
        <f t="shared" si="21"/>
        <v>36780</v>
      </c>
      <c r="R1384">
        <f>K1384/J1384</f>
        <v>1</v>
      </c>
      <c r="S1384">
        <v>2020</v>
      </c>
    </row>
    <row r="1385" spans="1:19" x14ac:dyDescent="0.3">
      <c r="A1385">
        <v>36</v>
      </c>
      <c r="B1385">
        <v>1351</v>
      </c>
      <c r="C1385" t="s">
        <v>17</v>
      </c>
      <c r="D1385" t="s">
        <v>18</v>
      </c>
      <c r="E1385">
        <v>66</v>
      </c>
      <c r="F1385" t="s">
        <v>20</v>
      </c>
      <c r="G1385">
        <v>2810</v>
      </c>
      <c r="H1385">
        <v>9238</v>
      </c>
      <c r="I1385">
        <v>22</v>
      </c>
      <c r="J1385">
        <v>5</v>
      </c>
      <c r="K1385">
        <v>5</v>
      </c>
      <c r="L1385">
        <v>4</v>
      </c>
      <c r="M1385">
        <v>0</v>
      </c>
      <c r="N1385">
        <v>2</v>
      </c>
      <c r="P1385">
        <f>G1385*I1385/100</f>
        <v>618.20000000000005</v>
      </c>
      <c r="Q1385">
        <f t="shared" si="21"/>
        <v>33720</v>
      </c>
      <c r="R1385">
        <f>K1385/J1385</f>
        <v>1</v>
      </c>
      <c r="S1385">
        <v>2020</v>
      </c>
    </row>
    <row r="1386" spans="1:19" x14ac:dyDescent="0.3">
      <c r="A1386">
        <v>34</v>
      </c>
      <c r="B1386">
        <v>937</v>
      </c>
      <c r="C1386" t="s">
        <v>14</v>
      </c>
      <c r="D1386" t="s">
        <v>18</v>
      </c>
      <c r="E1386">
        <v>32</v>
      </c>
      <c r="F1386" t="s">
        <v>16</v>
      </c>
      <c r="G1386">
        <v>9888</v>
      </c>
      <c r="H1386">
        <v>6770</v>
      </c>
      <c r="I1386">
        <v>21</v>
      </c>
      <c r="J1386">
        <v>14</v>
      </c>
      <c r="K1386">
        <v>14</v>
      </c>
      <c r="L1386">
        <v>8</v>
      </c>
      <c r="M1386">
        <v>2</v>
      </c>
      <c r="N1386">
        <v>1</v>
      </c>
      <c r="P1386">
        <f>G1386*I1386/100</f>
        <v>2076.48</v>
      </c>
      <c r="Q1386">
        <f t="shared" si="21"/>
        <v>118656</v>
      </c>
      <c r="R1386">
        <f>K1386/J1386</f>
        <v>1</v>
      </c>
      <c r="S1386">
        <v>2020</v>
      </c>
    </row>
    <row r="1387" spans="1:19" x14ac:dyDescent="0.3">
      <c r="A1387">
        <v>34</v>
      </c>
      <c r="B1387">
        <v>1239</v>
      </c>
      <c r="C1387" t="s">
        <v>14</v>
      </c>
      <c r="D1387" t="s">
        <v>18</v>
      </c>
      <c r="E1387">
        <v>39</v>
      </c>
      <c r="F1387" t="s">
        <v>16</v>
      </c>
      <c r="G1387">
        <v>8628</v>
      </c>
      <c r="H1387">
        <v>22914</v>
      </c>
      <c r="I1387">
        <v>18</v>
      </c>
      <c r="J1387">
        <v>9</v>
      </c>
      <c r="K1387">
        <v>8</v>
      </c>
      <c r="L1387">
        <v>7</v>
      </c>
      <c r="M1387">
        <v>1</v>
      </c>
      <c r="N1387">
        <v>1</v>
      </c>
      <c r="P1387">
        <f>G1387*I1387/100</f>
        <v>1553.04</v>
      </c>
      <c r="Q1387">
        <f t="shared" si="21"/>
        <v>103536</v>
      </c>
      <c r="R1387">
        <f>K1387/J1387</f>
        <v>0.88888888888888884</v>
      </c>
      <c r="S1387">
        <v>2020</v>
      </c>
    </row>
    <row r="1388" spans="1:19" x14ac:dyDescent="0.3">
      <c r="A1388">
        <v>26</v>
      </c>
      <c r="B1388">
        <v>157</v>
      </c>
      <c r="C1388" t="s">
        <v>17</v>
      </c>
      <c r="D1388" t="s">
        <v>18</v>
      </c>
      <c r="E1388">
        <v>95</v>
      </c>
      <c r="F1388" t="s">
        <v>20</v>
      </c>
      <c r="G1388">
        <v>2867</v>
      </c>
      <c r="H1388">
        <v>20006</v>
      </c>
      <c r="I1388">
        <v>13</v>
      </c>
      <c r="J1388">
        <v>8</v>
      </c>
      <c r="K1388">
        <v>7</v>
      </c>
      <c r="L1388">
        <v>7</v>
      </c>
      <c r="M1388">
        <v>7</v>
      </c>
      <c r="N1388">
        <v>6</v>
      </c>
      <c r="P1388">
        <f>G1388*I1388/100</f>
        <v>372.71</v>
      </c>
      <c r="Q1388">
        <f t="shared" si="21"/>
        <v>34404</v>
      </c>
      <c r="R1388">
        <f>K1388/J1388</f>
        <v>0.875</v>
      </c>
      <c r="S1388">
        <v>2020</v>
      </c>
    </row>
    <row r="1389" spans="1:19" x14ac:dyDescent="0.3">
      <c r="A1389">
        <v>29</v>
      </c>
      <c r="B1389">
        <v>136</v>
      </c>
      <c r="C1389" t="s">
        <v>17</v>
      </c>
      <c r="D1389" t="s">
        <v>18</v>
      </c>
      <c r="E1389">
        <v>89</v>
      </c>
      <c r="F1389" t="s">
        <v>22</v>
      </c>
      <c r="G1389">
        <v>5373</v>
      </c>
      <c r="H1389">
        <v>6225</v>
      </c>
      <c r="I1389">
        <v>12</v>
      </c>
      <c r="J1389">
        <v>6</v>
      </c>
      <c r="K1389">
        <v>5</v>
      </c>
      <c r="L1389">
        <v>3</v>
      </c>
      <c r="M1389">
        <v>0</v>
      </c>
      <c r="N1389">
        <v>2</v>
      </c>
      <c r="P1389">
        <f>G1389*I1389/100</f>
        <v>644.76</v>
      </c>
      <c r="Q1389">
        <f t="shared" si="21"/>
        <v>64476</v>
      </c>
      <c r="R1389">
        <f>K1389/J1389</f>
        <v>0.83333333333333337</v>
      </c>
      <c r="S1389">
        <v>2020</v>
      </c>
    </row>
    <row r="1390" spans="1:19" x14ac:dyDescent="0.3">
      <c r="A1390">
        <v>32</v>
      </c>
      <c r="B1390">
        <v>1146</v>
      </c>
      <c r="C1390" t="s">
        <v>17</v>
      </c>
      <c r="D1390" t="s">
        <v>15</v>
      </c>
      <c r="E1390">
        <v>34</v>
      </c>
      <c r="F1390" t="s">
        <v>22</v>
      </c>
      <c r="G1390">
        <v>6667</v>
      </c>
      <c r="H1390">
        <v>16542</v>
      </c>
      <c r="I1390">
        <v>18</v>
      </c>
      <c r="J1390">
        <v>9</v>
      </c>
      <c r="K1390">
        <v>5</v>
      </c>
      <c r="L1390">
        <v>1</v>
      </c>
      <c r="M1390">
        <v>1</v>
      </c>
      <c r="N1390">
        <v>2</v>
      </c>
      <c r="P1390">
        <f>G1390*I1390/100</f>
        <v>1200.06</v>
      </c>
      <c r="Q1390">
        <f t="shared" si="21"/>
        <v>80004</v>
      </c>
      <c r="R1390">
        <f>K1390/J1390</f>
        <v>0.55555555555555558</v>
      </c>
      <c r="S1390">
        <v>2020</v>
      </c>
    </row>
    <row r="1391" spans="1:19" x14ac:dyDescent="0.3">
      <c r="A1391">
        <v>31</v>
      </c>
      <c r="B1391">
        <v>1125</v>
      </c>
      <c r="C1391" t="s">
        <v>17</v>
      </c>
      <c r="D1391" t="s">
        <v>18</v>
      </c>
      <c r="E1391">
        <v>48</v>
      </c>
      <c r="F1391" t="s">
        <v>19</v>
      </c>
      <c r="G1391">
        <v>5003</v>
      </c>
      <c r="H1391">
        <v>5771</v>
      </c>
      <c r="I1391">
        <v>21</v>
      </c>
      <c r="J1391">
        <v>10</v>
      </c>
      <c r="K1391">
        <v>10</v>
      </c>
      <c r="L1391">
        <v>8</v>
      </c>
      <c r="M1391">
        <v>8</v>
      </c>
      <c r="N1391">
        <v>7</v>
      </c>
      <c r="P1391">
        <f>G1391*I1391/100</f>
        <v>1050.6300000000001</v>
      </c>
      <c r="Q1391">
        <f t="shared" si="21"/>
        <v>60036</v>
      </c>
      <c r="R1391">
        <f>K1391/J1391</f>
        <v>1</v>
      </c>
      <c r="S1391">
        <v>2020</v>
      </c>
    </row>
    <row r="1392" spans="1:19" x14ac:dyDescent="0.3">
      <c r="A1392">
        <v>28</v>
      </c>
      <c r="B1392">
        <v>1404</v>
      </c>
      <c r="C1392" t="s">
        <v>17</v>
      </c>
      <c r="D1392" t="s">
        <v>18</v>
      </c>
      <c r="E1392">
        <v>32</v>
      </c>
      <c r="F1392" t="s">
        <v>20</v>
      </c>
      <c r="G1392">
        <v>2367</v>
      </c>
      <c r="H1392">
        <v>18779</v>
      </c>
      <c r="I1392">
        <v>12</v>
      </c>
      <c r="J1392">
        <v>6</v>
      </c>
      <c r="K1392">
        <v>4</v>
      </c>
      <c r="L1392">
        <v>1</v>
      </c>
      <c r="M1392">
        <v>0</v>
      </c>
      <c r="N1392">
        <v>3</v>
      </c>
      <c r="P1392">
        <f>G1392*I1392/100</f>
        <v>284.04000000000002</v>
      </c>
      <c r="Q1392">
        <f t="shared" si="21"/>
        <v>28404</v>
      </c>
      <c r="R1392">
        <f>K1392/J1392</f>
        <v>0.66666666666666663</v>
      </c>
      <c r="S1392">
        <v>2020</v>
      </c>
    </row>
    <row r="1393" spans="1:19" x14ac:dyDescent="0.3">
      <c r="A1393">
        <v>38</v>
      </c>
      <c r="B1393">
        <v>1404</v>
      </c>
      <c r="C1393" t="s">
        <v>14</v>
      </c>
      <c r="D1393" t="s">
        <v>18</v>
      </c>
      <c r="E1393">
        <v>59</v>
      </c>
      <c r="F1393" t="s">
        <v>24</v>
      </c>
      <c r="G1393">
        <v>2858</v>
      </c>
      <c r="H1393">
        <v>11473</v>
      </c>
      <c r="I1393">
        <v>14</v>
      </c>
      <c r="J1393">
        <v>20</v>
      </c>
      <c r="K1393">
        <v>1</v>
      </c>
      <c r="L1393">
        <v>0</v>
      </c>
      <c r="M1393">
        <v>0</v>
      </c>
      <c r="N1393">
        <v>0</v>
      </c>
      <c r="P1393">
        <f>G1393*I1393/100</f>
        <v>400.12</v>
      </c>
      <c r="Q1393">
        <f t="shared" si="21"/>
        <v>34296</v>
      </c>
      <c r="R1393">
        <f>K1393/J1393</f>
        <v>0.05</v>
      </c>
      <c r="S1393">
        <v>2020</v>
      </c>
    </row>
    <row r="1394" spans="1:19" x14ac:dyDescent="0.3">
      <c r="A1394">
        <v>35</v>
      </c>
      <c r="B1394">
        <v>1224</v>
      </c>
      <c r="C1394" t="s">
        <v>14</v>
      </c>
      <c r="D1394" t="s">
        <v>15</v>
      </c>
      <c r="E1394">
        <v>55</v>
      </c>
      <c r="F1394" t="s">
        <v>16</v>
      </c>
      <c r="G1394">
        <v>5204</v>
      </c>
      <c r="H1394">
        <v>13586</v>
      </c>
      <c r="I1394">
        <v>11</v>
      </c>
      <c r="J1394">
        <v>10</v>
      </c>
      <c r="K1394">
        <v>10</v>
      </c>
      <c r="L1394">
        <v>8</v>
      </c>
      <c r="M1394">
        <v>0</v>
      </c>
      <c r="N1394">
        <v>9</v>
      </c>
      <c r="P1394">
        <f>G1394*I1394/100</f>
        <v>572.44000000000005</v>
      </c>
      <c r="Q1394">
        <f t="shared" si="21"/>
        <v>62448</v>
      </c>
      <c r="R1394">
        <f>K1394/J1394</f>
        <v>1</v>
      </c>
      <c r="S1394">
        <v>2020</v>
      </c>
    </row>
    <row r="1395" spans="1:19" x14ac:dyDescent="0.3">
      <c r="A1395">
        <v>27</v>
      </c>
      <c r="B1395">
        <v>954</v>
      </c>
      <c r="C1395" t="s">
        <v>14</v>
      </c>
      <c r="D1395" t="s">
        <v>18</v>
      </c>
      <c r="E1395">
        <v>44</v>
      </c>
      <c r="F1395" t="s">
        <v>16</v>
      </c>
      <c r="G1395">
        <v>4105</v>
      </c>
      <c r="H1395">
        <v>5099</v>
      </c>
      <c r="I1395">
        <v>14</v>
      </c>
      <c r="J1395">
        <v>7</v>
      </c>
      <c r="K1395">
        <v>7</v>
      </c>
      <c r="L1395">
        <v>7</v>
      </c>
      <c r="M1395">
        <v>0</v>
      </c>
      <c r="N1395">
        <v>7</v>
      </c>
      <c r="P1395">
        <f>G1395*I1395/100</f>
        <v>574.70000000000005</v>
      </c>
      <c r="Q1395">
        <f t="shared" si="21"/>
        <v>49260</v>
      </c>
      <c r="R1395">
        <f>K1395/J1395</f>
        <v>1</v>
      </c>
      <c r="S1395">
        <v>2020</v>
      </c>
    </row>
    <row r="1396" spans="1:19" x14ac:dyDescent="0.3">
      <c r="A1396">
        <v>32</v>
      </c>
      <c r="B1396">
        <v>1373</v>
      </c>
      <c r="C1396" t="s">
        <v>17</v>
      </c>
      <c r="D1396" t="s">
        <v>18</v>
      </c>
      <c r="E1396">
        <v>56</v>
      </c>
      <c r="F1396" t="s">
        <v>21</v>
      </c>
      <c r="G1396">
        <v>9679</v>
      </c>
      <c r="H1396">
        <v>10138</v>
      </c>
      <c r="I1396">
        <v>24</v>
      </c>
      <c r="J1396">
        <v>8</v>
      </c>
      <c r="K1396">
        <v>1</v>
      </c>
      <c r="L1396">
        <v>0</v>
      </c>
      <c r="M1396">
        <v>0</v>
      </c>
      <c r="N1396">
        <v>0</v>
      </c>
      <c r="P1396">
        <f>G1396*I1396/100</f>
        <v>2322.96</v>
      </c>
      <c r="Q1396">
        <f t="shared" si="21"/>
        <v>116148</v>
      </c>
      <c r="R1396">
        <f>K1396/J1396</f>
        <v>0.125</v>
      </c>
      <c r="S1396">
        <v>2020</v>
      </c>
    </row>
    <row r="1397" spans="1:19" x14ac:dyDescent="0.3">
      <c r="A1397">
        <v>31</v>
      </c>
      <c r="B1397">
        <v>754</v>
      </c>
      <c r="C1397" t="s">
        <v>14</v>
      </c>
      <c r="D1397" t="s">
        <v>18</v>
      </c>
      <c r="E1397">
        <v>63</v>
      </c>
      <c r="F1397" t="s">
        <v>16</v>
      </c>
      <c r="G1397">
        <v>5617</v>
      </c>
      <c r="H1397">
        <v>21075</v>
      </c>
      <c r="I1397">
        <v>11</v>
      </c>
      <c r="J1397">
        <v>10</v>
      </c>
      <c r="K1397">
        <v>10</v>
      </c>
      <c r="L1397">
        <v>7</v>
      </c>
      <c r="M1397">
        <v>0</v>
      </c>
      <c r="N1397">
        <v>8</v>
      </c>
      <c r="P1397">
        <f>G1397*I1397/100</f>
        <v>617.87</v>
      </c>
      <c r="Q1397">
        <f t="shared" si="21"/>
        <v>67404</v>
      </c>
      <c r="R1397">
        <f>K1397/J1397</f>
        <v>1</v>
      </c>
      <c r="S1397">
        <v>2020</v>
      </c>
    </row>
    <row r="1398" spans="1:19" x14ac:dyDescent="0.3">
      <c r="A1398">
        <v>53</v>
      </c>
      <c r="B1398">
        <v>1168</v>
      </c>
      <c r="C1398" t="s">
        <v>14</v>
      </c>
      <c r="D1398" t="s">
        <v>18</v>
      </c>
      <c r="E1398">
        <v>66</v>
      </c>
      <c r="F1398" t="s">
        <v>16</v>
      </c>
      <c r="G1398">
        <v>10448</v>
      </c>
      <c r="H1398">
        <v>5843</v>
      </c>
      <c r="I1398">
        <v>13</v>
      </c>
      <c r="J1398">
        <v>15</v>
      </c>
      <c r="K1398">
        <v>2</v>
      </c>
      <c r="L1398">
        <v>2</v>
      </c>
      <c r="M1398">
        <v>2</v>
      </c>
      <c r="N1398">
        <v>2</v>
      </c>
      <c r="P1398">
        <f>G1398*I1398/100</f>
        <v>1358.24</v>
      </c>
      <c r="Q1398">
        <f t="shared" si="21"/>
        <v>125376</v>
      </c>
      <c r="R1398">
        <f>K1398/J1398</f>
        <v>0.13333333333333333</v>
      </c>
      <c r="S1398">
        <v>2020</v>
      </c>
    </row>
    <row r="1399" spans="1:19" x14ac:dyDescent="0.3">
      <c r="A1399">
        <v>54</v>
      </c>
      <c r="B1399">
        <v>155</v>
      </c>
      <c r="C1399" t="s">
        <v>17</v>
      </c>
      <c r="D1399" t="s">
        <v>15</v>
      </c>
      <c r="E1399">
        <v>67</v>
      </c>
      <c r="F1399" t="s">
        <v>19</v>
      </c>
      <c r="G1399">
        <v>2897</v>
      </c>
      <c r="H1399">
        <v>22474</v>
      </c>
      <c r="I1399">
        <v>11</v>
      </c>
      <c r="J1399">
        <v>9</v>
      </c>
      <c r="K1399">
        <v>4</v>
      </c>
      <c r="L1399">
        <v>3</v>
      </c>
      <c r="M1399">
        <v>2</v>
      </c>
      <c r="N1399">
        <v>3</v>
      </c>
      <c r="P1399">
        <f>G1399*I1399/100</f>
        <v>318.67</v>
      </c>
      <c r="Q1399">
        <f t="shared" si="21"/>
        <v>34764</v>
      </c>
      <c r="R1399">
        <f>K1399/J1399</f>
        <v>0.44444444444444442</v>
      </c>
      <c r="S1399">
        <v>2020</v>
      </c>
    </row>
    <row r="1400" spans="1:19" x14ac:dyDescent="0.3">
      <c r="A1400">
        <v>33</v>
      </c>
      <c r="B1400">
        <v>1303</v>
      </c>
      <c r="C1400" t="s">
        <v>17</v>
      </c>
      <c r="D1400" t="s">
        <v>18</v>
      </c>
      <c r="E1400">
        <v>36</v>
      </c>
      <c r="F1400" t="s">
        <v>22</v>
      </c>
      <c r="G1400">
        <v>5968</v>
      </c>
      <c r="H1400">
        <v>18079</v>
      </c>
      <c r="I1400">
        <v>20</v>
      </c>
      <c r="J1400">
        <v>9</v>
      </c>
      <c r="K1400">
        <v>9</v>
      </c>
      <c r="L1400">
        <v>7</v>
      </c>
      <c r="M1400">
        <v>2</v>
      </c>
      <c r="N1400">
        <v>8</v>
      </c>
      <c r="P1400">
        <f>G1400*I1400/100</f>
        <v>1193.5999999999999</v>
      </c>
      <c r="Q1400">
        <f t="shared" si="21"/>
        <v>71616</v>
      </c>
      <c r="R1400">
        <f>K1400/J1400</f>
        <v>1</v>
      </c>
      <c r="S1400">
        <v>2020</v>
      </c>
    </row>
    <row r="1401" spans="1:19" x14ac:dyDescent="0.3">
      <c r="A1401">
        <v>43</v>
      </c>
      <c r="B1401">
        <v>574</v>
      </c>
      <c r="C1401" t="s">
        <v>17</v>
      </c>
      <c r="D1401" t="s">
        <v>18</v>
      </c>
      <c r="E1401">
        <v>30</v>
      </c>
      <c r="F1401" t="s">
        <v>22</v>
      </c>
      <c r="G1401">
        <v>7510</v>
      </c>
      <c r="H1401">
        <v>16873</v>
      </c>
      <c r="I1401">
        <v>17</v>
      </c>
      <c r="J1401">
        <v>10</v>
      </c>
      <c r="K1401">
        <v>10</v>
      </c>
      <c r="L1401">
        <v>9</v>
      </c>
      <c r="M1401">
        <v>0</v>
      </c>
      <c r="N1401">
        <v>9</v>
      </c>
      <c r="P1401">
        <f>G1401*I1401/100</f>
        <v>1276.7</v>
      </c>
      <c r="Q1401">
        <f t="shared" si="21"/>
        <v>90120</v>
      </c>
      <c r="R1401">
        <f>K1401/J1401</f>
        <v>1</v>
      </c>
      <c r="S1401">
        <v>2020</v>
      </c>
    </row>
    <row r="1402" spans="1:19" x14ac:dyDescent="0.3">
      <c r="A1402">
        <v>38</v>
      </c>
      <c r="B1402">
        <v>1444</v>
      </c>
      <c r="C1402" t="s">
        <v>26</v>
      </c>
      <c r="D1402" t="s">
        <v>18</v>
      </c>
      <c r="E1402">
        <v>88</v>
      </c>
      <c r="F1402" t="s">
        <v>26</v>
      </c>
      <c r="G1402">
        <v>2991</v>
      </c>
      <c r="H1402">
        <v>5224</v>
      </c>
      <c r="I1402">
        <v>11</v>
      </c>
      <c r="J1402">
        <v>7</v>
      </c>
      <c r="K1402">
        <v>6</v>
      </c>
      <c r="L1402">
        <v>2</v>
      </c>
      <c r="M1402">
        <v>1</v>
      </c>
      <c r="N1402">
        <v>2</v>
      </c>
      <c r="P1402">
        <f>G1402*I1402/100</f>
        <v>329.01</v>
      </c>
      <c r="Q1402">
        <f t="shared" si="21"/>
        <v>35892</v>
      </c>
      <c r="R1402">
        <f>K1402/J1402</f>
        <v>0.8571428571428571</v>
      </c>
      <c r="S1402">
        <v>2020</v>
      </c>
    </row>
    <row r="1403" spans="1:19" x14ac:dyDescent="0.3">
      <c r="A1403">
        <v>55</v>
      </c>
      <c r="B1403">
        <v>189</v>
      </c>
      <c r="C1403" t="s">
        <v>26</v>
      </c>
      <c r="D1403" t="s">
        <v>18</v>
      </c>
      <c r="E1403">
        <v>71</v>
      </c>
      <c r="F1403" t="s">
        <v>23</v>
      </c>
      <c r="G1403">
        <v>19636</v>
      </c>
      <c r="H1403">
        <v>25811</v>
      </c>
      <c r="I1403">
        <v>18</v>
      </c>
      <c r="J1403">
        <v>35</v>
      </c>
      <c r="K1403">
        <v>10</v>
      </c>
      <c r="L1403">
        <v>9</v>
      </c>
      <c r="M1403">
        <v>1</v>
      </c>
      <c r="N1403">
        <v>4</v>
      </c>
      <c r="P1403">
        <f>G1403*I1403/100</f>
        <v>3534.48</v>
      </c>
      <c r="Q1403">
        <f t="shared" si="21"/>
        <v>235632</v>
      </c>
      <c r="R1403">
        <f>K1403/J1403</f>
        <v>0.2857142857142857</v>
      </c>
      <c r="S1403">
        <v>2020</v>
      </c>
    </row>
    <row r="1404" spans="1:19" x14ac:dyDescent="0.3">
      <c r="A1404">
        <v>31</v>
      </c>
      <c r="B1404">
        <v>1276</v>
      </c>
      <c r="C1404" t="s">
        <v>17</v>
      </c>
      <c r="D1404" t="s">
        <v>15</v>
      </c>
      <c r="E1404">
        <v>59</v>
      </c>
      <c r="F1404" t="s">
        <v>20</v>
      </c>
      <c r="G1404">
        <v>1129</v>
      </c>
      <c r="H1404">
        <v>17536</v>
      </c>
      <c r="I1404">
        <v>11</v>
      </c>
      <c r="J1404">
        <v>1</v>
      </c>
      <c r="K1404">
        <v>1</v>
      </c>
      <c r="L1404">
        <v>0</v>
      </c>
      <c r="M1404">
        <v>0</v>
      </c>
      <c r="N1404">
        <v>0</v>
      </c>
      <c r="P1404">
        <f>G1404*I1404/100</f>
        <v>124.19</v>
      </c>
      <c r="Q1404">
        <f t="shared" si="21"/>
        <v>13548</v>
      </c>
      <c r="R1404">
        <f>K1404/J1404</f>
        <v>1</v>
      </c>
      <c r="S1404">
        <v>2020</v>
      </c>
    </row>
    <row r="1405" spans="1:19" x14ac:dyDescent="0.3">
      <c r="A1405">
        <v>39</v>
      </c>
      <c r="B1405">
        <v>119</v>
      </c>
      <c r="C1405" t="s">
        <v>14</v>
      </c>
      <c r="D1405" t="s">
        <v>18</v>
      </c>
      <c r="E1405">
        <v>77</v>
      </c>
      <c r="F1405" t="s">
        <v>16</v>
      </c>
      <c r="G1405">
        <v>13341</v>
      </c>
      <c r="H1405">
        <v>25098</v>
      </c>
      <c r="I1405">
        <v>12</v>
      </c>
      <c r="J1405">
        <v>21</v>
      </c>
      <c r="K1405">
        <v>20</v>
      </c>
      <c r="L1405">
        <v>8</v>
      </c>
      <c r="M1405">
        <v>11</v>
      </c>
      <c r="N1405">
        <v>10</v>
      </c>
      <c r="P1405">
        <f>G1405*I1405/100</f>
        <v>1600.92</v>
      </c>
      <c r="Q1405">
        <f t="shared" si="21"/>
        <v>160092</v>
      </c>
      <c r="R1405">
        <f>K1405/J1405</f>
        <v>0.95238095238095233</v>
      </c>
      <c r="S1405">
        <v>2020</v>
      </c>
    </row>
    <row r="1406" spans="1:19" x14ac:dyDescent="0.3">
      <c r="A1406">
        <v>42</v>
      </c>
      <c r="B1406">
        <v>335</v>
      </c>
      <c r="C1406" t="s">
        <v>17</v>
      </c>
      <c r="D1406" t="s">
        <v>18</v>
      </c>
      <c r="E1406">
        <v>37</v>
      </c>
      <c r="F1406" t="s">
        <v>19</v>
      </c>
      <c r="G1406">
        <v>4332</v>
      </c>
      <c r="H1406">
        <v>14811</v>
      </c>
      <c r="I1406">
        <v>12</v>
      </c>
      <c r="J1406">
        <v>20</v>
      </c>
      <c r="K1406">
        <v>20</v>
      </c>
      <c r="L1406">
        <v>9</v>
      </c>
      <c r="M1406">
        <v>3</v>
      </c>
      <c r="N1406">
        <v>7</v>
      </c>
      <c r="P1406">
        <f>G1406*I1406/100</f>
        <v>519.84</v>
      </c>
      <c r="Q1406">
        <f t="shared" si="21"/>
        <v>51984</v>
      </c>
      <c r="R1406">
        <f>K1406/J1406</f>
        <v>1</v>
      </c>
      <c r="S1406">
        <v>2020</v>
      </c>
    </row>
    <row r="1407" spans="1:19" x14ac:dyDescent="0.3">
      <c r="A1407">
        <v>31</v>
      </c>
      <c r="B1407">
        <v>697</v>
      </c>
      <c r="C1407" t="s">
        <v>17</v>
      </c>
      <c r="D1407" t="s">
        <v>15</v>
      </c>
      <c r="E1407">
        <v>40</v>
      </c>
      <c r="F1407" t="s">
        <v>25</v>
      </c>
      <c r="G1407">
        <v>11031</v>
      </c>
      <c r="H1407">
        <v>26862</v>
      </c>
      <c r="I1407">
        <v>20</v>
      </c>
      <c r="J1407">
        <v>13</v>
      </c>
      <c r="K1407">
        <v>11</v>
      </c>
      <c r="L1407">
        <v>7</v>
      </c>
      <c r="M1407">
        <v>4</v>
      </c>
      <c r="N1407">
        <v>8</v>
      </c>
      <c r="P1407">
        <f>G1407*I1407/100</f>
        <v>2206.1999999999998</v>
      </c>
      <c r="Q1407">
        <f t="shared" si="21"/>
        <v>132372</v>
      </c>
      <c r="R1407">
        <f>K1407/J1407</f>
        <v>0.84615384615384615</v>
      </c>
      <c r="S1407">
        <v>2020</v>
      </c>
    </row>
    <row r="1408" spans="1:19" x14ac:dyDescent="0.3">
      <c r="A1408">
        <v>54</v>
      </c>
      <c r="B1408">
        <v>157</v>
      </c>
      <c r="C1408" t="s">
        <v>17</v>
      </c>
      <c r="D1408" t="s">
        <v>15</v>
      </c>
      <c r="E1408">
        <v>77</v>
      </c>
      <c r="F1408" t="s">
        <v>21</v>
      </c>
      <c r="G1408">
        <v>4440</v>
      </c>
      <c r="H1408">
        <v>25198</v>
      </c>
      <c r="I1408">
        <v>19</v>
      </c>
      <c r="J1408">
        <v>9</v>
      </c>
      <c r="K1408">
        <v>5</v>
      </c>
      <c r="L1408">
        <v>2</v>
      </c>
      <c r="M1408">
        <v>1</v>
      </c>
      <c r="N1408">
        <v>4</v>
      </c>
      <c r="P1408">
        <f>G1408*I1408/100</f>
        <v>843.6</v>
      </c>
      <c r="Q1408">
        <f t="shared" si="21"/>
        <v>53280</v>
      </c>
      <c r="R1408">
        <f>K1408/J1408</f>
        <v>0.55555555555555558</v>
      </c>
      <c r="S1408">
        <v>2020</v>
      </c>
    </row>
    <row r="1409" spans="1:19" x14ac:dyDescent="0.3">
      <c r="A1409">
        <v>24</v>
      </c>
      <c r="B1409">
        <v>771</v>
      </c>
      <c r="C1409" t="s">
        <v>17</v>
      </c>
      <c r="D1409" t="s">
        <v>18</v>
      </c>
      <c r="E1409">
        <v>45</v>
      </c>
      <c r="F1409" t="s">
        <v>22</v>
      </c>
      <c r="G1409">
        <v>4617</v>
      </c>
      <c r="H1409">
        <v>14120</v>
      </c>
      <c r="I1409">
        <v>12</v>
      </c>
      <c r="J1409">
        <v>4</v>
      </c>
      <c r="K1409">
        <v>4</v>
      </c>
      <c r="L1409">
        <v>3</v>
      </c>
      <c r="M1409">
        <v>1</v>
      </c>
      <c r="N1409">
        <v>2</v>
      </c>
      <c r="P1409">
        <f>G1409*I1409/100</f>
        <v>554.04</v>
      </c>
      <c r="Q1409">
        <f t="shared" si="21"/>
        <v>55404</v>
      </c>
      <c r="R1409">
        <f>K1409/J1409</f>
        <v>1</v>
      </c>
      <c r="S1409">
        <v>2020</v>
      </c>
    </row>
    <row r="1410" spans="1:19" x14ac:dyDescent="0.3">
      <c r="A1410">
        <v>23</v>
      </c>
      <c r="B1410">
        <v>571</v>
      </c>
      <c r="C1410" t="s">
        <v>17</v>
      </c>
      <c r="D1410" t="s">
        <v>18</v>
      </c>
      <c r="E1410">
        <v>78</v>
      </c>
      <c r="F1410" t="s">
        <v>20</v>
      </c>
      <c r="G1410">
        <v>2647</v>
      </c>
      <c r="H1410">
        <v>13672</v>
      </c>
      <c r="I1410">
        <v>13</v>
      </c>
      <c r="J1410">
        <v>5</v>
      </c>
      <c r="K1410">
        <v>5</v>
      </c>
      <c r="L1410">
        <v>2</v>
      </c>
      <c r="M1410">
        <v>1</v>
      </c>
      <c r="N1410">
        <v>4</v>
      </c>
      <c r="P1410">
        <f>G1410*I1410/100</f>
        <v>344.11</v>
      </c>
      <c r="Q1410">
        <f t="shared" si="21"/>
        <v>31764</v>
      </c>
      <c r="R1410">
        <f>K1410/J1410</f>
        <v>1</v>
      </c>
      <c r="S1410">
        <v>2020</v>
      </c>
    </row>
    <row r="1411" spans="1:19" x14ac:dyDescent="0.3">
      <c r="A1411">
        <v>40</v>
      </c>
      <c r="B1411">
        <v>692</v>
      </c>
      <c r="C1411" t="s">
        <v>17</v>
      </c>
      <c r="D1411" t="s">
        <v>15</v>
      </c>
      <c r="E1411">
        <v>73</v>
      </c>
      <c r="F1411" t="s">
        <v>20</v>
      </c>
      <c r="G1411">
        <v>6323</v>
      </c>
      <c r="H1411">
        <v>26849</v>
      </c>
      <c r="I1411">
        <v>11</v>
      </c>
      <c r="J1411">
        <v>10</v>
      </c>
      <c r="K1411">
        <v>10</v>
      </c>
      <c r="L1411">
        <v>9</v>
      </c>
      <c r="M1411">
        <v>9</v>
      </c>
      <c r="N1411">
        <v>4</v>
      </c>
      <c r="P1411">
        <f>G1411*I1411/100</f>
        <v>695.53</v>
      </c>
      <c r="Q1411">
        <f t="shared" ref="Q1411:Q1471" si="22">G1411*12</f>
        <v>75876</v>
      </c>
      <c r="R1411">
        <f>K1411/J1411</f>
        <v>1</v>
      </c>
      <c r="S1411">
        <v>2020</v>
      </c>
    </row>
    <row r="1412" spans="1:19" x14ac:dyDescent="0.3">
      <c r="A1412">
        <v>40</v>
      </c>
      <c r="B1412">
        <v>444</v>
      </c>
      <c r="C1412" t="s">
        <v>14</v>
      </c>
      <c r="D1412" t="s">
        <v>15</v>
      </c>
      <c r="E1412">
        <v>92</v>
      </c>
      <c r="F1412" t="s">
        <v>16</v>
      </c>
      <c r="G1412">
        <v>5677</v>
      </c>
      <c r="H1412">
        <v>4258</v>
      </c>
      <c r="I1412">
        <v>14</v>
      </c>
      <c r="J1412">
        <v>15</v>
      </c>
      <c r="K1412">
        <v>11</v>
      </c>
      <c r="L1412">
        <v>8</v>
      </c>
      <c r="M1412">
        <v>5</v>
      </c>
      <c r="N1412">
        <v>10</v>
      </c>
      <c r="P1412">
        <f>G1412*I1412/100</f>
        <v>794.78</v>
      </c>
      <c r="Q1412">
        <f t="shared" si="22"/>
        <v>68124</v>
      </c>
      <c r="R1412">
        <f>K1412/J1412</f>
        <v>0.73333333333333328</v>
      </c>
      <c r="S1412">
        <v>2020</v>
      </c>
    </row>
    <row r="1413" spans="1:19" x14ac:dyDescent="0.3">
      <c r="A1413">
        <v>25</v>
      </c>
      <c r="B1413">
        <v>309</v>
      </c>
      <c r="C1413" t="s">
        <v>26</v>
      </c>
      <c r="D1413" t="s">
        <v>15</v>
      </c>
      <c r="E1413">
        <v>82</v>
      </c>
      <c r="F1413" t="s">
        <v>26</v>
      </c>
      <c r="G1413">
        <v>2187</v>
      </c>
      <c r="H1413">
        <v>19655</v>
      </c>
      <c r="I1413">
        <v>14</v>
      </c>
      <c r="J1413">
        <v>6</v>
      </c>
      <c r="K1413">
        <v>2</v>
      </c>
      <c r="L1413">
        <v>0</v>
      </c>
      <c r="M1413">
        <v>1</v>
      </c>
      <c r="N1413">
        <v>2</v>
      </c>
      <c r="P1413">
        <f>G1413*I1413/100</f>
        <v>306.18</v>
      </c>
      <c r="Q1413">
        <f t="shared" si="22"/>
        <v>26244</v>
      </c>
      <c r="R1413">
        <f>K1413/J1413</f>
        <v>0.33333333333333331</v>
      </c>
      <c r="S1413">
        <v>2020</v>
      </c>
    </row>
    <row r="1414" spans="1:19" x14ac:dyDescent="0.3">
      <c r="A1414">
        <v>30</v>
      </c>
      <c r="B1414">
        <v>911</v>
      </c>
      <c r="C1414" t="s">
        <v>17</v>
      </c>
      <c r="D1414" t="s">
        <v>18</v>
      </c>
      <c r="E1414">
        <v>76</v>
      </c>
      <c r="F1414" t="s">
        <v>20</v>
      </c>
      <c r="G1414">
        <v>3748</v>
      </c>
      <c r="H1414">
        <v>4077</v>
      </c>
      <c r="I1414">
        <v>13</v>
      </c>
      <c r="J1414">
        <v>12</v>
      </c>
      <c r="K1414">
        <v>12</v>
      </c>
      <c r="L1414">
        <v>8</v>
      </c>
      <c r="M1414">
        <v>1</v>
      </c>
      <c r="N1414">
        <v>7</v>
      </c>
      <c r="P1414">
        <f>G1414*I1414/100</f>
        <v>487.24</v>
      </c>
      <c r="Q1414">
        <f t="shared" si="22"/>
        <v>44976</v>
      </c>
      <c r="R1414">
        <f>K1414/J1414</f>
        <v>1</v>
      </c>
      <c r="S1414">
        <v>2020</v>
      </c>
    </row>
    <row r="1415" spans="1:19" x14ac:dyDescent="0.3">
      <c r="A1415">
        <v>25</v>
      </c>
      <c r="B1415">
        <v>977</v>
      </c>
      <c r="C1415" t="s">
        <v>17</v>
      </c>
      <c r="D1415" t="s">
        <v>18</v>
      </c>
      <c r="E1415">
        <v>57</v>
      </c>
      <c r="F1415" t="s">
        <v>20</v>
      </c>
      <c r="G1415">
        <v>3977</v>
      </c>
      <c r="H1415">
        <v>7298</v>
      </c>
      <c r="I1415">
        <v>19</v>
      </c>
      <c r="J1415">
        <v>7</v>
      </c>
      <c r="K1415">
        <v>2</v>
      </c>
      <c r="L1415">
        <v>2</v>
      </c>
      <c r="M1415">
        <v>0</v>
      </c>
      <c r="N1415">
        <v>2</v>
      </c>
      <c r="P1415">
        <f>G1415*I1415/100</f>
        <v>755.63</v>
      </c>
      <c r="Q1415">
        <f t="shared" si="22"/>
        <v>47724</v>
      </c>
      <c r="R1415">
        <f>K1415/J1415</f>
        <v>0.2857142857142857</v>
      </c>
      <c r="S1415">
        <v>2020</v>
      </c>
    </row>
    <row r="1416" spans="1:19" x14ac:dyDescent="0.3">
      <c r="A1416">
        <v>47</v>
      </c>
      <c r="B1416">
        <v>1180</v>
      </c>
      <c r="C1416" t="s">
        <v>17</v>
      </c>
      <c r="D1416" t="s">
        <v>18</v>
      </c>
      <c r="E1416">
        <v>84</v>
      </c>
      <c r="F1416" t="s">
        <v>22</v>
      </c>
      <c r="G1416">
        <v>8633</v>
      </c>
      <c r="H1416">
        <v>13084</v>
      </c>
      <c r="I1416">
        <v>23</v>
      </c>
      <c r="J1416">
        <v>25</v>
      </c>
      <c r="K1416">
        <v>17</v>
      </c>
      <c r="L1416">
        <v>14</v>
      </c>
      <c r="M1416">
        <v>12</v>
      </c>
      <c r="N1416">
        <v>11</v>
      </c>
      <c r="P1416">
        <f>G1416*I1416/100</f>
        <v>1985.59</v>
      </c>
      <c r="Q1416">
        <f t="shared" si="22"/>
        <v>103596</v>
      </c>
      <c r="R1416">
        <f>K1416/J1416</f>
        <v>0.68</v>
      </c>
      <c r="S1416">
        <v>2020</v>
      </c>
    </row>
    <row r="1417" spans="1:19" x14ac:dyDescent="0.3">
      <c r="A1417">
        <v>33</v>
      </c>
      <c r="B1417">
        <v>1313</v>
      </c>
      <c r="C1417" t="s">
        <v>17</v>
      </c>
      <c r="D1417" t="s">
        <v>18</v>
      </c>
      <c r="E1417">
        <v>59</v>
      </c>
      <c r="F1417" t="s">
        <v>20</v>
      </c>
      <c r="G1417">
        <v>2008</v>
      </c>
      <c r="H1417">
        <v>20439</v>
      </c>
      <c r="I1417">
        <v>12</v>
      </c>
      <c r="J1417">
        <v>1</v>
      </c>
      <c r="K1417">
        <v>1</v>
      </c>
      <c r="L1417">
        <v>1</v>
      </c>
      <c r="M1417">
        <v>0</v>
      </c>
      <c r="N1417">
        <v>0</v>
      </c>
      <c r="P1417">
        <f>G1417*I1417/100</f>
        <v>240.96</v>
      </c>
      <c r="Q1417">
        <f t="shared" si="22"/>
        <v>24096</v>
      </c>
      <c r="R1417">
        <f>K1417/J1417</f>
        <v>1</v>
      </c>
      <c r="S1417">
        <v>2020</v>
      </c>
    </row>
    <row r="1418" spans="1:19" x14ac:dyDescent="0.3">
      <c r="A1418">
        <v>38</v>
      </c>
      <c r="B1418">
        <v>1321</v>
      </c>
      <c r="C1418" t="s">
        <v>14</v>
      </c>
      <c r="D1418" t="s">
        <v>18</v>
      </c>
      <c r="E1418">
        <v>86</v>
      </c>
      <c r="F1418" t="s">
        <v>16</v>
      </c>
      <c r="G1418">
        <v>4440</v>
      </c>
      <c r="H1418">
        <v>7636</v>
      </c>
      <c r="I1418">
        <v>15</v>
      </c>
      <c r="J1418">
        <v>16</v>
      </c>
      <c r="K1418">
        <v>15</v>
      </c>
      <c r="L1418">
        <v>13</v>
      </c>
      <c r="M1418">
        <v>5</v>
      </c>
      <c r="N1418">
        <v>8</v>
      </c>
      <c r="P1418">
        <f>G1418*I1418/100</f>
        <v>666</v>
      </c>
      <c r="Q1418">
        <f t="shared" si="22"/>
        <v>53280</v>
      </c>
      <c r="R1418">
        <f>K1418/J1418</f>
        <v>0.9375</v>
      </c>
      <c r="S1418">
        <v>2020</v>
      </c>
    </row>
    <row r="1419" spans="1:19" x14ac:dyDescent="0.3">
      <c r="A1419">
        <v>31</v>
      </c>
      <c r="B1419">
        <v>1154</v>
      </c>
      <c r="C1419" t="s">
        <v>14</v>
      </c>
      <c r="D1419" t="s">
        <v>18</v>
      </c>
      <c r="E1419">
        <v>54</v>
      </c>
      <c r="F1419" t="s">
        <v>24</v>
      </c>
      <c r="G1419">
        <v>3067</v>
      </c>
      <c r="H1419">
        <v>6393</v>
      </c>
      <c r="I1419">
        <v>19</v>
      </c>
      <c r="J1419">
        <v>3</v>
      </c>
      <c r="K1419">
        <v>2</v>
      </c>
      <c r="L1419">
        <v>2</v>
      </c>
      <c r="M1419">
        <v>1</v>
      </c>
      <c r="N1419">
        <v>2</v>
      </c>
      <c r="P1419">
        <f>G1419*I1419/100</f>
        <v>582.73</v>
      </c>
      <c r="Q1419">
        <f t="shared" si="22"/>
        <v>36804</v>
      </c>
      <c r="R1419">
        <f>K1419/J1419</f>
        <v>0.66666666666666663</v>
      </c>
      <c r="S1419">
        <v>2020</v>
      </c>
    </row>
    <row r="1420" spans="1:19" x14ac:dyDescent="0.3">
      <c r="A1420">
        <v>38</v>
      </c>
      <c r="B1420">
        <v>508</v>
      </c>
      <c r="C1420" t="s">
        <v>17</v>
      </c>
      <c r="D1420" t="s">
        <v>18</v>
      </c>
      <c r="E1420">
        <v>72</v>
      </c>
      <c r="F1420" t="s">
        <v>21</v>
      </c>
      <c r="G1420">
        <v>5321</v>
      </c>
      <c r="H1420">
        <v>14284</v>
      </c>
      <c r="I1420">
        <v>11</v>
      </c>
      <c r="J1420">
        <v>10</v>
      </c>
      <c r="K1420">
        <v>8</v>
      </c>
      <c r="L1420">
        <v>3</v>
      </c>
      <c r="M1420">
        <v>7</v>
      </c>
      <c r="N1420">
        <v>7</v>
      </c>
      <c r="P1420">
        <f>G1420*I1420/100</f>
        <v>585.30999999999995</v>
      </c>
      <c r="Q1420">
        <f t="shared" si="22"/>
        <v>63852</v>
      </c>
      <c r="R1420">
        <f>K1420/J1420</f>
        <v>0.8</v>
      </c>
      <c r="S1420">
        <v>2020</v>
      </c>
    </row>
    <row r="1421" spans="1:19" x14ac:dyDescent="0.3">
      <c r="A1421">
        <v>42</v>
      </c>
      <c r="B1421">
        <v>557</v>
      </c>
      <c r="C1421" t="s">
        <v>17</v>
      </c>
      <c r="D1421" t="s">
        <v>18</v>
      </c>
      <c r="E1421">
        <v>35</v>
      </c>
      <c r="F1421" t="s">
        <v>19</v>
      </c>
      <c r="G1421">
        <v>5410</v>
      </c>
      <c r="H1421">
        <v>11189</v>
      </c>
      <c r="I1421">
        <v>17</v>
      </c>
      <c r="J1421">
        <v>9</v>
      </c>
      <c r="K1421">
        <v>4</v>
      </c>
      <c r="L1421">
        <v>3</v>
      </c>
      <c r="M1421">
        <v>1</v>
      </c>
      <c r="N1421">
        <v>2</v>
      </c>
      <c r="P1421">
        <f>G1421*I1421/100</f>
        <v>919.7</v>
      </c>
      <c r="Q1421">
        <f t="shared" si="22"/>
        <v>64920</v>
      </c>
      <c r="R1421">
        <f>K1421/J1421</f>
        <v>0.44444444444444442</v>
      </c>
      <c r="S1421">
        <v>2020</v>
      </c>
    </row>
    <row r="1422" spans="1:19" x14ac:dyDescent="0.3">
      <c r="A1422">
        <v>41</v>
      </c>
      <c r="B1422">
        <v>642</v>
      </c>
      <c r="C1422" t="s">
        <v>17</v>
      </c>
      <c r="D1422" t="s">
        <v>18</v>
      </c>
      <c r="E1422">
        <v>76</v>
      </c>
      <c r="F1422" t="s">
        <v>19</v>
      </c>
      <c r="G1422">
        <v>2782</v>
      </c>
      <c r="H1422">
        <v>21412</v>
      </c>
      <c r="I1422">
        <v>22</v>
      </c>
      <c r="J1422">
        <v>12</v>
      </c>
      <c r="K1422">
        <v>5</v>
      </c>
      <c r="L1422">
        <v>3</v>
      </c>
      <c r="M1422">
        <v>1</v>
      </c>
      <c r="N1422">
        <v>0</v>
      </c>
      <c r="P1422">
        <f>G1422*I1422/100</f>
        <v>612.04</v>
      </c>
      <c r="Q1422">
        <f t="shared" si="22"/>
        <v>33384</v>
      </c>
      <c r="R1422">
        <f>K1422/J1422</f>
        <v>0.41666666666666669</v>
      </c>
      <c r="S1422">
        <v>2020</v>
      </c>
    </row>
    <row r="1423" spans="1:19" x14ac:dyDescent="0.3">
      <c r="A1423">
        <v>47</v>
      </c>
      <c r="B1423">
        <v>1162</v>
      </c>
      <c r="C1423" t="s">
        <v>17</v>
      </c>
      <c r="D1423" t="s">
        <v>15</v>
      </c>
      <c r="E1423">
        <v>98</v>
      </c>
      <c r="F1423" t="s">
        <v>25</v>
      </c>
      <c r="G1423">
        <v>11957</v>
      </c>
      <c r="H1423">
        <v>17231</v>
      </c>
      <c r="I1423">
        <v>18</v>
      </c>
      <c r="J1423">
        <v>14</v>
      </c>
      <c r="K1423">
        <v>13</v>
      </c>
      <c r="L1423">
        <v>8</v>
      </c>
      <c r="M1423">
        <v>5</v>
      </c>
      <c r="N1423">
        <v>12</v>
      </c>
      <c r="P1423">
        <f>G1423*I1423/100</f>
        <v>2152.2600000000002</v>
      </c>
      <c r="Q1423">
        <f t="shared" si="22"/>
        <v>143484</v>
      </c>
      <c r="R1423">
        <f>K1423/J1423</f>
        <v>0.9285714285714286</v>
      </c>
      <c r="S1423">
        <v>2020</v>
      </c>
    </row>
    <row r="1424" spans="1:19" x14ac:dyDescent="0.3">
      <c r="A1424">
        <v>35</v>
      </c>
      <c r="B1424">
        <v>1490</v>
      </c>
      <c r="C1424" t="s">
        <v>17</v>
      </c>
      <c r="D1424" t="s">
        <v>18</v>
      </c>
      <c r="E1424">
        <v>43</v>
      </c>
      <c r="F1424" t="s">
        <v>20</v>
      </c>
      <c r="G1424">
        <v>2660</v>
      </c>
      <c r="H1424">
        <v>20232</v>
      </c>
      <c r="I1424">
        <v>11</v>
      </c>
      <c r="J1424">
        <v>5</v>
      </c>
      <c r="K1424">
        <v>2</v>
      </c>
      <c r="L1424">
        <v>2</v>
      </c>
      <c r="M1424">
        <v>2</v>
      </c>
      <c r="N1424">
        <v>2</v>
      </c>
      <c r="P1424">
        <f>G1424*I1424/100</f>
        <v>292.60000000000002</v>
      </c>
      <c r="Q1424">
        <f t="shared" si="22"/>
        <v>31920</v>
      </c>
      <c r="R1424">
        <f>K1424/J1424</f>
        <v>0.4</v>
      </c>
      <c r="S1424">
        <v>2020</v>
      </c>
    </row>
    <row r="1425" spans="1:19" x14ac:dyDescent="0.3">
      <c r="A1425">
        <v>22</v>
      </c>
      <c r="B1425">
        <v>581</v>
      </c>
      <c r="C1425" t="s">
        <v>17</v>
      </c>
      <c r="D1425" t="s">
        <v>18</v>
      </c>
      <c r="E1425">
        <v>63</v>
      </c>
      <c r="F1425" t="s">
        <v>19</v>
      </c>
      <c r="G1425">
        <v>3375</v>
      </c>
      <c r="H1425">
        <v>17624</v>
      </c>
      <c r="I1425">
        <v>12</v>
      </c>
      <c r="J1425">
        <v>4</v>
      </c>
      <c r="K1425">
        <v>3</v>
      </c>
      <c r="L1425">
        <v>2</v>
      </c>
      <c r="M1425">
        <v>1</v>
      </c>
      <c r="N1425">
        <v>2</v>
      </c>
      <c r="P1425">
        <f>G1425*I1425/100</f>
        <v>405</v>
      </c>
      <c r="Q1425">
        <f t="shared" si="22"/>
        <v>40500</v>
      </c>
      <c r="R1425">
        <f>K1425/J1425</f>
        <v>0.75</v>
      </c>
      <c r="S1425">
        <v>2020</v>
      </c>
    </row>
    <row r="1426" spans="1:19" x14ac:dyDescent="0.3">
      <c r="A1426">
        <v>35</v>
      </c>
      <c r="B1426">
        <v>1395</v>
      </c>
      <c r="C1426" t="s">
        <v>17</v>
      </c>
      <c r="D1426" t="s">
        <v>18</v>
      </c>
      <c r="E1426">
        <v>48</v>
      </c>
      <c r="F1426" t="s">
        <v>19</v>
      </c>
      <c r="G1426">
        <v>5098</v>
      </c>
      <c r="H1426">
        <v>18698</v>
      </c>
      <c r="I1426">
        <v>19</v>
      </c>
      <c r="J1426">
        <v>10</v>
      </c>
      <c r="K1426">
        <v>10</v>
      </c>
      <c r="L1426">
        <v>7</v>
      </c>
      <c r="M1426">
        <v>0</v>
      </c>
      <c r="N1426">
        <v>8</v>
      </c>
      <c r="P1426">
        <f>G1426*I1426/100</f>
        <v>968.62</v>
      </c>
      <c r="Q1426">
        <f t="shared" si="22"/>
        <v>61176</v>
      </c>
      <c r="R1426">
        <f>K1426/J1426</f>
        <v>1</v>
      </c>
      <c r="S1426">
        <v>2020</v>
      </c>
    </row>
    <row r="1427" spans="1:19" x14ac:dyDescent="0.3">
      <c r="A1427">
        <v>33</v>
      </c>
      <c r="B1427">
        <v>501</v>
      </c>
      <c r="C1427" t="s">
        <v>17</v>
      </c>
      <c r="D1427" t="s">
        <v>15</v>
      </c>
      <c r="E1427">
        <v>95</v>
      </c>
      <c r="F1427" t="s">
        <v>22</v>
      </c>
      <c r="G1427">
        <v>4878</v>
      </c>
      <c r="H1427">
        <v>21653</v>
      </c>
      <c r="I1427">
        <v>13</v>
      </c>
      <c r="J1427">
        <v>10</v>
      </c>
      <c r="K1427">
        <v>9</v>
      </c>
      <c r="L1427">
        <v>7</v>
      </c>
      <c r="M1427">
        <v>8</v>
      </c>
      <c r="N1427">
        <v>1</v>
      </c>
      <c r="P1427">
        <f>G1427*I1427/100</f>
        <v>634.14</v>
      </c>
      <c r="Q1427">
        <f t="shared" si="22"/>
        <v>58536</v>
      </c>
      <c r="R1427">
        <f>K1427/J1427</f>
        <v>0.9</v>
      </c>
      <c r="S1427">
        <v>2020</v>
      </c>
    </row>
    <row r="1428" spans="1:19" x14ac:dyDescent="0.3">
      <c r="A1428">
        <v>32</v>
      </c>
      <c r="B1428">
        <v>267</v>
      </c>
      <c r="C1428" t="s">
        <v>17</v>
      </c>
      <c r="D1428" t="s">
        <v>15</v>
      </c>
      <c r="E1428">
        <v>49</v>
      </c>
      <c r="F1428" t="s">
        <v>20</v>
      </c>
      <c r="G1428">
        <v>2837</v>
      </c>
      <c r="H1428">
        <v>15919</v>
      </c>
      <c r="I1428">
        <v>13</v>
      </c>
      <c r="J1428">
        <v>6</v>
      </c>
      <c r="K1428">
        <v>6</v>
      </c>
      <c r="L1428">
        <v>2</v>
      </c>
      <c r="M1428">
        <v>4</v>
      </c>
      <c r="N1428">
        <v>1</v>
      </c>
      <c r="P1428">
        <f>G1428*I1428/100</f>
        <v>368.81</v>
      </c>
      <c r="Q1428">
        <f t="shared" si="22"/>
        <v>34044</v>
      </c>
      <c r="R1428">
        <f>K1428/J1428</f>
        <v>1</v>
      </c>
      <c r="S1428">
        <v>2020</v>
      </c>
    </row>
    <row r="1429" spans="1:19" x14ac:dyDescent="0.3">
      <c r="A1429">
        <v>40</v>
      </c>
      <c r="B1429">
        <v>543</v>
      </c>
      <c r="C1429" t="s">
        <v>17</v>
      </c>
      <c r="D1429" t="s">
        <v>18</v>
      </c>
      <c r="E1429">
        <v>83</v>
      </c>
      <c r="F1429" t="s">
        <v>20</v>
      </c>
      <c r="G1429">
        <v>2406</v>
      </c>
      <c r="H1429">
        <v>4060</v>
      </c>
      <c r="I1429">
        <v>19</v>
      </c>
      <c r="J1429">
        <v>8</v>
      </c>
      <c r="K1429">
        <v>1</v>
      </c>
      <c r="L1429">
        <v>0</v>
      </c>
      <c r="M1429">
        <v>0</v>
      </c>
      <c r="N1429">
        <v>0</v>
      </c>
      <c r="P1429">
        <f>G1429*I1429/100</f>
        <v>457.14</v>
      </c>
      <c r="Q1429">
        <f t="shared" si="22"/>
        <v>28872</v>
      </c>
      <c r="R1429">
        <f>K1429/J1429</f>
        <v>0.125</v>
      </c>
      <c r="S1429">
        <v>2020</v>
      </c>
    </row>
    <row r="1430" spans="1:19" x14ac:dyDescent="0.3">
      <c r="A1430">
        <v>32</v>
      </c>
      <c r="B1430">
        <v>234</v>
      </c>
      <c r="C1430" t="s">
        <v>14</v>
      </c>
      <c r="D1430" t="s">
        <v>18</v>
      </c>
      <c r="E1430">
        <v>68</v>
      </c>
      <c r="F1430" t="s">
        <v>24</v>
      </c>
      <c r="G1430">
        <v>2269</v>
      </c>
      <c r="H1430">
        <v>18024</v>
      </c>
      <c r="I1430">
        <v>14</v>
      </c>
      <c r="J1430">
        <v>3</v>
      </c>
      <c r="K1430">
        <v>2</v>
      </c>
      <c r="L1430">
        <v>2</v>
      </c>
      <c r="M1430">
        <v>2</v>
      </c>
      <c r="N1430">
        <v>2</v>
      </c>
      <c r="P1430">
        <f>G1430*I1430/100</f>
        <v>317.66000000000003</v>
      </c>
      <c r="Q1430">
        <f t="shared" si="22"/>
        <v>27228</v>
      </c>
      <c r="R1430">
        <f>K1430/J1430</f>
        <v>0.66666666666666663</v>
      </c>
      <c r="S1430">
        <v>2020</v>
      </c>
    </row>
    <row r="1431" spans="1:19" x14ac:dyDescent="0.3">
      <c r="A1431">
        <v>39</v>
      </c>
      <c r="B1431">
        <v>116</v>
      </c>
      <c r="C1431" t="s">
        <v>17</v>
      </c>
      <c r="D1431" t="s">
        <v>18</v>
      </c>
      <c r="E1431">
        <v>52</v>
      </c>
      <c r="F1431" t="s">
        <v>19</v>
      </c>
      <c r="G1431">
        <v>4108</v>
      </c>
      <c r="H1431">
        <v>5340</v>
      </c>
      <c r="I1431">
        <v>13</v>
      </c>
      <c r="J1431">
        <v>18</v>
      </c>
      <c r="K1431">
        <v>7</v>
      </c>
      <c r="L1431">
        <v>7</v>
      </c>
      <c r="M1431">
        <v>1</v>
      </c>
      <c r="N1431">
        <v>7</v>
      </c>
      <c r="P1431">
        <f>G1431*I1431/100</f>
        <v>534.04</v>
      </c>
      <c r="Q1431">
        <f t="shared" si="22"/>
        <v>49296</v>
      </c>
      <c r="R1431">
        <f>K1431/J1431</f>
        <v>0.3888888888888889</v>
      </c>
      <c r="S1431">
        <v>2020</v>
      </c>
    </row>
    <row r="1432" spans="1:19" x14ac:dyDescent="0.3">
      <c r="A1432">
        <v>38</v>
      </c>
      <c r="B1432">
        <v>201</v>
      </c>
      <c r="C1432" t="s">
        <v>17</v>
      </c>
      <c r="D1432" t="s">
        <v>15</v>
      </c>
      <c r="E1432">
        <v>99</v>
      </c>
      <c r="F1432" t="s">
        <v>25</v>
      </c>
      <c r="G1432">
        <v>13206</v>
      </c>
      <c r="H1432">
        <v>3376</v>
      </c>
      <c r="I1432">
        <v>12</v>
      </c>
      <c r="J1432">
        <v>20</v>
      </c>
      <c r="K1432">
        <v>18</v>
      </c>
      <c r="L1432">
        <v>16</v>
      </c>
      <c r="M1432">
        <v>1</v>
      </c>
      <c r="N1432">
        <v>11</v>
      </c>
      <c r="P1432">
        <f>G1432*I1432/100</f>
        <v>1584.72</v>
      </c>
      <c r="Q1432">
        <f t="shared" si="22"/>
        <v>158472</v>
      </c>
      <c r="R1432">
        <f>K1432/J1432</f>
        <v>0.9</v>
      </c>
      <c r="S1432">
        <v>2020</v>
      </c>
    </row>
    <row r="1433" spans="1:19" x14ac:dyDescent="0.3">
      <c r="A1433">
        <v>32</v>
      </c>
      <c r="B1433">
        <v>801</v>
      </c>
      <c r="C1433" t="s">
        <v>14</v>
      </c>
      <c r="D1433" t="s">
        <v>15</v>
      </c>
      <c r="E1433">
        <v>48</v>
      </c>
      <c r="F1433" t="s">
        <v>16</v>
      </c>
      <c r="G1433">
        <v>10422</v>
      </c>
      <c r="H1433">
        <v>24032</v>
      </c>
      <c r="I1433">
        <v>19</v>
      </c>
      <c r="J1433">
        <v>14</v>
      </c>
      <c r="K1433">
        <v>14</v>
      </c>
      <c r="L1433">
        <v>10</v>
      </c>
      <c r="M1433">
        <v>5</v>
      </c>
      <c r="N1433">
        <v>7</v>
      </c>
      <c r="P1433">
        <f>G1433*I1433/100</f>
        <v>1980.18</v>
      </c>
      <c r="Q1433">
        <f t="shared" si="22"/>
        <v>125064</v>
      </c>
      <c r="R1433">
        <f>K1433/J1433</f>
        <v>1</v>
      </c>
      <c r="S1433">
        <v>2020</v>
      </c>
    </row>
    <row r="1434" spans="1:19" x14ac:dyDescent="0.3">
      <c r="A1434">
        <v>37</v>
      </c>
      <c r="B1434">
        <v>161</v>
      </c>
      <c r="C1434" t="s">
        <v>17</v>
      </c>
      <c r="D1434" t="s">
        <v>15</v>
      </c>
      <c r="E1434">
        <v>42</v>
      </c>
      <c r="F1434" t="s">
        <v>25</v>
      </c>
      <c r="G1434">
        <v>13744</v>
      </c>
      <c r="H1434">
        <v>15471</v>
      </c>
      <c r="I1434">
        <v>25</v>
      </c>
      <c r="J1434">
        <v>16</v>
      </c>
      <c r="K1434">
        <v>16</v>
      </c>
      <c r="L1434">
        <v>11</v>
      </c>
      <c r="M1434">
        <v>6</v>
      </c>
      <c r="N1434">
        <v>8</v>
      </c>
      <c r="P1434">
        <f>G1434*I1434/100</f>
        <v>3436</v>
      </c>
      <c r="Q1434">
        <f t="shared" si="22"/>
        <v>164928</v>
      </c>
      <c r="R1434">
        <f>K1434/J1434</f>
        <v>1</v>
      </c>
      <c r="S1434">
        <v>2020</v>
      </c>
    </row>
    <row r="1435" spans="1:19" x14ac:dyDescent="0.3">
      <c r="A1435">
        <v>25</v>
      </c>
      <c r="B1435">
        <v>1382</v>
      </c>
      <c r="C1435" t="s">
        <v>14</v>
      </c>
      <c r="D1435" t="s">
        <v>15</v>
      </c>
      <c r="E1435">
        <v>85</v>
      </c>
      <c r="F1435" t="s">
        <v>16</v>
      </c>
      <c r="G1435">
        <v>4907</v>
      </c>
      <c r="H1435">
        <v>13684</v>
      </c>
      <c r="I1435">
        <v>22</v>
      </c>
      <c r="J1435">
        <v>6</v>
      </c>
      <c r="K1435">
        <v>5</v>
      </c>
      <c r="L1435">
        <v>3</v>
      </c>
      <c r="M1435">
        <v>0</v>
      </c>
      <c r="N1435">
        <v>4</v>
      </c>
      <c r="P1435">
        <f>G1435*I1435/100</f>
        <v>1079.54</v>
      </c>
      <c r="Q1435">
        <f t="shared" si="22"/>
        <v>58884</v>
      </c>
      <c r="R1435">
        <f>K1435/J1435</f>
        <v>0.83333333333333337</v>
      </c>
      <c r="S1435">
        <v>2020</v>
      </c>
    </row>
    <row r="1436" spans="1:19" x14ac:dyDescent="0.3">
      <c r="A1436">
        <v>52</v>
      </c>
      <c r="B1436">
        <v>585</v>
      </c>
      <c r="C1436" t="s">
        <v>14</v>
      </c>
      <c r="D1436" t="s">
        <v>18</v>
      </c>
      <c r="E1436">
        <v>40</v>
      </c>
      <c r="F1436" t="s">
        <v>24</v>
      </c>
      <c r="G1436">
        <v>3482</v>
      </c>
      <c r="H1436">
        <v>19788</v>
      </c>
      <c r="I1436">
        <v>15</v>
      </c>
      <c r="J1436">
        <v>16</v>
      </c>
      <c r="K1436">
        <v>9</v>
      </c>
      <c r="L1436">
        <v>8</v>
      </c>
      <c r="M1436">
        <v>0</v>
      </c>
      <c r="N1436">
        <v>0</v>
      </c>
      <c r="P1436">
        <f>G1436*I1436/100</f>
        <v>522.29999999999995</v>
      </c>
      <c r="Q1436">
        <f t="shared" si="22"/>
        <v>41784</v>
      </c>
      <c r="R1436">
        <f>K1436/J1436</f>
        <v>0.5625</v>
      </c>
      <c r="S1436">
        <v>2020</v>
      </c>
    </row>
    <row r="1437" spans="1:19" x14ac:dyDescent="0.3">
      <c r="A1437">
        <v>44</v>
      </c>
      <c r="B1437">
        <v>1037</v>
      </c>
      <c r="C1437" t="s">
        <v>17</v>
      </c>
      <c r="D1437" t="s">
        <v>18</v>
      </c>
      <c r="E1437">
        <v>42</v>
      </c>
      <c r="F1437" t="s">
        <v>19</v>
      </c>
      <c r="G1437">
        <v>2436</v>
      </c>
      <c r="H1437">
        <v>13422</v>
      </c>
      <c r="I1437">
        <v>12</v>
      </c>
      <c r="J1437">
        <v>6</v>
      </c>
      <c r="K1437">
        <v>4</v>
      </c>
      <c r="L1437">
        <v>3</v>
      </c>
      <c r="M1437">
        <v>1</v>
      </c>
      <c r="N1437">
        <v>2</v>
      </c>
      <c r="P1437">
        <f>G1437*I1437/100</f>
        <v>292.32</v>
      </c>
      <c r="Q1437">
        <f t="shared" si="22"/>
        <v>29232</v>
      </c>
      <c r="R1437">
        <f>K1437/J1437</f>
        <v>0.66666666666666663</v>
      </c>
      <c r="S1437">
        <v>2020</v>
      </c>
    </row>
    <row r="1438" spans="1:19" x14ac:dyDescent="0.3">
      <c r="A1438">
        <v>21</v>
      </c>
      <c r="B1438">
        <v>501</v>
      </c>
      <c r="C1438" t="s">
        <v>14</v>
      </c>
      <c r="D1438" t="s">
        <v>18</v>
      </c>
      <c r="E1438">
        <v>58</v>
      </c>
      <c r="F1438" t="s">
        <v>24</v>
      </c>
      <c r="G1438">
        <v>2380</v>
      </c>
      <c r="H1438">
        <v>25479</v>
      </c>
      <c r="I1438">
        <v>11</v>
      </c>
      <c r="J1438">
        <v>2</v>
      </c>
      <c r="K1438">
        <v>2</v>
      </c>
      <c r="L1438">
        <v>2</v>
      </c>
      <c r="M1438">
        <v>1</v>
      </c>
      <c r="N1438">
        <v>2</v>
      </c>
      <c r="P1438">
        <f>G1438*I1438/100</f>
        <v>261.8</v>
      </c>
      <c r="Q1438">
        <f t="shared" si="22"/>
        <v>28560</v>
      </c>
      <c r="R1438">
        <f>K1438/J1438</f>
        <v>1</v>
      </c>
      <c r="S1438">
        <v>2020</v>
      </c>
    </row>
    <row r="1439" spans="1:19" x14ac:dyDescent="0.3">
      <c r="A1439">
        <v>39</v>
      </c>
      <c r="B1439">
        <v>105</v>
      </c>
      <c r="C1439" t="s">
        <v>17</v>
      </c>
      <c r="D1439" t="s">
        <v>18</v>
      </c>
      <c r="E1439">
        <v>87</v>
      </c>
      <c r="F1439" t="s">
        <v>23</v>
      </c>
      <c r="G1439">
        <v>19431</v>
      </c>
      <c r="H1439">
        <v>15302</v>
      </c>
      <c r="I1439">
        <v>13</v>
      </c>
      <c r="J1439">
        <v>21</v>
      </c>
      <c r="K1439">
        <v>6</v>
      </c>
      <c r="L1439">
        <v>0</v>
      </c>
      <c r="M1439">
        <v>1</v>
      </c>
      <c r="N1439">
        <v>3</v>
      </c>
      <c r="P1439">
        <f>G1439*I1439/100</f>
        <v>2526.0300000000002</v>
      </c>
      <c r="Q1439">
        <f t="shared" si="22"/>
        <v>233172</v>
      </c>
      <c r="R1439">
        <f>K1439/J1439</f>
        <v>0.2857142857142857</v>
      </c>
      <c r="S1439">
        <v>2020</v>
      </c>
    </row>
    <row r="1440" spans="1:19" x14ac:dyDescent="0.3">
      <c r="A1440">
        <v>23</v>
      </c>
      <c r="B1440">
        <v>638</v>
      </c>
      <c r="C1440" t="s">
        <v>14</v>
      </c>
      <c r="D1440" t="s">
        <v>18</v>
      </c>
      <c r="E1440">
        <v>33</v>
      </c>
      <c r="F1440" t="s">
        <v>24</v>
      </c>
      <c r="G1440">
        <v>1790</v>
      </c>
      <c r="H1440">
        <v>26956</v>
      </c>
      <c r="I1440">
        <v>19</v>
      </c>
      <c r="J1440">
        <v>1</v>
      </c>
      <c r="K1440">
        <v>1</v>
      </c>
      <c r="L1440">
        <v>0</v>
      </c>
      <c r="M1440">
        <v>1</v>
      </c>
      <c r="N1440">
        <v>0</v>
      </c>
      <c r="P1440">
        <f>G1440*I1440/100</f>
        <v>340.1</v>
      </c>
      <c r="Q1440">
        <f t="shared" si="22"/>
        <v>21480</v>
      </c>
      <c r="R1440">
        <f>K1440/J1440</f>
        <v>1</v>
      </c>
      <c r="S1440">
        <v>2020</v>
      </c>
    </row>
    <row r="1441" spans="1:19" x14ac:dyDescent="0.3">
      <c r="A1441">
        <v>36</v>
      </c>
      <c r="B1441">
        <v>557</v>
      </c>
      <c r="C1441" t="s">
        <v>14</v>
      </c>
      <c r="D1441" t="s">
        <v>15</v>
      </c>
      <c r="E1441">
        <v>94</v>
      </c>
      <c r="F1441" t="s">
        <v>16</v>
      </c>
      <c r="G1441">
        <v>7644</v>
      </c>
      <c r="H1441">
        <v>12695</v>
      </c>
      <c r="I1441">
        <v>19</v>
      </c>
      <c r="J1441">
        <v>10</v>
      </c>
      <c r="K1441">
        <v>9</v>
      </c>
      <c r="L1441">
        <v>7</v>
      </c>
      <c r="M1441">
        <v>3</v>
      </c>
      <c r="N1441">
        <v>4</v>
      </c>
      <c r="P1441">
        <f>G1441*I1441/100</f>
        <v>1452.36</v>
      </c>
      <c r="Q1441">
        <f t="shared" si="22"/>
        <v>91728</v>
      </c>
      <c r="R1441">
        <f>K1441/J1441</f>
        <v>0.9</v>
      </c>
      <c r="S1441">
        <v>2020</v>
      </c>
    </row>
    <row r="1442" spans="1:19" x14ac:dyDescent="0.3">
      <c r="A1442">
        <v>36</v>
      </c>
      <c r="B1442">
        <v>688</v>
      </c>
      <c r="C1442" t="s">
        <v>17</v>
      </c>
      <c r="D1442" t="s">
        <v>15</v>
      </c>
      <c r="E1442">
        <v>97</v>
      </c>
      <c r="F1442" t="s">
        <v>21</v>
      </c>
      <c r="G1442">
        <v>5131</v>
      </c>
      <c r="H1442">
        <v>9192</v>
      </c>
      <c r="I1442">
        <v>13</v>
      </c>
      <c r="J1442">
        <v>18</v>
      </c>
      <c r="K1442">
        <v>4</v>
      </c>
      <c r="L1442">
        <v>2</v>
      </c>
      <c r="M1442">
        <v>0</v>
      </c>
      <c r="N1442">
        <v>2</v>
      </c>
      <c r="P1442">
        <f>G1442*I1442/100</f>
        <v>667.03</v>
      </c>
      <c r="Q1442">
        <f t="shared" si="22"/>
        <v>61572</v>
      </c>
      <c r="R1442">
        <f>K1442/J1442</f>
        <v>0.22222222222222221</v>
      </c>
      <c r="S1442">
        <v>2020</v>
      </c>
    </row>
    <row r="1443" spans="1:19" x14ac:dyDescent="0.3">
      <c r="A1443">
        <v>56</v>
      </c>
      <c r="B1443">
        <v>667</v>
      </c>
      <c r="C1443" t="s">
        <v>17</v>
      </c>
      <c r="D1443" t="s">
        <v>18</v>
      </c>
      <c r="E1443">
        <v>57</v>
      </c>
      <c r="F1443" t="s">
        <v>22</v>
      </c>
      <c r="G1443">
        <v>6306</v>
      </c>
      <c r="H1443">
        <v>26236</v>
      </c>
      <c r="I1443">
        <v>21</v>
      </c>
      <c r="J1443">
        <v>13</v>
      </c>
      <c r="K1443">
        <v>13</v>
      </c>
      <c r="L1443">
        <v>12</v>
      </c>
      <c r="M1443">
        <v>1</v>
      </c>
      <c r="N1443">
        <v>9</v>
      </c>
      <c r="P1443">
        <f>G1443*I1443/100</f>
        <v>1324.26</v>
      </c>
      <c r="Q1443">
        <f t="shared" si="22"/>
        <v>75672</v>
      </c>
      <c r="R1443">
        <f>K1443/J1443</f>
        <v>1</v>
      </c>
      <c r="S1443">
        <v>2020</v>
      </c>
    </row>
    <row r="1444" spans="1:19" x14ac:dyDescent="0.3">
      <c r="A1444">
        <v>29</v>
      </c>
      <c r="B1444">
        <v>1092</v>
      </c>
      <c r="C1444" t="s">
        <v>17</v>
      </c>
      <c r="D1444" t="s">
        <v>18</v>
      </c>
      <c r="E1444">
        <v>36</v>
      </c>
      <c r="F1444" t="s">
        <v>19</v>
      </c>
      <c r="G1444">
        <v>4787</v>
      </c>
      <c r="H1444">
        <v>26124</v>
      </c>
      <c r="I1444">
        <v>14</v>
      </c>
      <c r="J1444">
        <v>4</v>
      </c>
      <c r="K1444">
        <v>2</v>
      </c>
      <c r="L1444">
        <v>2</v>
      </c>
      <c r="M1444">
        <v>2</v>
      </c>
      <c r="N1444">
        <v>2</v>
      </c>
      <c r="P1444">
        <f>G1444*I1444/100</f>
        <v>670.18</v>
      </c>
      <c r="Q1444">
        <f t="shared" si="22"/>
        <v>57444</v>
      </c>
      <c r="R1444">
        <f>K1444/J1444</f>
        <v>0.5</v>
      </c>
      <c r="S1444">
        <v>2020</v>
      </c>
    </row>
    <row r="1445" spans="1:19" x14ac:dyDescent="0.3">
      <c r="A1445">
        <v>42</v>
      </c>
      <c r="B1445">
        <v>300</v>
      </c>
      <c r="C1445" t="s">
        <v>17</v>
      </c>
      <c r="D1445" t="s">
        <v>18</v>
      </c>
      <c r="E1445">
        <v>56</v>
      </c>
      <c r="F1445" t="s">
        <v>23</v>
      </c>
      <c r="G1445">
        <v>18880</v>
      </c>
      <c r="H1445">
        <v>17312</v>
      </c>
      <c r="I1445">
        <v>11</v>
      </c>
      <c r="J1445">
        <v>24</v>
      </c>
      <c r="K1445">
        <v>22</v>
      </c>
      <c r="L1445">
        <v>6</v>
      </c>
      <c r="M1445">
        <v>4</v>
      </c>
      <c r="N1445">
        <v>14</v>
      </c>
      <c r="P1445">
        <f>G1445*I1445/100</f>
        <v>2076.8000000000002</v>
      </c>
      <c r="Q1445">
        <f t="shared" si="22"/>
        <v>226560</v>
      </c>
      <c r="R1445">
        <f>K1445/J1445</f>
        <v>0.91666666666666663</v>
      </c>
      <c r="S1445">
        <v>2020</v>
      </c>
    </row>
    <row r="1446" spans="1:19" x14ac:dyDescent="0.3">
      <c r="A1446">
        <v>56</v>
      </c>
      <c r="B1446">
        <v>310</v>
      </c>
      <c r="C1446" t="s">
        <v>17</v>
      </c>
      <c r="D1446" t="s">
        <v>18</v>
      </c>
      <c r="E1446">
        <v>72</v>
      </c>
      <c r="F1446" t="s">
        <v>20</v>
      </c>
      <c r="G1446">
        <v>2339</v>
      </c>
      <c r="H1446">
        <v>3666</v>
      </c>
      <c r="I1446">
        <v>11</v>
      </c>
      <c r="J1446">
        <v>14</v>
      </c>
      <c r="K1446">
        <v>10</v>
      </c>
      <c r="L1446">
        <v>9</v>
      </c>
      <c r="M1446">
        <v>9</v>
      </c>
      <c r="N1446">
        <v>8</v>
      </c>
      <c r="P1446">
        <f>G1446*I1446/100</f>
        <v>257.29000000000002</v>
      </c>
      <c r="Q1446">
        <f t="shared" si="22"/>
        <v>28068</v>
      </c>
      <c r="R1446">
        <f>K1446/J1446</f>
        <v>0.7142857142857143</v>
      </c>
      <c r="S1446">
        <v>2020</v>
      </c>
    </row>
    <row r="1447" spans="1:19" x14ac:dyDescent="0.3">
      <c r="A1447">
        <v>41</v>
      </c>
      <c r="B1447">
        <v>582</v>
      </c>
      <c r="C1447" t="s">
        <v>17</v>
      </c>
      <c r="D1447" t="s">
        <v>15</v>
      </c>
      <c r="E1447">
        <v>60</v>
      </c>
      <c r="F1447" t="s">
        <v>21</v>
      </c>
      <c r="G1447">
        <v>13570</v>
      </c>
      <c r="H1447">
        <v>5640</v>
      </c>
      <c r="I1447">
        <v>23</v>
      </c>
      <c r="J1447">
        <v>21</v>
      </c>
      <c r="K1447">
        <v>20</v>
      </c>
      <c r="L1447">
        <v>7</v>
      </c>
      <c r="M1447">
        <v>0</v>
      </c>
      <c r="N1447">
        <v>10</v>
      </c>
      <c r="P1447">
        <f>G1447*I1447/100</f>
        <v>3121.1</v>
      </c>
      <c r="Q1447">
        <f t="shared" si="22"/>
        <v>162840</v>
      </c>
      <c r="R1447">
        <f>K1447/J1447</f>
        <v>0.95238095238095233</v>
      </c>
      <c r="S1447">
        <v>2020</v>
      </c>
    </row>
    <row r="1448" spans="1:19" x14ac:dyDescent="0.3">
      <c r="A1448">
        <v>34</v>
      </c>
      <c r="B1448">
        <v>704</v>
      </c>
      <c r="C1448" t="s">
        <v>14</v>
      </c>
      <c r="D1448" t="s">
        <v>15</v>
      </c>
      <c r="E1448">
        <v>95</v>
      </c>
      <c r="F1448" t="s">
        <v>16</v>
      </c>
      <c r="G1448">
        <v>6712</v>
      </c>
      <c r="H1448">
        <v>8978</v>
      </c>
      <c r="I1448">
        <v>21</v>
      </c>
      <c r="J1448">
        <v>8</v>
      </c>
      <c r="K1448">
        <v>8</v>
      </c>
      <c r="L1448">
        <v>7</v>
      </c>
      <c r="M1448">
        <v>1</v>
      </c>
      <c r="N1448">
        <v>7</v>
      </c>
      <c r="P1448">
        <f>G1448*I1448/100</f>
        <v>1409.52</v>
      </c>
      <c r="Q1448">
        <f t="shared" si="22"/>
        <v>80544</v>
      </c>
      <c r="R1448">
        <f>K1448/J1448</f>
        <v>1</v>
      </c>
      <c r="S1448">
        <v>2020</v>
      </c>
    </row>
    <row r="1449" spans="1:19" x14ac:dyDescent="0.3">
      <c r="A1449">
        <v>36</v>
      </c>
      <c r="B1449">
        <v>301</v>
      </c>
      <c r="C1449" t="s">
        <v>14</v>
      </c>
      <c r="D1449" t="s">
        <v>18</v>
      </c>
      <c r="E1449">
        <v>88</v>
      </c>
      <c r="F1449" t="s">
        <v>16</v>
      </c>
      <c r="G1449">
        <v>5406</v>
      </c>
      <c r="H1449">
        <v>10436</v>
      </c>
      <c r="I1449">
        <v>24</v>
      </c>
      <c r="J1449">
        <v>15</v>
      </c>
      <c r="K1449">
        <v>15</v>
      </c>
      <c r="L1449">
        <v>12</v>
      </c>
      <c r="M1449">
        <v>11</v>
      </c>
      <c r="N1449">
        <v>11</v>
      </c>
      <c r="P1449">
        <f>G1449*I1449/100</f>
        <v>1297.44</v>
      </c>
      <c r="Q1449">
        <f t="shared" si="22"/>
        <v>64872</v>
      </c>
      <c r="R1449">
        <f>K1449/J1449</f>
        <v>1</v>
      </c>
      <c r="S1449">
        <v>2020</v>
      </c>
    </row>
    <row r="1450" spans="1:19" x14ac:dyDescent="0.3">
      <c r="A1450">
        <v>41</v>
      </c>
      <c r="B1450">
        <v>930</v>
      </c>
      <c r="C1450" t="s">
        <v>14</v>
      </c>
      <c r="D1450" t="s">
        <v>18</v>
      </c>
      <c r="E1450">
        <v>57</v>
      </c>
      <c r="F1450" t="s">
        <v>16</v>
      </c>
      <c r="G1450">
        <v>8938</v>
      </c>
      <c r="H1450">
        <v>12227</v>
      </c>
      <c r="I1450">
        <v>11</v>
      </c>
      <c r="J1450">
        <v>14</v>
      </c>
      <c r="K1450">
        <v>5</v>
      </c>
      <c r="L1450">
        <v>4</v>
      </c>
      <c r="M1450">
        <v>0</v>
      </c>
      <c r="N1450">
        <v>4</v>
      </c>
      <c r="P1450">
        <f>G1450*I1450/100</f>
        <v>983.18</v>
      </c>
      <c r="Q1450">
        <f t="shared" si="22"/>
        <v>107256</v>
      </c>
      <c r="R1450">
        <f>K1450/J1450</f>
        <v>0.35714285714285715</v>
      </c>
      <c r="S1450">
        <v>2020</v>
      </c>
    </row>
    <row r="1451" spans="1:19" x14ac:dyDescent="0.3">
      <c r="A1451">
        <v>32</v>
      </c>
      <c r="B1451">
        <v>529</v>
      </c>
      <c r="C1451" t="s">
        <v>17</v>
      </c>
      <c r="D1451" t="s">
        <v>18</v>
      </c>
      <c r="E1451">
        <v>78</v>
      </c>
      <c r="F1451" t="s">
        <v>19</v>
      </c>
      <c r="G1451">
        <v>2439</v>
      </c>
      <c r="H1451">
        <v>11288</v>
      </c>
      <c r="I1451">
        <v>14</v>
      </c>
      <c r="J1451">
        <v>4</v>
      </c>
      <c r="K1451">
        <v>4</v>
      </c>
      <c r="L1451">
        <v>2</v>
      </c>
      <c r="M1451">
        <v>1</v>
      </c>
      <c r="N1451">
        <v>2</v>
      </c>
      <c r="P1451">
        <f>G1451*I1451/100</f>
        <v>341.46</v>
      </c>
      <c r="Q1451">
        <f t="shared" si="22"/>
        <v>29268</v>
      </c>
      <c r="R1451">
        <f>K1451/J1451</f>
        <v>1</v>
      </c>
      <c r="S1451">
        <v>2020</v>
      </c>
    </row>
    <row r="1452" spans="1:19" x14ac:dyDescent="0.3">
      <c r="A1452">
        <v>35</v>
      </c>
      <c r="B1452">
        <v>1146</v>
      </c>
      <c r="C1452" t="s">
        <v>26</v>
      </c>
      <c r="D1452" t="s">
        <v>15</v>
      </c>
      <c r="E1452">
        <v>31</v>
      </c>
      <c r="F1452" t="s">
        <v>26</v>
      </c>
      <c r="G1452">
        <v>8837</v>
      </c>
      <c r="H1452">
        <v>16642</v>
      </c>
      <c r="I1452">
        <v>16</v>
      </c>
      <c r="J1452">
        <v>9</v>
      </c>
      <c r="K1452">
        <v>9</v>
      </c>
      <c r="L1452">
        <v>0</v>
      </c>
      <c r="M1452">
        <v>1</v>
      </c>
      <c r="N1452">
        <v>7</v>
      </c>
      <c r="P1452">
        <f>G1452*I1452/100</f>
        <v>1413.92</v>
      </c>
      <c r="Q1452">
        <f t="shared" si="22"/>
        <v>106044</v>
      </c>
      <c r="R1452">
        <f>K1452/J1452</f>
        <v>1</v>
      </c>
      <c r="S1452">
        <v>2020</v>
      </c>
    </row>
    <row r="1453" spans="1:19" x14ac:dyDescent="0.3">
      <c r="A1453">
        <v>38</v>
      </c>
      <c r="B1453">
        <v>345</v>
      </c>
      <c r="C1453" t="s">
        <v>14</v>
      </c>
      <c r="D1453" t="s">
        <v>15</v>
      </c>
      <c r="E1453">
        <v>100</v>
      </c>
      <c r="F1453" t="s">
        <v>16</v>
      </c>
      <c r="G1453">
        <v>5343</v>
      </c>
      <c r="H1453">
        <v>5982</v>
      </c>
      <c r="I1453">
        <v>11</v>
      </c>
      <c r="J1453">
        <v>10</v>
      </c>
      <c r="K1453">
        <v>10</v>
      </c>
      <c r="L1453">
        <v>7</v>
      </c>
      <c r="M1453">
        <v>1</v>
      </c>
      <c r="N1453">
        <v>9</v>
      </c>
      <c r="P1453">
        <f>G1453*I1453/100</f>
        <v>587.73</v>
      </c>
      <c r="Q1453">
        <f t="shared" si="22"/>
        <v>64116</v>
      </c>
      <c r="R1453">
        <f>K1453/J1453</f>
        <v>1</v>
      </c>
      <c r="S1453">
        <v>2020</v>
      </c>
    </row>
    <row r="1454" spans="1:19" x14ac:dyDescent="0.3">
      <c r="A1454">
        <v>50</v>
      </c>
      <c r="B1454">
        <v>878</v>
      </c>
      <c r="C1454" t="s">
        <v>14</v>
      </c>
      <c r="D1454" t="s">
        <v>18</v>
      </c>
      <c r="E1454">
        <v>94</v>
      </c>
      <c r="F1454" t="s">
        <v>16</v>
      </c>
      <c r="G1454">
        <v>6728</v>
      </c>
      <c r="H1454">
        <v>14255</v>
      </c>
      <c r="I1454">
        <v>12</v>
      </c>
      <c r="J1454">
        <v>12</v>
      </c>
      <c r="K1454">
        <v>6</v>
      </c>
      <c r="L1454">
        <v>3</v>
      </c>
      <c r="M1454">
        <v>0</v>
      </c>
      <c r="N1454">
        <v>1</v>
      </c>
      <c r="P1454">
        <f>G1454*I1454/100</f>
        <v>807.36</v>
      </c>
      <c r="Q1454">
        <f t="shared" si="22"/>
        <v>80736</v>
      </c>
      <c r="R1454">
        <f>K1454/J1454</f>
        <v>0.5</v>
      </c>
      <c r="S1454">
        <v>2020</v>
      </c>
    </row>
    <row r="1455" spans="1:19" x14ac:dyDescent="0.3">
      <c r="A1455">
        <v>36</v>
      </c>
      <c r="B1455">
        <v>1120</v>
      </c>
      <c r="C1455" t="s">
        <v>14</v>
      </c>
      <c r="D1455" t="s">
        <v>15</v>
      </c>
      <c r="E1455">
        <v>100</v>
      </c>
      <c r="F1455" t="s">
        <v>16</v>
      </c>
      <c r="G1455">
        <v>6652</v>
      </c>
      <c r="H1455">
        <v>14369</v>
      </c>
      <c r="I1455">
        <v>13</v>
      </c>
      <c r="J1455">
        <v>8</v>
      </c>
      <c r="K1455">
        <v>6</v>
      </c>
      <c r="L1455">
        <v>3</v>
      </c>
      <c r="M1455">
        <v>0</v>
      </c>
      <c r="N1455">
        <v>0</v>
      </c>
      <c r="P1455">
        <f>G1455*I1455/100</f>
        <v>864.76</v>
      </c>
      <c r="Q1455">
        <f t="shared" si="22"/>
        <v>79824</v>
      </c>
      <c r="R1455">
        <f>K1455/J1455</f>
        <v>0.75</v>
      </c>
      <c r="S1455">
        <v>2020</v>
      </c>
    </row>
    <row r="1456" spans="1:19" x14ac:dyDescent="0.3">
      <c r="A1456">
        <v>45</v>
      </c>
      <c r="B1456">
        <v>374</v>
      </c>
      <c r="C1456" t="s">
        <v>14</v>
      </c>
      <c r="D1456" t="s">
        <v>15</v>
      </c>
      <c r="E1456">
        <v>50</v>
      </c>
      <c r="F1456" t="s">
        <v>16</v>
      </c>
      <c r="G1456">
        <v>4850</v>
      </c>
      <c r="H1456">
        <v>23333</v>
      </c>
      <c r="I1456">
        <v>15</v>
      </c>
      <c r="J1456">
        <v>8</v>
      </c>
      <c r="K1456">
        <v>5</v>
      </c>
      <c r="L1456">
        <v>3</v>
      </c>
      <c r="M1456">
        <v>0</v>
      </c>
      <c r="N1456">
        <v>1</v>
      </c>
      <c r="P1456">
        <f>G1456*I1456/100</f>
        <v>727.5</v>
      </c>
      <c r="Q1456">
        <f t="shared" si="22"/>
        <v>58200</v>
      </c>
      <c r="R1456">
        <f>K1456/J1456</f>
        <v>0.625</v>
      </c>
      <c r="S1456">
        <v>2020</v>
      </c>
    </row>
    <row r="1457" spans="1:19" x14ac:dyDescent="0.3">
      <c r="A1457">
        <v>40</v>
      </c>
      <c r="B1457">
        <v>1322</v>
      </c>
      <c r="C1457" t="s">
        <v>17</v>
      </c>
      <c r="D1457" t="s">
        <v>18</v>
      </c>
      <c r="E1457">
        <v>52</v>
      </c>
      <c r="F1457" t="s">
        <v>19</v>
      </c>
      <c r="G1457">
        <v>2809</v>
      </c>
      <c r="H1457">
        <v>2725</v>
      </c>
      <c r="I1457">
        <v>14</v>
      </c>
      <c r="J1457">
        <v>8</v>
      </c>
      <c r="K1457">
        <v>2</v>
      </c>
      <c r="L1457">
        <v>2</v>
      </c>
      <c r="M1457">
        <v>2</v>
      </c>
      <c r="N1457">
        <v>2</v>
      </c>
      <c r="P1457">
        <f>G1457*I1457/100</f>
        <v>393.26</v>
      </c>
      <c r="Q1457">
        <f t="shared" si="22"/>
        <v>33708</v>
      </c>
      <c r="R1457">
        <f>K1457/J1457</f>
        <v>0.25</v>
      </c>
      <c r="S1457">
        <v>2020</v>
      </c>
    </row>
    <row r="1458" spans="1:19" x14ac:dyDescent="0.3">
      <c r="A1458">
        <v>35</v>
      </c>
      <c r="B1458">
        <v>1199</v>
      </c>
      <c r="C1458" t="s">
        <v>17</v>
      </c>
      <c r="D1458" t="s">
        <v>18</v>
      </c>
      <c r="E1458">
        <v>80</v>
      </c>
      <c r="F1458" t="s">
        <v>22</v>
      </c>
      <c r="G1458">
        <v>5689</v>
      </c>
      <c r="H1458">
        <v>24594</v>
      </c>
      <c r="I1458">
        <v>14</v>
      </c>
      <c r="J1458">
        <v>10</v>
      </c>
      <c r="K1458">
        <v>10</v>
      </c>
      <c r="L1458">
        <v>2</v>
      </c>
      <c r="M1458">
        <v>0</v>
      </c>
      <c r="N1458">
        <v>2</v>
      </c>
      <c r="P1458">
        <f>G1458*I1458/100</f>
        <v>796.46</v>
      </c>
      <c r="Q1458">
        <f t="shared" si="22"/>
        <v>68268</v>
      </c>
      <c r="R1458">
        <f>K1458/J1458</f>
        <v>1</v>
      </c>
      <c r="S1458">
        <v>2020</v>
      </c>
    </row>
    <row r="1459" spans="1:19" x14ac:dyDescent="0.3">
      <c r="A1459">
        <v>40</v>
      </c>
      <c r="B1459">
        <v>1194</v>
      </c>
      <c r="C1459" t="s">
        <v>17</v>
      </c>
      <c r="D1459" t="s">
        <v>15</v>
      </c>
      <c r="E1459">
        <v>98</v>
      </c>
      <c r="F1459" t="s">
        <v>19</v>
      </c>
      <c r="G1459">
        <v>2001</v>
      </c>
      <c r="H1459">
        <v>12549</v>
      </c>
      <c r="I1459">
        <v>14</v>
      </c>
      <c r="J1459">
        <v>20</v>
      </c>
      <c r="K1459">
        <v>5</v>
      </c>
      <c r="L1459">
        <v>3</v>
      </c>
      <c r="M1459">
        <v>0</v>
      </c>
      <c r="N1459">
        <v>2</v>
      </c>
      <c r="P1459">
        <f>G1459*I1459/100</f>
        <v>280.14</v>
      </c>
      <c r="Q1459">
        <f t="shared" si="22"/>
        <v>24012</v>
      </c>
      <c r="R1459">
        <f>K1459/J1459</f>
        <v>0.25</v>
      </c>
      <c r="S1459">
        <v>2020</v>
      </c>
    </row>
    <row r="1460" spans="1:19" x14ac:dyDescent="0.3">
      <c r="A1460">
        <v>35</v>
      </c>
      <c r="B1460">
        <v>287</v>
      </c>
      <c r="C1460" t="s">
        <v>17</v>
      </c>
      <c r="D1460" t="s">
        <v>15</v>
      </c>
      <c r="E1460">
        <v>62</v>
      </c>
      <c r="F1460" t="s">
        <v>19</v>
      </c>
      <c r="G1460">
        <v>2977</v>
      </c>
      <c r="H1460">
        <v>8952</v>
      </c>
      <c r="I1460">
        <v>12</v>
      </c>
      <c r="J1460">
        <v>4</v>
      </c>
      <c r="K1460">
        <v>4</v>
      </c>
      <c r="L1460">
        <v>3</v>
      </c>
      <c r="M1460">
        <v>1</v>
      </c>
      <c r="N1460">
        <v>1</v>
      </c>
      <c r="P1460">
        <f>G1460*I1460/100</f>
        <v>357.24</v>
      </c>
      <c r="Q1460">
        <f t="shared" si="22"/>
        <v>35724</v>
      </c>
      <c r="R1460">
        <f>K1460/J1460</f>
        <v>1</v>
      </c>
      <c r="S1460">
        <v>2020</v>
      </c>
    </row>
    <row r="1461" spans="1:19" x14ac:dyDescent="0.3">
      <c r="A1461">
        <v>29</v>
      </c>
      <c r="B1461">
        <v>1378</v>
      </c>
      <c r="C1461" t="s">
        <v>17</v>
      </c>
      <c r="D1461" t="s">
        <v>18</v>
      </c>
      <c r="E1461">
        <v>46</v>
      </c>
      <c r="F1461" t="s">
        <v>20</v>
      </c>
      <c r="G1461">
        <v>4025</v>
      </c>
      <c r="H1461">
        <v>23679</v>
      </c>
      <c r="I1461">
        <v>13</v>
      </c>
      <c r="J1461">
        <v>10</v>
      </c>
      <c r="K1461">
        <v>4</v>
      </c>
      <c r="L1461">
        <v>3</v>
      </c>
      <c r="M1461">
        <v>0</v>
      </c>
      <c r="N1461">
        <v>3</v>
      </c>
      <c r="P1461">
        <f>G1461*I1461/100</f>
        <v>523.25</v>
      </c>
      <c r="Q1461">
        <f t="shared" si="22"/>
        <v>48300</v>
      </c>
      <c r="R1461">
        <f>K1461/J1461</f>
        <v>0.4</v>
      </c>
      <c r="S1461">
        <v>2020</v>
      </c>
    </row>
    <row r="1462" spans="1:19" x14ac:dyDescent="0.3">
      <c r="A1462">
        <v>29</v>
      </c>
      <c r="B1462">
        <v>468</v>
      </c>
      <c r="C1462" t="s">
        <v>17</v>
      </c>
      <c r="D1462" t="s">
        <v>15</v>
      </c>
      <c r="E1462">
        <v>73</v>
      </c>
      <c r="F1462" t="s">
        <v>19</v>
      </c>
      <c r="G1462">
        <v>3785</v>
      </c>
      <c r="H1462">
        <v>8489</v>
      </c>
      <c r="I1462">
        <v>14</v>
      </c>
      <c r="J1462">
        <v>5</v>
      </c>
      <c r="K1462">
        <v>5</v>
      </c>
      <c r="L1462">
        <v>4</v>
      </c>
      <c r="M1462">
        <v>0</v>
      </c>
      <c r="N1462">
        <v>4</v>
      </c>
      <c r="P1462">
        <f>G1462*I1462/100</f>
        <v>529.9</v>
      </c>
      <c r="Q1462">
        <f t="shared" si="22"/>
        <v>45420</v>
      </c>
      <c r="R1462">
        <f>K1462/J1462</f>
        <v>1</v>
      </c>
      <c r="S1462">
        <v>2020</v>
      </c>
    </row>
    <row r="1463" spans="1:19" x14ac:dyDescent="0.3">
      <c r="A1463">
        <v>50</v>
      </c>
      <c r="B1463">
        <v>410</v>
      </c>
      <c r="C1463" t="s">
        <v>14</v>
      </c>
      <c r="D1463" t="s">
        <v>18</v>
      </c>
      <c r="E1463">
        <v>39</v>
      </c>
      <c r="F1463" t="s">
        <v>16</v>
      </c>
      <c r="G1463">
        <v>10854</v>
      </c>
      <c r="H1463">
        <v>16586</v>
      </c>
      <c r="I1463">
        <v>13</v>
      </c>
      <c r="J1463">
        <v>20</v>
      </c>
      <c r="K1463">
        <v>3</v>
      </c>
      <c r="L1463">
        <v>2</v>
      </c>
      <c r="M1463">
        <v>2</v>
      </c>
      <c r="N1463">
        <v>0</v>
      </c>
      <c r="P1463">
        <f>G1463*I1463/100</f>
        <v>1411.02</v>
      </c>
      <c r="Q1463">
        <f t="shared" si="22"/>
        <v>130248</v>
      </c>
      <c r="R1463">
        <f>K1463/J1463</f>
        <v>0.15</v>
      </c>
      <c r="S1463">
        <v>2020</v>
      </c>
    </row>
    <row r="1464" spans="1:19" x14ac:dyDescent="0.3">
      <c r="A1464">
        <v>39</v>
      </c>
      <c r="B1464">
        <v>722</v>
      </c>
      <c r="C1464" t="s">
        <v>14</v>
      </c>
      <c r="D1464" t="s">
        <v>15</v>
      </c>
      <c r="E1464">
        <v>60</v>
      </c>
      <c r="F1464" t="s">
        <v>16</v>
      </c>
      <c r="G1464">
        <v>12031</v>
      </c>
      <c r="H1464">
        <v>8828</v>
      </c>
      <c r="I1464">
        <v>11</v>
      </c>
      <c r="J1464">
        <v>21</v>
      </c>
      <c r="K1464">
        <v>20</v>
      </c>
      <c r="L1464">
        <v>9</v>
      </c>
      <c r="M1464">
        <v>9</v>
      </c>
      <c r="N1464">
        <v>6</v>
      </c>
      <c r="P1464">
        <f>G1464*I1464/100</f>
        <v>1323.41</v>
      </c>
      <c r="Q1464">
        <f t="shared" si="22"/>
        <v>144372</v>
      </c>
      <c r="R1464">
        <f>K1464/J1464</f>
        <v>0.95238095238095233</v>
      </c>
      <c r="S1464">
        <v>2020</v>
      </c>
    </row>
    <row r="1465" spans="1:19" x14ac:dyDescent="0.3">
      <c r="A1465">
        <v>31</v>
      </c>
      <c r="B1465">
        <v>325</v>
      </c>
      <c r="C1465" t="s">
        <v>17</v>
      </c>
      <c r="D1465" t="s">
        <v>18</v>
      </c>
      <c r="E1465">
        <v>74</v>
      </c>
      <c r="F1465" t="s">
        <v>21</v>
      </c>
      <c r="G1465">
        <v>9936</v>
      </c>
      <c r="H1465">
        <v>3787</v>
      </c>
      <c r="I1465">
        <v>19</v>
      </c>
      <c r="J1465">
        <v>10</v>
      </c>
      <c r="K1465">
        <v>9</v>
      </c>
      <c r="L1465">
        <v>4</v>
      </c>
      <c r="M1465">
        <v>1</v>
      </c>
      <c r="N1465">
        <v>7</v>
      </c>
      <c r="P1465">
        <f>G1465*I1465/100</f>
        <v>1887.84</v>
      </c>
      <c r="Q1465">
        <f t="shared" si="22"/>
        <v>119232</v>
      </c>
      <c r="R1465">
        <f>K1465/J1465</f>
        <v>0.9</v>
      </c>
      <c r="S1465">
        <v>2020</v>
      </c>
    </row>
    <row r="1466" spans="1:19" x14ac:dyDescent="0.3">
      <c r="A1466">
        <v>26</v>
      </c>
      <c r="B1466">
        <v>1167</v>
      </c>
      <c r="C1466" t="s">
        <v>14</v>
      </c>
      <c r="D1466" t="s">
        <v>15</v>
      </c>
      <c r="E1466">
        <v>30</v>
      </c>
      <c r="F1466" t="s">
        <v>24</v>
      </c>
      <c r="G1466">
        <v>2966</v>
      </c>
      <c r="H1466">
        <v>21378</v>
      </c>
      <c r="I1466">
        <v>18</v>
      </c>
      <c r="J1466">
        <v>5</v>
      </c>
      <c r="K1466">
        <v>4</v>
      </c>
      <c r="L1466">
        <v>2</v>
      </c>
      <c r="M1466">
        <v>0</v>
      </c>
      <c r="N1466">
        <v>0</v>
      </c>
      <c r="P1466">
        <f>G1466*I1466/100</f>
        <v>533.88</v>
      </c>
      <c r="Q1466">
        <f t="shared" si="22"/>
        <v>35592</v>
      </c>
      <c r="R1466">
        <f>K1466/J1466</f>
        <v>0.8</v>
      </c>
      <c r="S1466">
        <v>2020</v>
      </c>
    </row>
    <row r="1467" spans="1:19" x14ac:dyDescent="0.3">
      <c r="A1467">
        <v>36</v>
      </c>
      <c r="B1467">
        <v>884</v>
      </c>
      <c r="C1467" t="s">
        <v>17</v>
      </c>
      <c r="D1467" t="s">
        <v>18</v>
      </c>
      <c r="E1467">
        <v>41</v>
      </c>
      <c r="F1467" t="s">
        <v>20</v>
      </c>
      <c r="G1467">
        <v>2571</v>
      </c>
      <c r="H1467">
        <v>12290</v>
      </c>
      <c r="I1467">
        <v>17</v>
      </c>
      <c r="J1467">
        <v>17</v>
      </c>
      <c r="K1467">
        <v>5</v>
      </c>
      <c r="L1467">
        <v>2</v>
      </c>
      <c r="M1467">
        <v>0</v>
      </c>
      <c r="N1467">
        <v>3</v>
      </c>
      <c r="P1467">
        <f>G1467*I1467/100</f>
        <v>437.07</v>
      </c>
      <c r="Q1467">
        <f t="shared" si="22"/>
        <v>30852</v>
      </c>
      <c r="R1467">
        <f>K1467/J1467</f>
        <v>0.29411764705882354</v>
      </c>
      <c r="S1467">
        <v>2020</v>
      </c>
    </row>
    <row r="1468" spans="1:19" x14ac:dyDescent="0.3">
      <c r="A1468">
        <v>39</v>
      </c>
      <c r="B1468">
        <v>613</v>
      </c>
      <c r="C1468" t="s">
        <v>17</v>
      </c>
      <c r="D1468" t="s">
        <v>18</v>
      </c>
      <c r="E1468">
        <v>42</v>
      </c>
      <c r="F1468" t="s">
        <v>22</v>
      </c>
      <c r="G1468">
        <v>9991</v>
      </c>
      <c r="H1468">
        <v>21457</v>
      </c>
      <c r="I1468">
        <v>15</v>
      </c>
      <c r="J1468">
        <v>9</v>
      </c>
      <c r="K1468">
        <v>7</v>
      </c>
      <c r="L1468">
        <v>7</v>
      </c>
      <c r="M1468">
        <v>1</v>
      </c>
      <c r="N1468">
        <v>7</v>
      </c>
      <c r="P1468">
        <f>G1468*I1468/100</f>
        <v>1498.65</v>
      </c>
      <c r="Q1468">
        <f t="shared" si="22"/>
        <v>119892</v>
      </c>
      <c r="R1468">
        <f>K1468/J1468</f>
        <v>0.77777777777777779</v>
      </c>
      <c r="S1468">
        <v>2020</v>
      </c>
    </row>
    <row r="1469" spans="1:19" x14ac:dyDescent="0.3">
      <c r="A1469">
        <v>27</v>
      </c>
      <c r="B1469">
        <v>155</v>
      </c>
      <c r="C1469" t="s">
        <v>17</v>
      </c>
      <c r="D1469" t="s">
        <v>18</v>
      </c>
      <c r="E1469">
        <v>87</v>
      </c>
      <c r="F1469" t="s">
        <v>21</v>
      </c>
      <c r="G1469">
        <v>6142</v>
      </c>
      <c r="H1469">
        <v>5174</v>
      </c>
      <c r="I1469">
        <v>20</v>
      </c>
      <c r="J1469">
        <v>6</v>
      </c>
      <c r="K1469">
        <v>6</v>
      </c>
      <c r="L1469">
        <v>2</v>
      </c>
      <c r="M1469">
        <v>0</v>
      </c>
      <c r="N1469">
        <v>3</v>
      </c>
      <c r="P1469">
        <f>G1469*I1469/100</f>
        <v>1228.4000000000001</v>
      </c>
      <c r="Q1469">
        <f t="shared" si="22"/>
        <v>73704</v>
      </c>
      <c r="R1469">
        <f>K1469/J1469</f>
        <v>1</v>
      </c>
      <c r="S1469">
        <v>2020</v>
      </c>
    </row>
    <row r="1470" spans="1:19" x14ac:dyDescent="0.3">
      <c r="A1470">
        <v>49</v>
      </c>
      <c r="B1470">
        <v>1023</v>
      </c>
      <c r="C1470" t="s">
        <v>14</v>
      </c>
      <c r="D1470" t="s">
        <v>18</v>
      </c>
      <c r="E1470">
        <v>63</v>
      </c>
      <c r="F1470" t="s">
        <v>16</v>
      </c>
      <c r="G1470">
        <v>5390</v>
      </c>
      <c r="H1470">
        <v>13243</v>
      </c>
      <c r="I1470">
        <v>14</v>
      </c>
      <c r="J1470">
        <v>17</v>
      </c>
      <c r="K1470">
        <v>9</v>
      </c>
      <c r="L1470">
        <v>6</v>
      </c>
      <c r="M1470">
        <v>0</v>
      </c>
      <c r="N1470">
        <v>8</v>
      </c>
      <c r="P1470">
        <f>G1470*I1470/100</f>
        <v>754.6</v>
      </c>
      <c r="Q1470">
        <f t="shared" si="22"/>
        <v>64680</v>
      </c>
      <c r="R1470">
        <f>K1470/J1470</f>
        <v>0.52941176470588236</v>
      </c>
      <c r="S1470">
        <v>2020</v>
      </c>
    </row>
    <row r="1471" spans="1:19" x14ac:dyDescent="0.3">
      <c r="A1471">
        <v>34</v>
      </c>
      <c r="B1471">
        <v>628</v>
      </c>
      <c r="C1471" t="s">
        <v>17</v>
      </c>
      <c r="D1471" t="s">
        <v>18</v>
      </c>
      <c r="E1471">
        <v>82</v>
      </c>
      <c r="F1471" t="s">
        <v>20</v>
      </c>
      <c r="G1471">
        <v>4404</v>
      </c>
      <c r="H1471">
        <v>10228</v>
      </c>
      <c r="I1471">
        <v>12</v>
      </c>
      <c r="J1471">
        <v>6</v>
      </c>
      <c r="K1471">
        <v>4</v>
      </c>
      <c r="L1471">
        <v>3</v>
      </c>
      <c r="M1471">
        <v>1</v>
      </c>
      <c r="N1471">
        <v>2</v>
      </c>
      <c r="P1471">
        <f>G1471*I1471/100</f>
        <v>528.48</v>
      </c>
      <c r="Q1471">
        <f t="shared" si="22"/>
        <v>52848</v>
      </c>
      <c r="R1471">
        <f>K1471/J1471</f>
        <v>0.66666666666666663</v>
      </c>
      <c r="S1471">
        <v>2020</v>
      </c>
    </row>
    <row r="2945" spans="1:18" x14ac:dyDescent="0.3">
      <c r="A2945" t="s">
        <v>0</v>
      </c>
      <c r="B2945" t="s">
        <v>1</v>
      </c>
      <c r="C2945" t="s">
        <v>2</v>
      </c>
      <c r="D2945" t="s">
        <v>3</v>
      </c>
      <c r="E2945" t="s">
        <v>4</v>
      </c>
      <c r="F2945" t="s">
        <v>5</v>
      </c>
      <c r="G2945" t="s">
        <v>6</v>
      </c>
      <c r="H2945" t="s">
        <v>7</v>
      </c>
      <c r="I2945" t="s">
        <v>8</v>
      </c>
      <c r="J2945" t="s">
        <v>9</v>
      </c>
      <c r="K2945" t="s">
        <v>10</v>
      </c>
      <c r="L2945" t="s">
        <v>11</v>
      </c>
      <c r="M2945" t="s">
        <v>12</v>
      </c>
      <c r="N2945" t="s">
        <v>13</v>
      </c>
      <c r="P2945" t="s">
        <v>27</v>
      </c>
      <c r="Q2945" t="s">
        <v>28</v>
      </c>
      <c r="R2945" t="s">
        <v>29</v>
      </c>
    </row>
    <row r="2946" spans="1:18" x14ac:dyDescent="0.3">
      <c r="A2946">
        <v>41</v>
      </c>
      <c r="B2946">
        <v>1102</v>
      </c>
      <c r="C2946" t="s">
        <v>14</v>
      </c>
      <c r="D2946" t="s">
        <v>18</v>
      </c>
      <c r="E2946">
        <v>94</v>
      </c>
      <c r="F2946" t="s">
        <v>16</v>
      </c>
      <c r="G2946">
        <v>6592.3</v>
      </c>
      <c r="H2946">
        <v>19479</v>
      </c>
      <c r="I2946">
        <v>11</v>
      </c>
      <c r="J2946">
        <v>8</v>
      </c>
      <c r="K2946">
        <v>6</v>
      </c>
      <c r="L2946">
        <v>4</v>
      </c>
      <c r="M2946">
        <v>0</v>
      </c>
      <c r="N2946">
        <v>5</v>
      </c>
      <c r="P2946">
        <f>G2946*I2946/100</f>
        <v>725.15300000000002</v>
      </c>
      <c r="Q2946">
        <f>G2946*12</f>
        <v>79107.600000000006</v>
      </c>
      <c r="R2946">
        <f>K2946/J2946</f>
        <v>0.75</v>
      </c>
    </row>
    <row r="2947" spans="1:18" x14ac:dyDescent="0.3">
      <c r="A2947">
        <v>49</v>
      </c>
      <c r="B2947">
        <v>279</v>
      </c>
      <c r="C2947" t="s">
        <v>17</v>
      </c>
      <c r="D2947" t="s">
        <v>18</v>
      </c>
      <c r="E2947">
        <v>61</v>
      </c>
      <c r="F2947" t="s">
        <v>19</v>
      </c>
      <c r="G2947">
        <v>5643.0000000000009</v>
      </c>
      <c r="H2947">
        <v>24907</v>
      </c>
      <c r="I2947">
        <v>23</v>
      </c>
      <c r="J2947">
        <v>10</v>
      </c>
      <c r="K2947">
        <v>10</v>
      </c>
      <c r="L2947">
        <v>7</v>
      </c>
      <c r="M2947">
        <v>1</v>
      </c>
      <c r="N2947">
        <v>7</v>
      </c>
      <c r="P2947">
        <f>G2947*I2947/100</f>
        <v>1297.8900000000001</v>
      </c>
      <c r="Q2947">
        <f t="shared" ref="Q2947:Q3010" si="23">G2947*12</f>
        <v>67716.000000000015</v>
      </c>
      <c r="R2947">
        <f>K2947/J2947</f>
        <v>1</v>
      </c>
    </row>
    <row r="2948" spans="1:18" x14ac:dyDescent="0.3">
      <c r="A2948">
        <v>37</v>
      </c>
      <c r="B2948">
        <v>1373</v>
      </c>
      <c r="C2948" t="s">
        <v>17</v>
      </c>
      <c r="D2948" t="s">
        <v>18</v>
      </c>
      <c r="E2948">
        <v>92</v>
      </c>
      <c r="F2948" t="s">
        <v>20</v>
      </c>
      <c r="G2948">
        <v>2299</v>
      </c>
      <c r="H2948">
        <v>2396</v>
      </c>
      <c r="I2948">
        <v>15</v>
      </c>
      <c r="J2948">
        <v>7</v>
      </c>
      <c r="K2948">
        <v>0</v>
      </c>
      <c r="L2948">
        <v>0</v>
      </c>
      <c r="M2948">
        <v>0</v>
      </c>
      <c r="N2948">
        <v>0</v>
      </c>
      <c r="P2948">
        <f>G2948*I2948/100</f>
        <v>344.85</v>
      </c>
      <c r="Q2948">
        <f t="shared" si="23"/>
        <v>27588</v>
      </c>
      <c r="R2948">
        <f>K2948/J2948</f>
        <v>0</v>
      </c>
    </row>
    <row r="2949" spans="1:18" x14ac:dyDescent="0.3">
      <c r="A2949">
        <v>33</v>
      </c>
      <c r="B2949">
        <v>1392</v>
      </c>
      <c r="C2949" t="s">
        <v>17</v>
      </c>
      <c r="D2949" t="s">
        <v>15</v>
      </c>
      <c r="E2949">
        <v>56</v>
      </c>
      <c r="F2949" t="s">
        <v>19</v>
      </c>
      <c r="G2949">
        <v>3199.9</v>
      </c>
      <c r="H2949">
        <v>23159</v>
      </c>
      <c r="I2949">
        <v>11</v>
      </c>
      <c r="J2949">
        <v>8</v>
      </c>
      <c r="K2949">
        <v>8</v>
      </c>
      <c r="L2949">
        <v>7</v>
      </c>
      <c r="M2949">
        <v>3</v>
      </c>
      <c r="N2949">
        <v>0</v>
      </c>
      <c r="P2949">
        <f>G2949*I2949/100</f>
        <v>351.98900000000003</v>
      </c>
      <c r="Q2949">
        <f t="shared" si="23"/>
        <v>38398.800000000003</v>
      </c>
      <c r="R2949">
        <f>K2949/J2949</f>
        <v>1</v>
      </c>
    </row>
    <row r="2950" spans="1:18" x14ac:dyDescent="0.3">
      <c r="A2950">
        <v>27</v>
      </c>
      <c r="B2950">
        <v>591</v>
      </c>
      <c r="C2950" t="s">
        <v>17</v>
      </c>
      <c r="D2950" t="s">
        <v>18</v>
      </c>
      <c r="E2950">
        <v>40</v>
      </c>
      <c r="F2950" t="s">
        <v>20</v>
      </c>
      <c r="G2950">
        <v>3814.8</v>
      </c>
      <c r="H2950">
        <v>16632</v>
      </c>
      <c r="I2950">
        <v>12</v>
      </c>
      <c r="J2950">
        <v>6</v>
      </c>
      <c r="K2950">
        <v>2</v>
      </c>
      <c r="L2950">
        <v>2</v>
      </c>
      <c r="M2950">
        <v>2</v>
      </c>
      <c r="N2950">
        <v>2</v>
      </c>
      <c r="P2950">
        <f>G2950*I2950/100</f>
        <v>457.77600000000007</v>
      </c>
      <c r="Q2950">
        <f t="shared" si="23"/>
        <v>45777.600000000006</v>
      </c>
      <c r="R2950">
        <f>K2950/J2950</f>
        <v>0.33333333333333331</v>
      </c>
    </row>
    <row r="2951" spans="1:18" x14ac:dyDescent="0.3">
      <c r="A2951">
        <v>32</v>
      </c>
      <c r="B2951">
        <v>1005</v>
      </c>
      <c r="C2951" t="s">
        <v>17</v>
      </c>
      <c r="D2951" t="s">
        <v>18</v>
      </c>
      <c r="E2951">
        <v>79</v>
      </c>
      <c r="F2951" t="s">
        <v>20</v>
      </c>
      <c r="G2951">
        <v>3374.8</v>
      </c>
      <c r="H2951">
        <v>11864</v>
      </c>
      <c r="I2951">
        <v>13</v>
      </c>
      <c r="J2951">
        <v>8</v>
      </c>
      <c r="K2951">
        <v>7</v>
      </c>
      <c r="L2951">
        <v>7</v>
      </c>
      <c r="M2951">
        <v>3</v>
      </c>
      <c r="N2951">
        <v>6</v>
      </c>
      <c r="P2951">
        <f>G2951*I2951/100</f>
        <v>438.72399999999999</v>
      </c>
      <c r="Q2951">
        <f t="shared" si="23"/>
        <v>40497.600000000006</v>
      </c>
      <c r="R2951">
        <f>K2951/J2951</f>
        <v>0.875</v>
      </c>
    </row>
    <row r="2952" spans="1:18" x14ac:dyDescent="0.3">
      <c r="A2952">
        <v>59</v>
      </c>
      <c r="B2952">
        <v>1324</v>
      </c>
      <c r="C2952" t="s">
        <v>17</v>
      </c>
      <c r="D2952" t="s">
        <v>15</v>
      </c>
      <c r="E2952">
        <v>81</v>
      </c>
      <c r="F2952" t="s">
        <v>20</v>
      </c>
      <c r="G2952">
        <v>2937.0000000000005</v>
      </c>
      <c r="H2952">
        <v>9964</v>
      </c>
      <c r="I2952">
        <v>20</v>
      </c>
      <c r="J2952">
        <v>12</v>
      </c>
      <c r="K2952">
        <v>1</v>
      </c>
      <c r="L2952">
        <v>0</v>
      </c>
      <c r="M2952">
        <v>0</v>
      </c>
      <c r="N2952">
        <v>0</v>
      </c>
      <c r="P2952">
        <f>G2952*I2952/100</f>
        <v>587.40000000000009</v>
      </c>
      <c r="Q2952">
        <f t="shared" si="23"/>
        <v>35244.000000000007</v>
      </c>
      <c r="R2952">
        <f>K2952/J2952</f>
        <v>8.3333333333333329E-2</v>
      </c>
    </row>
    <row r="2953" spans="1:18" x14ac:dyDescent="0.3">
      <c r="A2953">
        <v>30</v>
      </c>
      <c r="B2953">
        <v>1358</v>
      </c>
      <c r="C2953" t="s">
        <v>17</v>
      </c>
      <c r="D2953" t="s">
        <v>18</v>
      </c>
      <c r="E2953">
        <v>67</v>
      </c>
      <c r="F2953" t="s">
        <v>20</v>
      </c>
      <c r="G2953">
        <v>2962.3</v>
      </c>
      <c r="H2953">
        <v>13335</v>
      </c>
      <c r="I2953">
        <v>22</v>
      </c>
      <c r="J2953">
        <v>1</v>
      </c>
      <c r="K2953">
        <v>1</v>
      </c>
      <c r="L2953">
        <v>0</v>
      </c>
      <c r="M2953">
        <v>0</v>
      </c>
      <c r="N2953">
        <v>0</v>
      </c>
      <c r="P2953">
        <f>G2953*I2953/100</f>
        <v>651.70600000000002</v>
      </c>
      <c r="Q2953">
        <f t="shared" si="23"/>
        <v>35547.600000000006</v>
      </c>
      <c r="R2953">
        <f>K2953/J2953</f>
        <v>1</v>
      </c>
    </row>
    <row r="2954" spans="1:18" x14ac:dyDescent="0.3">
      <c r="A2954">
        <v>38</v>
      </c>
      <c r="B2954">
        <v>216</v>
      </c>
      <c r="C2954" t="s">
        <v>17</v>
      </c>
      <c r="D2954" t="s">
        <v>18</v>
      </c>
      <c r="E2954">
        <v>44</v>
      </c>
      <c r="F2954" t="s">
        <v>21</v>
      </c>
      <c r="G2954">
        <v>10478.6</v>
      </c>
      <c r="H2954">
        <v>8787</v>
      </c>
      <c r="I2954">
        <v>21</v>
      </c>
      <c r="J2954">
        <v>10</v>
      </c>
      <c r="K2954">
        <v>9</v>
      </c>
      <c r="L2954">
        <v>7</v>
      </c>
      <c r="M2954">
        <v>1</v>
      </c>
      <c r="N2954">
        <v>8</v>
      </c>
      <c r="P2954">
        <f>G2954*I2954/100</f>
        <v>2200.5059999999999</v>
      </c>
      <c r="Q2954">
        <f t="shared" si="23"/>
        <v>125743.20000000001</v>
      </c>
      <c r="R2954">
        <f>K2954/J2954</f>
        <v>0.9</v>
      </c>
    </row>
    <row r="2955" spans="1:18" x14ac:dyDescent="0.3">
      <c r="A2955">
        <v>36</v>
      </c>
      <c r="B2955">
        <v>1299</v>
      </c>
      <c r="C2955" t="s">
        <v>17</v>
      </c>
      <c r="D2955" t="s">
        <v>18</v>
      </c>
      <c r="E2955">
        <v>94</v>
      </c>
      <c r="F2955" t="s">
        <v>22</v>
      </c>
      <c r="G2955">
        <v>5760.7000000000007</v>
      </c>
      <c r="H2955">
        <v>16577</v>
      </c>
      <c r="I2955">
        <v>13</v>
      </c>
      <c r="J2955">
        <v>17</v>
      </c>
      <c r="K2955">
        <v>7</v>
      </c>
      <c r="L2955">
        <v>7</v>
      </c>
      <c r="M2955">
        <v>7</v>
      </c>
      <c r="N2955">
        <v>7</v>
      </c>
      <c r="P2955">
        <f>G2955*I2955/100</f>
        <v>748.89100000000008</v>
      </c>
      <c r="Q2955">
        <f t="shared" si="23"/>
        <v>69128.400000000009</v>
      </c>
      <c r="R2955">
        <f>K2955/J2955</f>
        <v>0.41176470588235292</v>
      </c>
    </row>
    <row r="2956" spans="1:18" x14ac:dyDescent="0.3">
      <c r="A2956">
        <v>35</v>
      </c>
      <c r="B2956">
        <v>809</v>
      </c>
      <c r="C2956" t="s">
        <v>17</v>
      </c>
      <c r="D2956" t="s">
        <v>18</v>
      </c>
      <c r="E2956">
        <v>84</v>
      </c>
      <c r="F2956" t="s">
        <v>20</v>
      </c>
      <c r="G2956">
        <v>2668.6000000000004</v>
      </c>
      <c r="H2956">
        <v>16479</v>
      </c>
      <c r="I2956">
        <v>13</v>
      </c>
      <c r="J2956">
        <v>6</v>
      </c>
      <c r="K2956">
        <v>5</v>
      </c>
      <c r="L2956">
        <v>4</v>
      </c>
      <c r="M2956">
        <v>0</v>
      </c>
      <c r="N2956">
        <v>3</v>
      </c>
      <c r="P2956">
        <f>G2956*I2956/100</f>
        <v>346.91800000000001</v>
      </c>
      <c r="Q2956">
        <f t="shared" si="23"/>
        <v>32023.200000000004</v>
      </c>
      <c r="R2956">
        <f>K2956/J2956</f>
        <v>0.83333333333333337</v>
      </c>
    </row>
    <row r="2957" spans="1:18" x14ac:dyDescent="0.3">
      <c r="A2957">
        <v>29</v>
      </c>
      <c r="B2957">
        <v>153</v>
      </c>
      <c r="C2957" t="s">
        <v>17</v>
      </c>
      <c r="D2957" t="s">
        <v>15</v>
      </c>
      <c r="E2957">
        <v>49</v>
      </c>
      <c r="F2957" t="s">
        <v>20</v>
      </c>
      <c r="G2957">
        <v>4612.3</v>
      </c>
      <c r="H2957">
        <v>12682</v>
      </c>
      <c r="I2957">
        <v>12</v>
      </c>
      <c r="J2957">
        <v>10</v>
      </c>
      <c r="K2957">
        <v>9</v>
      </c>
      <c r="L2957">
        <v>5</v>
      </c>
      <c r="M2957">
        <v>0</v>
      </c>
      <c r="N2957">
        <v>8</v>
      </c>
      <c r="P2957">
        <f>G2957*I2957/100</f>
        <v>553.47600000000011</v>
      </c>
      <c r="Q2957">
        <f t="shared" si="23"/>
        <v>55347.600000000006</v>
      </c>
      <c r="R2957">
        <f>K2957/J2957</f>
        <v>0.9</v>
      </c>
    </row>
    <row r="2958" spans="1:18" x14ac:dyDescent="0.3">
      <c r="A2958">
        <v>31</v>
      </c>
      <c r="B2958">
        <v>670</v>
      </c>
      <c r="C2958" t="s">
        <v>17</v>
      </c>
      <c r="D2958" t="s">
        <v>18</v>
      </c>
      <c r="E2958">
        <v>31</v>
      </c>
      <c r="F2958" t="s">
        <v>19</v>
      </c>
      <c r="G2958">
        <v>3202.1000000000004</v>
      </c>
      <c r="H2958">
        <v>15170</v>
      </c>
      <c r="I2958">
        <v>17</v>
      </c>
      <c r="J2958">
        <v>5</v>
      </c>
      <c r="K2958">
        <v>5</v>
      </c>
      <c r="L2958">
        <v>2</v>
      </c>
      <c r="M2958">
        <v>4</v>
      </c>
      <c r="N2958">
        <v>3</v>
      </c>
      <c r="P2958">
        <f>G2958*I2958/100</f>
        <v>544.35700000000008</v>
      </c>
      <c r="Q2958">
        <f t="shared" si="23"/>
        <v>38425.200000000004</v>
      </c>
      <c r="R2958">
        <f>K2958/J2958</f>
        <v>1</v>
      </c>
    </row>
    <row r="2959" spans="1:18" x14ac:dyDescent="0.3">
      <c r="A2959">
        <v>34</v>
      </c>
      <c r="B2959">
        <v>1346</v>
      </c>
      <c r="C2959" t="s">
        <v>17</v>
      </c>
      <c r="D2959" t="s">
        <v>18</v>
      </c>
      <c r="E2959">
        <v>93</v>
      </c>
      <c r="F2959" t="s">
        <v>20</v>
      </c>
      <c r="G2959">
        <v>2927.1000000000004</v>
      </c>
      <c r="H2959">
        <v>8758</v>
      </c>
      <c r="I2959">
        <v>11</v>
      </c>
      <c r="J2959">
        <v>3</v>
      </c>
      <c r="K2959">
        <v>2</v>
      </c>
      <c r="L2959">
        <v>2</v>
      </c>
      <c r="M2959">
        <v>1</v>
      </c>
      <c r="N2959">
        <v>2</v>
      </c>
      <c r="P2959">
        <f>G2959*I2959/100</f>
        <v>321.98100000000005</v>
      </c>
      <c r="Q2959">
        <f t="shared" si="23"/>
        <v>35125.200000000004</v>
      </c>
      <c r="R2959">
        <f>K2959/J2959</f>
        <v>0.66666666666666663</v>
      </c>
    </row>
    <row r="2960" spans="1:18" x14ac:dyDescent="0.3">
      <c r="A2960">
        <v>28</v>
      </c>
      <c r="B2960">
        <v>103</v>
      </c>
      <c r="C2960" t="s">
        <v>17</v>
      </c>
      <c r="D2960" t="s">
        <v>18</v>
      </c>
      <c r="E2960">
        <v>50</v>
      </c>
      <c r="F2960" t="s">
        <v>20</v>
      </c>
      <c r="G2960">
        <v>2230.8000000000002</v>
      </c>
      <c r="H2960">
        <v>12947</v>
      </c>
      <c r="I2960">
        <v>14</v>
      </c>
      <c r="J2960">
        <v>6</v>
      </c>
      <c r="K2960">
        <v>4</v>
      </c>
      <c r="L2960">
        <v>2</v>
      </c>
      <c r="M2960">
        <v>0</v>
      </c>
      <c r="N2960">
        <v>3</v>
      </c>
      <c r="P2960">
        <f>G2960*I2960/100</f>
        <v>312.31200000000007</v>
      </c>
      <c r="Q2960">
        <f t="shared" si="23"/>
        <v>26769.600000000002</v>
      </c>
      <c r="R2960">
        <f>K2960/J2960</f>
        <v>0.66666666666666663</v>
      </c>
    </row>
    <row r="2961" spans="1:18" x14ac:dyDescent="0.3">
      <c r="A2961">
        <v>29</v>
      </c>
      <c r="B2961">
        <v>1389</v>
      </c>
      <c r="C2961" t="s">
        <v>17</v>
      </c>
      <c r="D2961" t="s">
        <v>15</v>
      </c>
      <c r="E2961">
        <v>51</v>
      </c>
      <c r="F2961" t="s">
        <v>21</v>
      </c>
      <c r="G2961">
        <v>10978</v>
      </c>
      <c r="H2961">
        <v>10195</v>
      </c>
      <c r="I2961">
        <v>11</v>
      </c>
      <c r="J2961">
        <v>10</v>
      </c>
      <c r="K2961">
        <v>10</v>
      </c>
      <c r="L2961">
        <v>9</v>
      </c>
      <c r="M2961">
        <v>8</v>
      </c>
      <c r="N2961">
        <v>8</v>
      </c>
      <c r="P2961">
        <f>G2961*I2961/100</f>
        <v>1207.58</v>
      </c>
      <c r="Q2961">
        <f t="shared" si="23"/>
        <v>131736</v>
      </c>
      <c r="R2961">
        <f>K2961/J2961</f>
        <v>1</v>
      </c>
    </row>
    <row r="2962" spans="1:18" x14ac:dyDescent="0.3">
      <c r="A2962">
        <v>32</v>
      </c>
      <c r="B2962">
        <v>334</v>
      </c>
      <c r="C2962" t="s">
        <v>17</v>
      </c>
      <c r="D2962" t="s">
        <v>18</v>
      </c>
      <c r="E2962">
        <v>80</v>
      </c>
      <c r="F2962" t="s">
        <v>19</v>
      </c>
      <c r="G2962">
        <v>3627.8</v>
      </c>
      <c r="H2962">
        <v>15053</v>
      </c>
      <c r="I2962">
        <v>12</v>
      </c>
      <c r="J2962">
        <v>7</v>
      </c>
      <c r="K2962">
        <v>6</v>
      </c>
      <c r="L2962">
        <v>2</v>
      </c>
      <c r="M2962">
        <v>0</v>
      </c>
      <c r="N2962">
        <v>5</v>
      </c>
      <c r="P2962">
        <f>G2962*I2962/100</f>
        <v>435.33600000000007</v>
      </c>
      <c r="Q2962">
        <f t="shared" si="23"/>
        <v>43533.600000000006</v>
      </c>
      <c r="R2962">
        <f>K2962/J2962</f>
        <v>0.8571428571428571</v>
      </c>
    </row>
    <row r="2963" spans="1:18" x14ac:dyDescent="0.3">
      <c r="A2963">
        <v>22</v>
      </c>
      <c r="B2963">
        <v>1123</v>
      </c>
      <c r="C2963" t="s">
        <v>17</v>
      </c>
      <c r="D2963" t="s">
        <v>18</v>
      </c>
      <c r="E2963">
        <v>96</v>
      </c>
      <c r="F2963" t="s">
        <v>20</v>
      </c>
      <c r="G2963">
        <v>3228.5000000000005</v>
      </c>
      <c r="H2963">
        <v>7324</v>
      </c>
      <c r="I2963">
        <v>13</v>
      </c>
      <c r="J2963">
        <v>1</v>
      </c>
      <c r="K2963">
        <v>1</v>
      </c>
      <c r="L2963">
        <v>0</v>
      </c>
      <c r="M2963">
        <v>0</v>
      </c>
      <c r="N2963">
        <v>0</v>
      </c>
      <c r="P2963">
        <f>G2963*I2963/100</f>
        <v>419.7050000000001</v>
      </c>
      <c r="Q2963">
        <f t="shared" si="23"/>
        <v>38742.000000000007</v>
      </c>
      <c r="R2963">
        <f>K2963/J2963</f>
        <v>1</v>
      </c>
    </row>
    <row r="2964" spans="1:18" x14ac:dyDescent="0.3">
      <c r="A2964">
        <v>53</v>
      </c>
      <c r="B2964">
        <v>1219</v>
      </c>
      <c r="C2964" t="s">
        <v>14</v>
      </c>
      <c r="D2964" t="s">
        <v>15</v>
      </c>
      <c r="E2964">
        <v>78</v>
      </c>
      <c r="F2964" t="s">
        <v>23</v>
      </c>
      <c r="G2964">
        <v>16969.7</v>
      </c>
      <c r="H2964">
        <v>22021</v>
      </c>
      <c r="I2964">
        <v>16</v>
      </c>
      <c r="J2964">
        <v>31</v>
      </c>
      <c r="K2964">
        <v>25</v>
      </c>
      <c r="L2964">
        <v>8</v>
      </c>
      <c r="M2964">
        <v>3</v>
      </c>
      <c r="N2964">
        <v>7</v>
      </c>
      <c r="P2964">
        <f>G2964*I2964/100</f>
        <v>2715.152</v>
      </c>
      <c r="Q2964">
        <f t="shared" si="23"/>
        <v>203636.40000000002</v>
      </c>
      <c r="R2964">
        <f>K2964/J2964</f>
        <v>0.80645161290322576</v>
      </c>
    </row>
    <row r="2965" spans="1:18" x14ac:dyDescent="0.3">
      <c r="A2965">
        <v>38</v>
      </c>
      <c r="B2965">
        <v>371</v>
      </c>
      <c r="C2965" t="s">
        <v>17</v>
      </c>
      <c r="D2965" t="s">
        <v>18</v>
      </c>
      <c r="E2965">
        <v>45</v>
      </c>
      <c r="F2965" t="s">
        <v>19</v>
      </c>
      <c r="G2965">
        <v>4338.4000000000005</v>
      </c>
      <c r="H2965">
        <v>4306</v>
      </c>
      <c r="I2965">
        <v>11</v>
      </c>
      <c r="J2965">
        <v>6</v>
      </c>
      <c r="K2965">
        <v>3</v>
      </c>
      <c r="L2965">
        <v>2</v>
      </c>
      <c r="M2965">
        <v>1</v>
      </c>
      <c r="N2965">
        <v>2</v>
      </c>
      <c r="P2965">
        <f>G2965*I2965/100</f>
        <v>477.2240000000001</v>
      </c>
      <c r="Q2965">
        <f t="shared" si="23"/>
        <v>52060.800000000003</v>
      </c>
      <c r="R2965">
        <f>K2965/J2965</f>
        <v>0.5</v>
      </c>
    </row>
    <row r="2966" spans="1:18" x14ac:dyDescent="0.3">
      <c r="A2966">
        <v>24</v>
      </c>
      <c r="B2966">
        <v>673</v>
      </c>
      <c r="C2966" t="s">
        <v>17</v>
      </c>
      <c r="D2966" t="s">
        <v>15</v>
      </c>
      <c r="E2966">
        <v>96</v>
      </c>
      <c r="F2966" t="s">
        <v>21</v>
      </c>
      <c r="G2966">
        <v>4412.1000000000004</v>
      </c>
      <c r="H2966">
        <v>8232</v>
      </c>
      <c r="I2966">
        <v>18</v>
      </c>
      <c r="J2966">
        <v>5</v>
      </c>
      <c r="K2966">
        <v>4</v>
      </c>
      <c r="L2966">
        <v>2</v>
      </c>
      <c r="M2966">
        <v>1</v>
      </c>
      <c r="N2966">
        <v>3</v>
      </c>
      <c r="P2966">
        <f>G2966*I2966/100</f>
        <v>794.178</v>
      </c>
      <c r="Q2966">
        <f t="shared" si="23"/>
        <v>52945.200000000004</v>
      </c>
      <c r="R2966">
        <f>K2966/J2966</f>
        <v>0.8</v>
      </c>
    </row>
    <row r="2967" spans="1:18" x14ac:dyDescent="0.3">
      <c r="A2967">
        <v>36</v>
      </c>
      <c r="B2967">
        <v>1218</v>
      </c>
      <c r="C2967" t="s">
        <v>14</v>
      </c>
      <c r="D2967" t="s">
        <v>18</v>
      </c>
      <c r="E2967">
        <v>82</v>
      </c>
      <c r="F2967" t="s">
        <v>24</v>
      </c>
      <c r="G2967">
        <v>3747.7000000000003</v>
      </c>
      <c r="H2967">
        <v>6986</v>
      </c>
      <c r="I2967">
        <v>23</v>
      </c>
      <c r="J2967">
        <v>10</v>
      </c>
      <c r="K2967">
        <v>5</v>
      </c>
      <c r="L2967">
        <v>3</v>
      </c>
      <c r="M2967">
        <v>0</v>
      </c>
      <c r="N2967">
        <v>3</v>
      </c>
      <c r="P2967">
        <f>G2967*I2967/100</f>
        <v>861.971</v>
      </c>
      <c r="Q2967">
        <f t="shared" si="23"/>
        <v>44972.4</v>
      </c>
      <c r="R2967">
        <f>K2967/J2967</f>
        <v>0.5</v>
      </c>
    </row>
    <row r="2968" spans="1:18" x14ac:dyDescent="0.3">
      <c r="A2968">
        <v>34</v>
      </c>
      <c r="B2968">
        <v>419</v>
      </c>
      <c r="C2968" t="s">
        <v>17</v>
      </c>
      <c r="D2968" t="s">
        <v>15</v>
      </c>
      <c r="E2968">
        <v>53</v>
      </c>
      <c r="F2968" t="s">
        <v>25</v>
      </c>
      <c r="G2968">
        <v>13193.400000000001</v>
      </c>
      <c r="H2968">
        <v>21293</v>
      </c>
      <c r="I2968">
        <v>11</v>
      </c>
      <c r="J2968">
        <v>13</v>
      </c>
      <c r="K2968">
        <v>12</v>
      </c>
      <c r="L2968">
        <v>6</v>
      </c>
      <c r="M2968">
        <v>2</v>
      </c>
      <c r="N2968">
        <v>11</v>
      </c>
      <c r="P2968">
        <f>G2968*I2968/100</f>
        <v>1451.2740000000003</v>
      </c>
      <c r="Q2968">
        <f t="shared" si="23"/>
        <v>158320.80000000002</v>
      </c>
      <c r="R2968">
        <f>K2968/J2968</f>
        <v>0.92307692307692313</v>
      </c>
    </row>
    <row r="2969" spans="1:18" x14ac:dyDescent="0.3">
      <c r="A2969">
        <v>21</v>
      </c>
      <c r="B2969">
        <v>391</v>
      </c>
      <c r="C2969" t="s">
        <v>17</v>
      </c>
      <c r="D2969" t="s">
        <v>18</v>
      </c>
      <c r="E2969">
        <v>96</v>
      </c>
      <c r="F2969" t="s">
        <v>19</v>
      </c>
      <c r="G2969">
        <v>1355.2</v>
      </c>
      <c r="H2969">
        <v>19281</v>
      </c>
      <c r="I2969">
        <v>14</v>
      </c>
      <c r="J2969">
        <v>0</v>
      </c>
      <c r="K2969">
        <v>0</v>
      </c>
      <c r="L2969">
        <v>0</v>
      </c>
      <c r="M2969">
        <v>0</v>
      </c>
      <c r="N2969">
        <v>0</v>
      </c>
      <c r="P2969">
        <f>G2969*I2969/100</f>
        <v>189.72799999999998</v>
      </c>
      <c r="Q2969">
        <f t="shared" si="23"/>
        <v>16262.400000000001</v>
      </c>
      <c r="R2969" t="e">
        <f>K2969/J2969</f>
        <v>#DIV/0!</v>
      </c>
    </row>
    <row r="2970" spans="1:18" x14ac:dyDescent="0.3">
      <c r="A2970">
        <v>34</v>
      </c>
      <c r="B2970">
        <v>699</v>
      </c>
      <c r="C2970" t="s">
        <v>17</v>
      </c>
      <c r="D2970" t="s">
        <v>18</v>
      </c>
      <c r="E2970">
        <v>83</v>
      </c>
      <c r="F2970" t="s">
        <v>19</v>
      </c>
      <c r="G2970">
        <v>3256.0000000000005</v>
      </c>
      <c r="H2970">
        <v>17102</v>
      </c>
      <c r="I2970">
        <v>11</v>
      </c>
      <c r="J2970">
        <v>8</v>
      </c>
      <c r="K2970">
        <v>4</v>
      </c>
      <c r="L2970">
        <v>2</v>
      </c>
      <c r="M2970">
        <v>1</v>
      </c>
      <c r="N2970">
        <v>3</v>
      </c>
      <c r="P2970">
        <f>G2970*I2970/100</f>
        <v>358.16000000000008</v>
      </c>
      <c r="Q2970">
        <f t="shared" si="23"/>
        <v>39072.000000000007</v>
      </c>
      <c r="R2970">
        <f>K2970/J2970</f>
        <v>0.5</v>
      </c>
    </row>
    <row r="2971" spans="1:18" x14ac:dyDescent="0.3">
      <c r="A2971">
        <v>53</v>
      </c>
      <c r="B2971">
        <v>1282</v>
      </c>
      <c r="C2971" t="s">
        <v>17</v>
      </c>
      <c r="D2971" t="s">
        <v>15</v>
      </c>
      <c r="E2971">
        <v>58</v>
      </c>
      <c r="F2971" t="s">
        <v>23</v>
      </c>
      <c r="G2971">
        <v>21003.4</v>
      </c>
      <c r="H2971">
        <v>10735</v>
      </c>
      <c r="I2971">
        <v>11</v>
      </c>
      <c r="J2971">
        <v>26</v>
      </c>
      <c r="K2971">
        <v>14</v>
      </c>
      <c r="L2971">
        <v>13</v>
      </c>
      <c r="M2971">
        <v>4</v>
      </c>
      <c r="N2971">
        <v>8</v>
      </c>
      <c r="P2971">
        <f>G2971*I2971/100</f>
        <v>2310.3740000000003</v>
      </c>
      <c r="Q2971">
        <f t="shared" si="23"/>
        <v>252040.80000000002</v>
      </c>
      <c r="R2971">
        <f>K2971/J2971</f>
        <v>0.53846153846153844</v>
      </c>
    </row>
    <row r="2972" spans="1:18" x14ac:dyDescent="0.3">
      <c r="A2972">
        <v>32</v>
      </c>
      <c r="B2972">
        <v>1125</v>
      </c>
      <c r="C2972" t="s">
        <v>17</v>
      </c>
      <c r="D2972" t="s">
        <v>15</v>
      </c>
      <c r="E2972">
        <v>72</v>
      </c>
      <c r="F2972" t="s">
        <v>19</v>
      </c>
      <c r="G2972">
        <v>4310.9000000000005</v>
      </c>
      <c r="H2972">
        <v>4681</v>
      </c>
      <c r="I2972">
        <v>22</v>
      </c>
      <c r="J2972">
        <v>10</v>
      </c>
      <c r="K2972">
        <v>10</v>
      </c>
      <c r="L2972">
        <v>2</v>
      </c>
      <c r="M2972">
        <v>6</v>
      </c>
      <c r="N2972">
        <v>7</v>
      </c>
      <c r="P2972">
        <f>G2972*I2972/100</f>
        <v>948.39800000000014</v>
      </c>
      <c r="Q2972">
        <f t="shared" si="23"/>
        <v>51730.8</v>
      </c>
      <c r="R2972">
        <f>K2972/J2972</f>
        <v>1</v>
      </c>
    </row>
    <row r="2973" spans="1:18" x14ac:dyDescent="0.3">
      <c r="A2973">
        <v>42</v>
      </c>
      <c r="B2973">
        <v>691</v>
      </c>
      <c r="C2973" t="s">
        <v>14</v>
      </c>
      <c r="D2973" t="s">
        <v>18</v>
      </c>
      <c r="E2973">
        <v>48</v>
      </c>
      <c r="F2973" t="s">
        <v>16</v>
      </c>
      <c r="G2973">
        <v>7507.5000000000009</v>
      </c>
      <c r="H2973">
        <v>21173</v>
      </c>
      <c r="I2973">
        <v>11</v>
      </c>
      <c r="J2973">
        <v>10</v>
      </c>
      <c r="K2973">
        <v>9</v>
      </c>
      <c r="L2973">
        <v>7</v>
      </c>
      <c r="M2973">
        <v>4</v>
      </c>
      <c r="N2973">
        <v>2</v>
      </c>
      <c r="P2973">
        <f>G2973*I2973/100</f>
        <v>825.82500000000016</v>
      </c>
      <c r="Q2973">
        <f t="shared" si="23"/>
        <v>90090.000000000015</v>
      </c>
      <c r="R2973">
        <f>K2973/J2973</f>
        <v>0.9</v>
      </c>
    </row>
    <row r="2974" spans="1:18" x14ac:dyDescent="0.3">
      <c r="A2974">
        <v>44</v>
      </c>
      <c r="B2974">
        <v>477</v>
      </c>
      <c r="C2974" t="s">
        <v>17</v>
      </c>
      <c r="D2974" t="s">
        <v>15</v>
      </c>
      <c r="E2974">
        <v>42</v>
      </c>
      <c r="F2974" t="s">
        <v>22</v>
      </c>
      <c r="G2974">
        <v>11272.800000000001</v>
      </c>
      <c r="H2974">
        <v>2094</v>
      </c>
      <c r="I2974">
        <v>14</v>
      </c>
      <c r="J2974">
        <v>24</v>
      </c>
      <c r="K2974">
        <v>22</v>
      </c>
      <c r="L2974">
        <v>6</v>
      </c>
      <c r="M2974">
        <v>5</v>
      </c>
      <c r="N2974">
        <v>17</v>
      </c>
      <c r="P2974">
        <f>G2974*I2974/100</f>
        <v>1578.192</v>
      </c>
      <c r="Q2974">
        <f t="shared" si="23"/>
        <v>135273.60000000001</v>
      </c>
      <c r="R2974">
        <f>K2974/J2974</f>
        <v>0.91666666666666663</v>
      </c>
    </row>
    <row r="2975" spans="1:18" x14ac:dyDescent="0.3">
      <c r="A2975">
        <v>46</v>
      </c>
      <c r="B2975">
        <v>705</v>
      </c>
      <c r="C2975" t="s">
        <v>14</v>
      </c>
      <c r="D2975" t="s">
        <v>15</v>
      </c>
      <c r="E2975">
        <v>83</v>
      </c>
      <c r="F2975" t="s">
        <v>23</v>
      </c>
      <c r="G2975">
        <v>20841.7</v>
      </c>
      <c r="H2975">
        <v>22822</v>
      </c>
      <c r="I2975">
        <v>12</v>
      </c>
      <c r="J2975">
        <v>22</v>
      </c>
      <c r="K2975">
        <v>2</v>
      </c>
      <c r="L2975">
        <v>2</v>
      </c>
      <c r="M2975">
        <v>2</v>
      </c>
      <c r="N2975">
        <v>1</v>
      </c>
      <c r="P2975">
        <f>G2975*I2975/100</f>
        <v>2501.0040000000004</v>
      </c>
      <c r="Q2975">
        <f t="shared" si="23"/>
        <v>250100.40000000002</v>
      </c>
      <c r="R2975">
        <f>K2975/J2975</f>
        <v>9.0909090909090912E-2</v>
      </c>
    </row>
    <row r="2976" spans="1:18" x14ac:dyDescent="0.3">
      <c r="A2976">
        <v>33</v>
      </c>
      <c r="B2976">
        <v>924</v>
      </c>
      <c r="C2976" t="s">
        <v>17</v>
      </c>
      <c r="D2976" t="s">
        <v>18</v>
      </c>
      <c r="E2976">
        <v>78</v>
      </c>
      <c r="F2976" t="s">
        <v>20</v>
      </c>
      <c r="G2976">
        <v>2745.6000000000004</v>
      </c>
      <c r="H2976">
        <v>6670</v>
      </c>
      <c r="I2976">
        <v>11</v>
      </c>
      <c r="J2976">
        <v>7</v>
      </c>
      <c r="K2976">
        <v>1</v>
      </c>
      <c r="L2976">
        <v>1</v>
      </c>
      <c r="M2976">
        <v>0</v>
      </c>
      <c r="N2976">
        <v>0</v>
      </c>
      <c r="P2976">
        <f>G2976*I2976/100</f>
        <v>302.01600000000008</v>
      </c>
      <c r="Q2976">
        <f t="shared" si="23"/>
        <v>32947.200000000004</v>
      </c>
      <c r="R2976">
        <f>K2976/J2976</f>
        <v>0.14285714285714285</v>
      </c>
    </row>
    <row r="2977" spans="1:18" x14ac:dyDescent="0.3">
      <c r="A2977">
        <v>44</v>
      </c>
      <c r="B2977">
        <v>1459</v>
      </c>
      <c r="C2977" t="s">
        <v>17</v>
      </c>
      <c r="D2977" t="s">
        <v>18</v>
      </c>
      <c r="E2977">
        <v>41</v>
      </c>
      <c r="F2977" t="s">
        <v>22</v>
      </c>
      <c r="G2977">
        <v>7111.5000000000009</v>
      </c>
      <c r="H2977">
        <v>19121</v>
      </c>
      <c r="I2977">
        <v>13</v>
      </c>
      <c r="J2977">
        <v>9</v>
      </c>
      <c r="K2977">
        <v>4</v>
      </c>
      <c r="L2977">
        <v>2</v>
      </c>
      <c r="M2977">
        <v>1</v>
      </c>
      <c r="N2977">
        <v>3</v>
      </c>
      <c r="P2977">
        <f>G2977*I2977/100</f>
        <v>924.49500000000012</v>
      </c>
      <c r="Q2977">
        <f t="shared" si="23"/>
        <v>85338.000000000015</v>
      </c>
      <c r="R2977">
        <f>K2977/J2977</f>
        <v>0.44444444444444442</v>
      </c>
    </row>
    <row r="2978" spans="1:18" x14ac:dyDescent="0.3">
      <c r="A2978">
        <v>30</v>
      </c>
      <c r="B2978">
        <v>125</v>
      </c>
      <c r="C2978" t="s">
        <v>17</v>
      </c>
      <c r="D2978" t="s">
        <v>18</v>
      </c>
      <c r="E2978">
        <v>83</v>
      </c>
      <c r="F2978" t="s">
        <v>20</v>
      </c>
      <c r="G2978">
        <v>2426.6000000000004</v>
      </c>
      <c r="H2978">
        <v>16117</v>
      </c>
      <c r="I2978">
        <v>13</v>
      </c>
      <c r="J2978">
        <v>10</v>
      </c>
      <c r="K2978">
        <v>10</v>
      </c>
      <c r="L2978">
        <v>0</v>
      </c>
      <c r="M2978">
        <v>1</v>
      </c>
      <c r="N2978">
        <v>8</v>
      </c>
      <c r="P2978">
        <f>G2978*I2978/100</f>
        <v>315.45800000000003</v>
      </c>
      <c r="Q2978">
        <f t="shared" si="23"/>
        <v>29119.200000000004</v>
      </c>
      <c r="R2978">
        <f>K2978/J2978</f>
        <v>1</v>
      </c>
    </row>
    <row r="2979" spans="1:18" x14ac:dyDescent="0.3">
      <c r="A2979">
        <v>39</v>
      </c>
      <c r="B2979">
        <v>895</v>
      </c>
      <c r="C2979" t="s">
        <v>14</v>
      </c>
      <c r="D2979" t="s">
        <v>18</v>
      </c>
      <c r="E2979">
        <v>56</v>
      </c>
      <c r="F2979" t="s">
        <v>24</v>
      </c>
      <c r="G2979">
        <v>2294.6000000000004</v>
      </c>
      <c r="H2979">
        <v>3335</v>
      </c>
      <c r="I2979">
        <v>14</v>
      </c>
      <c r="J2979">
        <v>19</v>
      </c>
      <c r="K2979">
        <v>1</v>
      </c>
      <c r="L2979">
        <v>0</v>
      </c>
      <c r="M2979">
        <v>0</v>
      </c>
      <c r="N2979">
        <v>0</v>
      </c>
      <c r="P2979">
        <f>G2979*I2979/100</f>
        <v>321.24400000000003</v>
      </c>
      <c r="Q2979">
        <f t="shared" si="23"/>
        <v>27535.200000000004</v>
      </c>
      <c r="R2979">
        <f>K2979/J2979</f>
        <v>5.2631578947368418E-2</v>
      </c>
    </row>
    <row r="2980" spans="1:18" x14ac:dyDescent="0.3">
      <c r="A2980">
        <v>24</v>
      </c>
      <c r="B2980">
        <v>813</v>
      </c>
      <c r="C2980" t="s">
        <v>17</v>
      </c>
      <c r="D2980" t="s">
        <v>18</v>
      </c>
      <c r="E2980">
        <v>61</v>
      </c>
      <c r="F2980" t="s">
        <v>19</v>
      </c>
      <c r="G2980">
        <v>2522.3000000000002</v>
      </c>
      <c r="H2980">
        <v>3020</v>
      </c>
      <c r="I2980">
        <v>16</v>
      </c>
      <c r="J2980">
        <v>6</v>
      </c>
      <c r="K2980">
        <v>2</v>
      </c>
      <c r="L2980">
        <v>0</v>
      </c>
      <c r="M2980">
        <v>2</v>
      </c>
      <c r="N2980">
        <v>0</v>
      </c>
      <c r="P2980">
        <f>G2980*I2980/100</f>
        <v>403.56800000000004</v>
      </c>
      <c r="Q2980">
        <f t="shared" si="23"/>
        <v>30267.600000000002</v>
      </c>
      <c r="R2980">
        <f>K2980/J2980</f>
        <v>0.33333333333333331</v>
      </c>
    </row>
    <row r="2981" spans="1:18" x14ac:dyDescent="0.3">
      <c r="A2981">
        <v>43</v>
      </c>
      <c r="B2981">
        <v>1273</v>
      </c>
      <c r="C2981" t="s">
        <v>17</v>
      </c>
      <c r="D2981" t="s">
        <v>15</v>
      </c>
      <c r="E2981">
        <v>72</v>
      </c>
      <c r="F2981" t="s">
        <v>19</v>
      </c>
      <c r="G2981">
        <v>2909.5000000000005</v>
      </c>
      <c r="H2981">
        <v>21923</v>
      </c>
      <c r="I2981">
        <v>12</v>
      </c>
      <c r="J2981">
        <v>6</v>
      </c>
      <c r="K2981">
        <v>5</v>
      </c>
      <c r="L2981">
        <v>3</v>
      </c>
      <c r="M2981">
        <v>1</v>
      </c>
      <c r="N2981">
        <v>4</v>
      </c>
      <c r="P2981">
        <f>G2981*I2981/100</f>
        <v>349.1400000000001</v>
      </c>
      <c r="Q2981">
        <f t="shared" si="23"/>
        <v>34914.000000000007</v>
      </c>
      <c r="R2981">
        <f>K2981/J2981</f>
        <v>0.83333333333333337</v>
      </c>
    </row>
    <row r="2982" spans="1:18" x14ac:dyDescent="0.3">
      <c r="A2982">
        <v>50</v>
      </c>
      <c r="B2982">
        <v>869</v>
      </c>
      <c r="C2982" t="s">
        <v>14</v>
      </c>
      <c r="D2982" t="s">
        <v>18</v>
      </c>
      <c r="E2982">
        <v>86</v>
      </c>
      <c r="F2982" t="s">
        <v>24</v>
      </c>
      <c r="G2982">
        <v>2951.3</v>
      </c>
      <c r="H2982">
        <v>3810</v>
      </c>
      <c r="I2982">
        <v>14</v>
      </c>
      <c r="J2982">
        <v>3</v>
      </c>
      <c r="K2982">
        <v>3</v>
      </c>
      <c r="L2982">
        <v>2</v>
      </c>
      <c r="M2982">
        <v>0</v>
      </c>
      <c r="N2982">
        <v>2</v>
      </c>
      <c r="P2982">
        <f>G2982*I2982/100</f>
        <v>413.18200000000002</v>
      </c>
      <c r="Q2982">
        <f t="shared" si="23"/>
        <v>35415.600000000006</v>
      </c>
      <c r="R2982">
        <f>K2982/J2982</f>
        <v>1</v>
      </c>
    </row>
    <row r="2983" spans="1:18" x14ac:dyDescent="0.3">
      <c r="A2983">
        <v>35</v>
      </c>
      <c r="B2983">
        <v>890</v>
      </c>
      <c r="C2983" t="s">
        <v>14</v>
      </c>
      <c r="D2983" t="s">
        <v>15</v>
      </c>
      <c r="E2983">
        <v>97</v>
      </c>
      <c r="F2983" t="s">
        <v>24</v>
      </c>
      <c r="G2983">
        <v>2215.4</v>
      </c>
      <c r="H2983">
        <v>9687</v>
      </c>
      <c r="I2983">
        <v>13</v>
      </c>
      <c r="J2983">
        <v>2</v>
      </c>
      <c r="K2983">
        <v>2</v>
      </c>
      <c r="L2983">
        <v>2</v>
      </c>
      <c r="M2983">
        <v>2</v>
      </c>
      <c r="N2983">
        <v>2</v>
      </c>
      <c r="P2983">
        <f>G2983*I2983/100</f>
        <v>288.00200000000001</v>
      </c>
      <c r="Q2983">
        <f t="shared" si="23"/>
        <v>26584.800000000003</v>
      </c>
      <c r="R2983">
        <f>K2983/J2983</f>
        <v>1</v>
      </c>
    </row>
    <row r="2984" spans="1:18" x14ac:dyDescent="0.3">
      <c r="A2984">
        <v>36</v>
      </c>
      <c r="B2984">
        <v>852</v>
      </c>
      <c r="C2984" t="s">
        <v>17</v>
      </c>
      <c r="D2984" t="s">
        <v>15</v>
      </c>
      <c r="E2984">
        <v>82</v>
      </c>
      <c r="F2984" t="s">
        <v>19</v>
      </c>
      <c r="G2984">
        <v>3760.9</v>
      </c>
      <c r="H2984">
        <v>13072</v>
      </c>
      <c r="I2984">
        <v>14</v>
      </c>
      <c r="J2984">
        <v>6</v>
      </c>
      <c r="K2984">
        <v>1</v>
      </c>
      <c r="L2984">
        <v>1</v>
      </c>
      <c r="M2984">
        <v>0</v>
      </c>
      <c r="N2984">
        <v>0</v>
      </c>
      <c r="P2984">
        <f>G2984*I2984/100</f>
        <v>526.52599999999995</v>
      </c>
      <c r="Q2984">
        <f t="shared" si="23"/>
        <v>45130.8</v>
      </c>
      <c r="R2984">
        <f>K2984/J2984</f>
        <v>0.16666666666666666</v>
      </c>
    </row>
    <row r="2985" spans="1:18" x14ac:dyDescent="0.3">
      <c r="A2985">
        <v>33</v>
      </c>
      <c r="B2985">
        <v>1141</v>
      </c>
      <c r="C2985" t="s">
        <v>14</v>
      </c>
      <c r="D2985" t="s">
        <v>15</v>
      </c>
      <c r="E2985">
        <v>42</v>
      </c>
      <c r="F2985" t="s">
        <v>16</v>
      </c>
      <c r="G2985">
        <v>5913.6</v>
      </c>
      <c r="H2985">
        <v>3193</v>
      </c>
      <c r="I2985">
        <v>19</v>
      </c>
      <c r="J2985">
        <v>10</v>
      </c>
      <c r="K2985">
        <v>5</v>
      </c>
      <c r="L2985">
        <v>3</v>
      </c>
      <c r="M2985">
        <v>1</v>
      </c>
      <c r="N2985">
        <v>3</v>
      </c>
      <c r="P2985">
        <f>G2985*I2985/100</f>
        <v>1123.5840000000001</v>
      </c>
      <c r="Q2985">
        <f t="shared" si="23"/>
        <v>70963.200000000012</v>
      </c>
      <c r="R2985">
        <f>K2985/J2985</f>
        <v>0.5</v>
      </c>
    </row>
    <row r="2986" spans="1:18" x14ac:dyDescent="0.3">
      <c r="A2986">
        <v>35</v>
      </c>
      <c r="B2986">
        <v>464</v>
      </c>
      <c r="C2986" t="s">
        <v>17</v>
      </c>
      <c r="D2986" t="s">
        <v>18</v>
      </c>
      <c r="E2986">
        <v>75</v>
      </c>
      <c r="F2986" t="s">
        <v>20</v>
      </c>
      <c r="G2986">
        <v>2146.1000000000004</v>
      </c>
      <c r="H2986">
        <v>10910</v>
      </c>
      <c r="I2986">
        <v>12</v>
      </c>
      <c r="J2986">
        <v>1</v>
      </c>
      <c r="K2986">
        <v>1</v>
      </c>
      <c r="L2986">
        <v>0</v>
      </c>
      <c r="M2986">
        <v>0</v>
      </c>
      <c r="N2986">
        <v>0</v>
      </c>
      <c r="P2986">
        <f>G2986*I2986/100</f>
        <v>257.53200000000004</v>
      </c>
      <c r="Q2986">
        <f t="shared" si="23"/>
        <v>25753.200000000004</v>
      </c>
      <c r="R2986">
        <f>K2986/J2986</f>
        <v>1</v>
      </c>
    </row>
    <row r="2987" spans="1:18" x14ac:dyDescent="0.3">
      <c r="A2987">
        <v>27</v>
      </c>
      <c r="B2987">
        <v>1240</v>
      </c>
      <c r="C2987" t="s">
        <v>17</v>
      </c>
      <c r="D2987" t="s">
        <v>15</v>
      </c>
      <c r="E2987">
        <v>33</v>
      </c>
      <c r="F2987" t="s">
        <v>20</v>
      </c>
      <c r="G2987">
        <v>2575.1000000000004</v>
      </c>
      <c r="H2987">
        <v>19715</v>
      </c>
      <c r="I2987">
        <v>13</v>
      </c>
      <c r="J2987">
        <v>1</v>
      </c>
      <c r="K2987">
        <v>1</v>
      </c>
      <c r="L2987">
        <v>0</v>
      </c>
      <c r="M2987">
        <v>0</v>
      </c>
      <c r="N2987">
        <v>0</v>
      </c>
      <c r="P2987">
        <f>G2987*I2987/100</f>
        <v>334.76300000000003</v>
      </c>
      <c r="Q2987">
        <f t="shared" si="23"/>
        <v>30901.200000000004</v>
      </c>
      <c r="R2987">
        <f>K2987/J2987</f>
        <v>1</v>
      </c>
    </row>
    <row r="2988" spans="1:18" x14ac:dyDescent="0.3">
      <c r="A2988">
        <v>26</v>
      </c>
      <c r="B2988">
        <v>1357</v>
      </c>
      <c r="C2988" t="s">
        <v>17</v>
      </c>
      <c r="D2988" t="s">
        <v>18</v>
      </c>
      <c r="E2988">
        <v>48</v>
      </c>
      <c r="F2988" t="s">
        <v>20</v>
      </c>
      <c r="G2988">
        <v>2522.3000000000002</v>
      </c>
      <c r="H2988">
        <v>10558</v>
      </c>
      <c r="I2988">
        <v>12</v>
      </c>
      <c r="J2988">
        <v>1</v>
      </c>
      <c r="K2988">
        <v>1</v>
      </c>
      <c r="L2988">
        <v>0</v>
      </c>
      <c r="M2988">
        <v>0</v>
      </c>
      <c r="N2988">
        <v>1</v>
      </c>
      <c r="P2988">
        <f>G2988*I2988/100</f>
        <v>302.67600000000004</v>
      </c>
      <c r="Q2988">
        <f t="shared" si="23"/>
        <v>30267.600000000002</v>
      </c>
      <c r="R2988">
        <f>K2988/J2988</f>
        <v>1</v>
      </c>
    </row>
    <row r="2989" spans="1:18" x14ac:dyDescent="0.3">
      <c r="A2989">
        <v>27</v>
      </c>
      <c r="B2989">
        <v>994</v>
      </c>
      <c r="C2989" t="s">
        <v>14</v>
      </c>
      <c r="D2989" t="s">
        <v>18</v>
      </c>
      <c r="E2989">
        <v>37</v>
      </c>
      <c r="F2989" t="s">
        <v>16</v>
      </c>
      <c r="G2989">
        <v>9598.6</v>
      </c>
      <c r="H2989">
        <v>2975</v>
      </c>
      <c r="I2989">
        <v>15</v>
      </c>
      <c r="J2989">
        <v>9</v>
      </c>
      <c r="K2989">
        <v>9</v>
      </c>
      <c r="L2989">
        <v>8</v>
      </c>
      <c r="M2989">
        <v>1</v>
      </c>
      <c r="N2989">
        <v>7</v>
      </c>
      <c r="P2989">
        <f>G2989*I2989/100</f>
        <v>1439.79</v>
      </c>
      <c r="Q2989">
        <f t="shared" si="23"/>
        <v>115183.20000000001</v>
      </c>
      <c r="R2989">
        <f>K2989/J2989</f>
        <v>1</v>
      </c>
    </row>
    <row r="2990" spans="1:18" x14ac:dyDescent="0.3">
      <c r="A2990">
        <v>30</v>
      </c>
      <c r="B2990">
        <v>721</v>
      </c>
      <c r="C2990" t="s">
        <v>17</v>
      </c>
      <c r="D2990" t="s">
        <v>15</v>
      </c>
      <c r="E2990">
        <v>58</v>
      </c>
      <c r="F2990" t="s">
        <v>20</v>
      </c>
      <c r="G2990">
        <v>4412.1000000000004</v>
      </c>
      <c r="H2990">
        <v>10781</v>
      </c>
      <c r="I2990">
        <v>23</v>
      </c>
      <c r="J2990">
        <v>12</v>
      </c>
      <c r="K2990">
        <v>12</v>
      </c>
      <c r="L2990">
        <v>8</v>
      </c>
      <c r="M2990">
        <v>3</v>
      </c>
      <c r="N2990">
        <v>7</v>
      </c>
      <c r="P2990">
        <f>G2990*I2990/100</f>
        <v>1014.783</v>
      </c>
      <c r="Q2990">
        <f t="shared" si="23"/>
        <v>52945.200000000004</v>
      </c>
      <c r="R2990">
        <f>K2990/J2990</f>
        <v>1</v>
      </c>
    </row>
    <row r="2991" spans="1:18" x14ac:dyDescent="0.3">
      <c r="A2991">
        <v>41</v>
      </c>
      <c r="B2991">
        <v>1360</v>
      </c>
      <c r="C2991" t="s">
        <v>17</v>
      </c>
      <c r="D2991" t="s">
        <v>15</v>
      </c>
      <c r="E2991">
        <v>49</v>
      </c>
      <c r="F2991" t="s">
        <v>25</v>
      </c>
      <c r="G2991">
        <v>21499.5</v>
      </c>
      <c r="H2991">
        <v>16280</v>
      </c>
      <c r="I2991">
        <v>12</v>
      </c>
      <c r="J2991">
        <v>23</v>
      </c>
      <c r="K2991">
        <v>22</v>
      </c>
      <c r="L2991">
        <v>15</v>
      </c>
      <c r="M2991">
        <v>15</v>
      </c>
      <c r="N2991">
        <v>8</v>
      </c>
      <c r="P2991">
        <f>G2991*I2991/100</f>
        <v>2579.94</v>
      </c>
      <c r="Q2991">
        <f t="shared" si="23"/>
        <v>257994</v>
      </c>
      <c r="R2991">
        <f>K2991/J2991</f>
        <v>0.95652173913043481</v>
      </c>
    </row>
    <row r="2992" spans="1:18" x14ac:dyDescent="0.3">
      <c r="A2992">
        <v>34</v>
      </c>
      <c r="B2992">
        <v>1065</v>
      </c>
      <c r="C2992" t="s">
        <v>14</v>
      </c>
      <c r="D2992" t="s">
        <v>18</v>
      </c>
      <c r="E2992">
        <v>72</v>
      </c>
      <c r="F2992" t="s">
        <v>16</v>
      </c>
      <c r="G2992">
        <v>5024.8</v>
      </c>
      <c r="H2992">
        <v>10034</v>
      </c>
      <c r="I2992">
        <v>20</v>
      </c>
      <c r="J2992">
        <v>10</v>
      </c>
      <c r="K2992">
        <v>9</v>
      </c>
      <c r="L2992">
        <v>5</v>
      </c>
      <c r="M2992">
        <v>8</v>
      </c>
      <c r="N2992">
        <v>7</v>
      </c>
      <c r="P2992">
        <f>G2992*I2992/100</f>
        <v>1004.96</v>
      </c>
      <c r="Q2992">
        <f t="shared" si="23"/>
        <v>60297.600000000006</v>
      </c>
      <c r="R2992">
        <f>K2992/J2992</f>
        <v>0.9</v>
      </c>
    </row>
    <row r="2993" spans="1:18" x14ac:dyDescent="0.3">
      <c r="A2993">
        <v>37</v>
      </c>
      <c r="B2993">
        <v>408</v>
      </c>
      <c r="C2993" t="s">
        <v>17</v>
      </c>
      <c r="D2993" t="s">
        <v>18</v>
      </c>
      <c r="E2993">
        <v>73</v>
      </c>
      <c r="F2993" t="s">
        <v>19</v>
      </c>
      <c r="G2993">
        <v>3324.2000000000003</v>
      </c>
      <c r="H2993">
        <v>10227</v>
      </c>
      <c r="I2993">
        <v>21</v>
      </c>
      <c r="J2993">
        <v>8</v>
      </c>
      <c r="K2993">
        <v>1</v>
      </c>
      <c r="L2993">
        <v>0</v>
      </c>
      <c r="M2993">
        <v>0</v>
      </c>
      <c r="N2993">
        <v>0</v>
      </c>
      <c r="P2993">
        <f>G2993*I2993/100</f>
        <v>698.08200000000011</v>
      </c>
      <c r="Q2993">
        <f t="shared" si="23"/>
        <v>39890.400000000001</v>
      </c>
      <c r="R2993">
        <f>K2993/J2993</f>
        <v>0.125</v>
      </c>
    </row>
    <row r="2994" spans="1:18" x14ac:dyDescent="0.3">
      <c r="A2994">
        <v>46</v>
      </c>
      <c r="B2994">
        <v>1211</v>
      </c>
      <c r="C2994" t="s">
        <v>14</v>
      </c>
      <c r="D2994" t="s">
        <v>18</v>
      </c>
      <c r="E2994">
        <v>98</v>
      </c>
      <c r="F2994" t="s">
        <v>16</v>
      </c>
      <c r="G2994">
        <v>6349.2000000000007</v>
      </c>
      <c r="H2994">
        <v>20445</v>
      </c>
      <c r="I2994">
        <v>21</v>
      </c>
      <c r="J2994">
        <v>14</v>
      </c>
      <c r="K2994">
        <v>9</v>
      </c>
      <c r="L2994">
        <v>6</v>
      </c>
      <c r="M2994">
        <v>0</v>
      </c>
      <c r="N2994">
        <v>8</v>
      </c>
      <c r="P2994">
        <f>G2994*I2994/100</f>
        <v>1333.3320000000001</v>
      </c>
      <c r="Q2994">
        <f t="shared" si="23"/>
        <v>76190.400000000009</v>
      </c>
      <c r="R2994">
        <f>K2994/J2994</f>
        <v>0.6428571428571429</v>
      </c>
    </row>
    <row r="2995" spans="1:18" x14ac:dyDescent="0.3">
      <c r="A2995">
        <v>35</v>
      </c>
      <c r="B2995">
        <v>1229</v>
      </c>
      <c r="C2995" t="s">
        <v>17</v>
      </c>
      <c r="D2995" t="s">
        <v>18</v>
      </c>
      <c r="E2995">
        <v>36</v>
      </c>
      <c r="F2995" t="s">
        <v>20</v>
      </c>
      <c r="G2995">
        <v>2495.9</v>
      </c>
      <c r="H2995">
        <v>4892</v>
      </c>
      <c r="I2995">
        <v>19</v>
      </c>
      <c r="J2995">
        <v>1</v>
      </c>
      <c r="K2995">
        <v>1</v>
      </c>
      <c r="L2995">
        <v>0</v>
      </c>
      <c r="M2995">
        <v>0</v>
      </c>
      <c r="N2995">
        <v>1</v>
      </c>
      <c r="P2995">
        <f>G2995*I2995/100</f>
        <v>474.221</v>
      </c>
      <c r="Q2995">
        <f t="shared" si="23"/>
        <v>29950.800000000003</v>
      </c>
      <c r="R2995">
        <f>K2995/J2995</f>
        <v>1</v>
      </c>
    </row>
    <row r="2996" spans="1:18" x14ac:dyDescent="0.3">
      <c r="A2996">
        <v>48</v>
      </c>
      <c r="B2996">
        <v>626</v>
      </c>
      <c r="C2996" t="s">
        <v>17</v>
      </c>
      <c r="D2996" t="s">
        <v>18</v>
      </c>
      <c r="E2996">
        <v>98</v>
      </c>
      <c r="F2996" t="s">
        <v>20</v>
      </c>
      <c r="G2996">
        <v>5919.1</v>
      </c>
      <c r="H2996">
        <v>19294</v>
      </c>
      <c r="I2996">
        <v>13</v>
      </c>
      <c r="J2996">
        <v>23</v>
      </c>
      <c r="K2996">
        <v>1</v>
      </c>
      <c r="L2996">
        <v>0</v>
      </c>
      <c r="M2996">
        <v>0</v>
      </c>
      <c r="N2996">
        <v>0</v>
      </c>
      <c r="P2996">
        <f>G2996*I2996/100</f>
        <v>769.48300000000006</v>
      </c>
      <c r="Q2996">
        <f t="shared" si="23"/>
        <v>71029.200000000012</v>
      </c>
      <c r="R2996">
        <f>K2996/J2996</f>
        <v>4.3478260869565216E-2</v>
      </c>
    </row>
    <row r="2997" spans="1:18" x14ac:dyDescent="0.3">
      <c r="A2997">
        <v>28</v>
      </c>
      <c r="B2997">
        <v>1434</v>
      </c>
      <c r="C2997" t="s">
        <v>17</v>
      </c>
      <c r="D2997" t="s">
        <v>18</v>
      </c>
      <c r="E2997">
        <v>50</v>
      </c>
      <c r="F2997" t="s">
        <v>20</v>
      </c>
      <c r="G2997">
        <v>3785.1000000000004</v>
      </c>
      <c r="H2997">
        <v>11179</v>
      </c>
      <c r="I2997">
        <v>13</v>
      </c>
      <c r="J2997">
        <v>2</v>
      </c>
      <c r="K2997">
        <v>2</v>
      </c>
      <c r="L2997">
        <v>2</v>
      </c>
      <c r="M2997">
        <v>2</v>
      </c>
      <c r="N2997">
        <v>2</v>
      </c>
      <c r="P2997">
        <f>G2997*I2997/100</f>
        <v>492.06300000000005</v>
      </c>
      <c r="Q2997">
        <f t="shared" si="23"/>
        <v>45421.200000000004</v>
      </c>
      <c r="R2997">
        <f>K2997/J2997</f>
        <v>1</v>
      </c>
    </row>
    <row r="2998" spans="1:18" x14ac:dyDescent="0.3">
      <c r="A2998">
        <v>44</v>
      </c>
      <c r="B2998">
        <v>1488</v>
      </c>
      <c r="C2998" t="s">
        <v>14</v>
      </c>
      <c r="D2998" t="s">
        <v>15</v>
      </c>
      <c r="E2998">
        <v>75</v>
      </c>
      <c r="F2998" t="s">
        <v>16</v>
      </c>
      <c r="G2998">
        <v>5999.4000000000005</v>
      </c>
      <c r="H2998">
        <v>4009</v>
      </c>
      <c r="I2998">
        <v>21</v>
      </c>
      <c r="J2998">
        <v>9</v>
      </c>
      <c r="K2998">
        <v>4</v>
      </c>
      <c r="L2998">
        <v>3</v>
      </c>
      <c r="M2998">
        <v>1</v>
      </c>
      <c r="N2998">
        <v>3</v>
      </c>
      <c r="P2998">
        <f>G2998*I2998/100</f>
        <v>1259.874</v>
      </c>
      <c r="Q2998">
        <f t="shared" si="23"/>
        <v>71992.800000000003</v>
      </c>
      <c r="R2998">
        <f>K2998/J2998</f>
        <v>0.44444444444444442</v>
      </c>
    </row>
    <row r="2999" spans="1:18" x14ac:dyDescent="0.3">
      <c r="A2999">
        <v>35</v>
      </c>
      <c r="B2999">
        <v>1097</v>
      </c>
      <c r="C2999" t="s">
        <v>17</v>
      </c>
      <c r="D2999" t="s">
        <v>18</v>
      </c>
      <c r="E2999">
        <v>79</v>
      </c>
      <c r="F2999" t="s">
        <v>22</v>
      </c>
      <c r="G2999">
        <v>10872.400000000001</v>
      </c>
      <c r="H2999">
        <v>8302</v>
      </c>
      <c r="I2999">
        <v>13</v>
      </c>
      <c r="J2999">
        <v>10</v>
      </c>
      <c r="K2999">
        <v>4</v>
      </c>
      <c r="L2999">
        <v>0</v>
      </c>
      <c r="M2999">
        <v>2</v>
      </c>
      <c r="N2999">
        <v>3</v>
      </c>
      <c r="P2999">
        <f>G2999*I2999/100</f>
        <v>1413.412</v>
      </c>
      <c r="Q2999">
        <f t="shared" si="23"/>
        <v>130468.80000000002</v>
      </c>
      <c r="R2999">
        <f>K2999/J2999</f>
        <v>0.4</v>
      </c>
    </row>
    <row r="3000" spans="1:18" x14ac:dyDescent="0.3">
      <c r="A3000">
        <v>26</v>
      </c>
      <c r="B3000">
        <v>1443</v>
      </c>
      <c r="C3000" t="s">
        <v>14</v>
      </c>
      <c r="D3000" t="s">
        <v>15</v>
      </c>
      <c r="E3000">
        <v>47</v>
      </c>
      <c r="F3000" t="s">
        <v>16</v>
      </c>
      <c r="G3000">
        <v>4572.7000000000007</v>
      </c>
      <c r="H3000">
        <v>21436</v>
      </c>
      <c r="I3000">
        <v>19</v>
      </c>
      <c r="J3000">
        <v>5</v>
      </c>
      <c r="K3000">
        <v>2</v>
      </c>
      <c r="L3000">
        <v>2</v>
      </c>
      <c r="M3000">
        <v>0</v>
      </c>
      <c r="N3000">
        <v>0</v>
      </c>
      <c r="P3000">
        <f>G3000*I3000/100</f>
        <v>868.81300000000022</v>
      </c>
      <c r="Q3000">
        <f t="shared" si="23"/>
        <v>54872.400000000009</v>
      </c>
      <c r="R3000">
        <f>K3000/J3000</f>
        <v>0.4</v>
      </c>
    </row>
    <row r="3001" spans="1:18" x14ac:dyDescent="0.3">
      <c r="A3001">
        <v>33</v>
      </c>
      <c r="B3001">
        <v>515</v>
      </c>
      <c r="C3001" t="s">
        <v>17</v>
      </c>
      <c r="D3001" t="s">
        <v>15</v>
      </c>
      <c r="E3001">
        <v>98</v>
      </c>
      <c r="F3001" t="s">
        <v>25</v>
      </c>
      <c r="G3001">
        <v>14803.800000000001</v>
      </c>
      <c r="H3001">
        <v>15146</v>
      </c>
      <c r="I3001">
        <v>12</v>
      </c>
      <c r="J3001">
        <v>15</v>
      </c>
      <c r="K3001">
        <v>15</v>
      </c>
      <c r="L3001">
        <v>14</v>
      </c>
      <c r="M3001">
        <v>8</v>
      </c>
      <c r="N3001">
        <v>12</v>
      </c>
      <c r="P3001">
        <f>G3001*I3001/100</f>
        <v>1776.4560000000001</v>
      </c>
      <c r="Q3001">
        <f t="shared" si="23"/>
        <v>177645.6</v>
      </c>
      <c r="R3001">
        <f>K3001/J3001</f>
        <v>1</v>
      </c>
    </row>
    <row r="3002" spans="1:18" x14ac:dyDescent="0.3">
      <c r="A3002">
        <v>35</v>
      </c>
      <c r="B3002">
        <v>853</v>
      </c>
      <c r="C3002" t="s">
        <v>14</v>
      </c>
      <c r="D3002" t="s">
        <v>18</v>
      </c>
      <c r="E3002">
        <v>71</v>
      </c>
      <c r="F3002" t="s">
        <v>16</v>
      </c>
      <c r="G3002">
        <v>9975.9000000000015</v>
      </c>
      <c r="H3002">
        <v>11031</v>
      </c>
      <c r="I3002">
        <v>22</v>
      </c>
      <c r="J3002">
        <v>9</v>
      </c>
      <c r="K3002">
        <v>9</v>
      </c>
      <c r="L3002">
        <v>8</v>
      </c>
      <c r="M3002">
        <v>1</v>
      </c>
      <c r="N3002">
        <v>8</v>
      </c>
      <c r="P3002">
        <f>G3002*I3002/100</f>
        <v>2194.6980000000003</v>
      </c>
      <c r="Q3002">
        <f t="shared" si="23"/>
        <v>119710.80000000002</v>
      </c>
      <c r="R3002">
        <f>K3002/J3002</f>
        <v>1</v>
      </c>
    </row>
    <row r="3003" spans="1:18" x14ac:dyDescent="0.3">
      <c r="A3003">
        <v>35</v>
      </c>
      <c r="B3003">
        <v>1142</v>
      </c>
      <c r="C3003" t="s">
        <v>17</v>
      </c>
      <c r="D3003" t="s">
        <v>15</v>
      </c>
      <c r="E3003">
        <v>30</v>
      </c>
      <c r="F3003" t="s">
        <v>20</v>
      </c>
      <c r="G3003">
        <v>4415.4000000000005</v>
      </c>
      <c r="H3003">
        <v>16002</v>
      </c>
      <c r="I3003">
        <v>15</v>
      </c>
      <c r="J3003">
        <v>4</v>
      </c>
      <c r="K3003">
        <v>2</v>
      </c>
      <c r="L3003">
        <v>2</v>
      </c>
      <c r="M3003">
        <v>2</v>
      </c>
      <c r="N3003">
        <v>2</v>
      </c>
      <c r="P3003">
        <f>G3003*I3003/100</f>
        <v>662.31000000000017</v>
      </c>
      <c r="Q3003">
        <f t="shared" si="23"/>
        <v>52984.800000000003</v>
      </c>
      <c r="R3003">
        <f>K3003/J3003</f>
        <v>0.5</v>
      </c>
    </row>
    <row r="3004" spans="1:18" x14ac:dyDescent="0.3">
      <c r="A3004">
        <v>31</v>
      </c>
      <c r="B3004">
        <v>655</v>
      </c>
      <c r="C3004" t="s">
        <v>17</v>
      </c>
      <c r="D3004" t="s">
        <v>18</v>
      </c>
      <c r="E3004">
        <v>48</v>
      </c>
      <c r="F3004" t="s">
        <v>20</v>
      </c>
      <c r="G3004">
        <v>6506.5000000000009</v>
      </c>
      <c r="H3004">
        <v>9528</v>
      </c>
      <c r="I3004">
        <v>22</v>
      </c>
      <c r="J3004">
        <v>10</v>
      </c>
      <c r="K3004">
        <v>7</v>
      </c>
      <c r="L3004">
        <v>7</v>
      </c>
      <c r="M3004">
        <v>1</v>
      </c>
      <c r="N3004">
        <v>7</v>
      </c>
      <c r="P3004">
        <f>G3004*I3004/100</f>
        <v>1431.4300000000003</v>
      </c>
      <c r="Q3004">
        <f t="shared" si="23"/>
        <v>78078.000000000015</v>
      </c>
      <c r="R3004">
        <f>K3004/J3004</f>
        <v>0.7</v>
      </c>
    </row>
    <row r="3005" spans="1:18" x14ac:dyDescent="0.3">
      <c r="A3005">
        <v>37</v>
      </c>
      <c r="B3005">
        <v>1115</v>
      </c>
      <c r="C3005" t="s">
        <v>17</v>
      </c>
      <c r="D3005" t="s">
        <v>18</v>
      </c>
      <c r="E3005">
        <v>51</v>
      </c>
      <c r="F3005" t="s">
        <v>21</v>
      </c>
      <c r="G3005">
        <v>6592.3</v>
      </c>
      <c r="H3005">
        <v>2689</v>
      </c>
      <c r="I3005">
        <v>18</v>
      </c>
      <c r="J3005">
        <v>7</v>
      </c>
      <c r="K3005">
        <v>7</v>
      </c>
      <c r="L3005">
        <v>5</v>
      </c>
      <c r="M3005">
        <v>0</v>
      </c>
      <c r="N3005">
        <v>7</v>
      </c>
      <c r="P3005">
        <f>G3005*I3005/100</f>
        <v>1186.614</v>
      </c>
      <c r="Q3005">
        <f t="shared" si="23"/>
        <v>79107.600000000006</v>
      </c>
      <c r="R3005">
        <f>K3005/J3005</f>
        <v>1</v>
      </c>
    </row>
    <row r="3006" spans="1:18" x14ac:dyDescent="0.3">
      <c r="A3006">
        <v>32</v>
      </c>
      <c r="B3006">
        <v>427</v>
      </c>
      <c r="C3006" t="s">
        <v>17</v>
      </c>
      <c r="D3006" t="s">
        <v>18</v>
      </c>
      <c r="E3006">
        <v>33</v>
      </c>
      <c r="F3006" t="s">
        <v>21</v>
      </c>
      <c r="G3006">
        <v>6778.2000000000007</v>
      </c>
      <c r="H3006">
        <v>10877</v>
      </c>
      <c r="I3006">
        <v>22</v>
      </c>
      <c r="J3006">
        <v>9</v>
      </c>
      <c r="K3006">
        <v>9</v>
      </c>
      <c r="L3006">
        <v>8</v>
      </c>
      <c r="M3006">
        <v>7</v>
      </c>
      <c r="N3006">
        <v>8</v>
      </c>
      <c r="P3006">
        <f>G3006*I3006/100</f>
        <v>1491.2040000000002</v>
      </c>
      <c r="Q3006">
        <f t="shared" si="23"/>
        <v>81338.400000000009</v>
      </c>
      <c r="R3006">
        <f>K3006/J3006</f>
        <v>1</v>
      </c>
    </row>
    <row r="3007" spans="1:18" x14ac:dyDescent="0.3">
      <c r="A3007">
        <v>38</v>
      </c>
      <c r="B3007">
        <v>653</v>
      </c>
      <c r="C3007" t="s">
        <v>17</v>
      </c>
      <c r="D3007" t="s">
        <v>15</v>
      </c>
      <c r="E3007">
        <v>50</v>
      </c>
      <c r="F3007" t="s">
        <v>20</v>
      </c>
      <c r="G3007">
        <v>2646.6000000000004</v>
      </c>
      <c r="H3007">
        <v>5456</v>
      </c>
      <c r="I3007">
        <v>11</v>
      </c>
      <c r="J3007">
        <v>10</v>
      </c>
      <c r="K3007">
        <v>10</v>
      </c>
      <c r="L3007">
        <v>3</v>
      </c>
      <c r="M3007">
        <v>9</v>
      </c>
      <c r="N3007">
        <v>9</v>
      </c>
      <c r="P3007">
        <f>G3007*I3007/100</f>
        <v>291.12600000000003</v>
      </c>
      <c r="Q3007">
        <f t="shared" si="23"/>
        <v>31759.200000000004</v>
      </c>
      <c r="R3007">
        <f>K3007/J3007</f>
        <v>1</v>
      </c>
    </row>
    <row r="3008" spans="1:18" x14ac:dyDescent="0.3">
      <c r="A3008">
        <v>50</v>
      </c>
      <c r="B3008">
        <v>989</v>
      </c>
      <c r="C3008" t="s">
        <v>17</v>
      </c>
      <c r="D3008" t="s">
        <v>15</v>
      </c>
      <c r="E3008">
        <v>43</v>
      </c>
      <c r="F3008" t="s">
        <v>25</v>
      </c>
      <c r="G3008">
        <v>20614</v>
      </c>
      <c r="H3008">
        <v>16701</v>
      </c>
      <c r="I3008">
        <v>12</v>
      </c>
      <c r="J3008">
        <v>29</v>
      </c>
      <c r="K3008">
        <v>27</v>
      </c>
      <c r="L3008">
        <v>3</v>
      </c>
      <c r="M3008">
        <v>13</v>
      </c>
      <c r="N3008">
        <v>8</v>
      </c>
      <c r="P3008">
        <f>G3008*I3008/100</f>
        <v>2473.6799999999998</v>
      </c>
      <c r="Q3008">
        <f t="shared" si="23"/>
        <v>247368</v>
      </c>
      <c r="R3008">
        <f>K3008/J3008</f>
        <v>0.93103448275862066</v>
      </c>
    </row>
    <row r="3009" spans="1:18" x14ac:dyDescent="0.3">
      <c r="A3009">
        <v>59</v>
      </c>
      <c r="B3009">
        <v>1435</v>
      </c>
      <c r="C3009" t="s">
        <v>14</v>
      </c>
      <c r="D3009" t="s">
        <v>15</v>
      </c>
      <c r="E3009">
        <v>99</v>
      </c>
      <c r="F3009" t="s">
        <v>16</v>
      </c>
      <c r="G3009">
        <v>8400.7000000000007</v>
      </c>
      <c r="H3009">
        <v>2354</v>
      </c>
      <c r="I3009">
        <v>11</v>
      </c>
      <c r="J3009">
        <v>28</v>
      </c>
      <c r="K3009">
        <v>21</v>
      </c>
      <c r="L3009">
        <v>16</v>
      </c>
      <c r="M3009">
        <v>7</v>
      </c>
      <c r="N3009">
        <v>9</v>
      </c>
      <c r="P3009">
        <f>G3009*I3009/100</f>
        <v>924.07700000000011</v>
      </c>
      <c r="Q3009">
        <f t="shared" si="23"/>
        <v>100808.40000000001</v>
      </c>
      <c r="R3009">
        <f>K3009/J3009</f>
        <v>0.75</v>
      </c>
    </row>
    <row r="3010" spans="1:18" x14ac:dyDescent="0.3">
      <c r="A3010">
        <v>36</v>
      </c>
      <c r="B3010">
        <v>1223</v>
      </c>
      <c r="C3010" t="s">
        <v>17</v>
      </c>
      <c r="D3010" t="s">
        <v>15</v>
      </c>
      <c r="E3010">
        <v>59</v>
      </c>
      <c r="F3010" t="s">
        <v>22</v>
      </c>
      <c r="G3010">
        <v>11105.6</v>
      </c>
      <c r="H3010">
        <v>8202</v>
      </c>
      <c r="I3010">
        <v>13</v>
      </c>
      <c r="J3010">
        <v>17</v>
      </c>
      <c r="K3010">
        <v>17</v>
      </c>
      <c r="L3010">
        <v>14</v>
      </c>
      <c r="M3010">
        <v>12</v>
      </c>
      <c r="N3010">
        <v>8</v>
      </c>
      <c r="P3010">
        <f>G3010*I3010/100</f>
        <v>1443.7280000000001</v>
      </c>
      <c r="Q3010">
        <f t="shared" si="23"/>
        <v>133267.20000000001</v>
      </c>
      <c r="R3010">
        <f>K3010/J3010</f>
        <v>1</v>
      </c>
    </row>
    <row r="3011" spans="1:18" x14ac:dyDescent="0.3">
      <c r="A3011">
        <v>55</v>
      </c>
      <c r="B3011">
        <v>836</v>
      </c>
      <c r="C3011" t="s">
        <v>17</v>
      </c>
      <c r="D3011" t="s">
        <v>15</v>
      </c>
      <c r="E3011">
        <v>33</v>
      </c>
      <c r="F3011" t="s">
        <v>23</v>
      </c>
      <c r="G3011">
        <v>16231.600000000002</v>
      </c>
      <c r="H3011">
        <v>19730</v>
      </c>
      <c r="I3011">
        <v>14</v>
      </c>
      <c r="J3011">
        <v>21</v>
      </c>
      <c r="K3011">
        <v>5</v>
      </c>
      <c r="L3011">
        <v>0</v>
      </c>
      <c r="M3011">
        <v>0</v>
      </c>
      <c r="N3011">
        <v>2</v>
      </c>
      <c r="P3011">
        <f>G3011*I3011/100</f>
        <v>2272.4240000000004</v>
      </c>
      <c r="Q3011">
        <f t="shared" ref="Q3011:Q3074" si="24">G3011*12</f>
        <v>194779.2</v>
      </c>
      <c r="R3011">
        <f>K3011/J3011</f>
        <v>0.23809523809523808</v>
      </c>
    </row>
    <row r="3012" spans="1:18" x14ac:dyDescent="0.3">
      <c r="A3012">
        <v>36</v>
      </c>
      <c r="B3012">
        <v>1195</v>
      </c>
      <c r="C3012" t="s">
        <v>17</v>
      </c>
      <c r="D3012" t="s">
        <v>18</v>
      </c>
      <c r="E3012">
        <v>95</v>
      </c>
      <c r="F3012" t="s">
        <v>21</v>
      </c>
      <c r="G3012">
        <v>7148.9000000000005</v>
      </c>
      <c r="H3012">
        <v>22656</v>
      </c>
      <c r="I3012">
        <v>13</v>
      </c>
      <c r="J3012">
        <v>6</v>
      </c>
      <c r="K3012">
        <v>6</v>
      </c>
      <c r="L3012">
        <v>5</v>
      </c>
      <c r="M3012">
        <v>0</v>
      </c>
      <c r="N3012">
        <v>3</v>
      </c>
      <c r="P3012">
        <f>G3012*I3012/100</f>
        <v>929.35700000000008</v>
      </c>
      <c r="Q3012">
        <f t="shared" si="24"/>
        <v>85786.8</v>
      </c>
      <c r="R3012">
        <f>K3012/J3012</f>
        <v>1</v>
      </c>
    </row>
    <row r="3013" spans="1:18" x14ac:dyDescent="0.3">
      <c r="A3013">
        <v>45</v>
      </c>
      <c r="B3013">
        <v>1339</v>
      </c>
      <c r="C3013" t="s">
        <v>17</v>
      </c>
      <c r="D3013" t="s">
        <v>18</v>
      </c>
      <c r="E3013">
        <v>59</v>
      </c>
      <c r="F3013" t="s">
        <v>19</v>
      </c>
      <c r="G3013">
        <v>10696.400000000001</v>
      </c>
      <c r="H3013">
        <v>18787</v>
      </c>
      <c r="I3013">
        <v>17</v>
      </c>
      <c r="J3013">
        <v>25</v>
      </c>
      <c r="K3013">
        <v>1</v>
      </c>
      <c r="L3013">
        <v>0</v>
      </c>
      <c r="M3013">
        <v>0</v>
      </c>
      <c r="N3013">
        <v>0</v>
      </c>
      <c r="P3013">
        <f>G3013*I3013/100</f>
        <v>1818.3880000000001</v>
      </c>
      <c r="Q3013">
        <f t="shared" si="24"/>
        <v>128356.80000000002</v>
      </c>
      <c r="R3013">
        <f>K3013/J3013</f>
        <v>0.04</v>
      </c>
    </row>
    <row r="3014" spans="1:18" x14ac:dyDescent="0.3">
      <c r="A3014">
        <v>35</v>
      </c>
      <c r="B3014">
        <v>664</v>
      </c>
      <c r="C3014" t="s">
        <v>17</v>
      </c>
      <c r="D3014" t="s">
        <v>18</v>
      </c>
      <c r="E3014">
        <v>79</v>
      </c>
      <c r="F3014" t="s">
        <v>19</v>
      </c>
      <c r="G3014">
        <v>2413.4</v>
      </c>
      <c r="H3014">
        <v>5868</v>
      </c>
      <c r="I3014">
        <v>13</v>
      </c>
      <c r="J3014">
        <v>5</v>
      </c>
      <c r="K3014">
        <v>3</v>
      </c>
      <c r="L3014">
        <v>2</v>
      </c>
      <c r="M3014">
        <v>1</v>
      </c>
      <c r="N3014">
        <v>2</v>
      </c>
      <c r="P3014">
        <f>G3014*I3014/100</f>
        <v>313.74200000000002</v>
      </c>
      <c r="Q3014">
        <f t="shared" si="24"/>
        <v>28960.800000000003</v>
      </c>
      <c r="R3014">
        <f>K3014/J3014</f>
        <v>0.6</v>
      </c>
    </row>
    <row r="3015" spans="1:18" x14ac:dyDescent="0.3">
      <c r="A3015">
        <v>36</v>
      </c>
      <c r="B3015">
        <v>318</v>
      </c>
      <c r="C3015" t="s">
        <v>17</v>
      </c>
      <c r="D3015" t="s">
        <v>18</v>
      </c>
      <c r="E3015">
        <v>79</v>
      </c>
      <c r="F3015" t="s">
        <v>19</v>
      </c>
      <c r="G3015">
        <v>3726.8</v>
      </c>
      <c r="H3015">
        <v>21777</v>
      </c>
      <c r="I3015">
        <v>17</v>
      </c>
      <c r="J3015">
        <v>2</v>
      </c>
      <c r="K3015">
        <v>1</v>
      </c>
      <c r="L3015">
        <v>0</v>
      </c>
      <c r="M3015">
        <v>0</v>
      </c>
      <c r="N3015">
        <v>0</v>
      </c>
      <c r="P3015">
        <f>G3015*I3015/100</f>
        <v>633.55600000000004</v>
      </c>
      <c r="Q3015">
        <f t="shared" si="24"/>
        <v>44721.600000000006</v>
      </c>
      <c r="R3015">
        <f>K3015/J3015</f>
        <v>0.5</v>
      </c>
    </row>
    <row r="3016" spans="1:18" x14ac:dyDescent="0.3">
      <c r="A3016">
        <v>59</v>
      </c>
      <c r="B3016">
        <v>1225</v>
      </c>
      <c r="C3016" t="s">
        <v>14</v>
      </c>
      <c r="D3016" t="s">
        <v>15</v>
      </c>
      <c r="E3016">
        <v>57</v>
      </c>
      <c r="F3016" t="s">
        <v>16</v>
      </c>
      <c r="G3016">
        <v>6020.3</v>
      </c>
      <c r="H3016">
        <v>24668</v>
      </c>
      <c r="I3016">
        <v>11</v>
      </c>
      <c r="J3016">
        <v>20</v>
      </c>
      <c r="K3016">
        <v>4</v>
      </c>
      <c r="L3016">
        <v>3</v>
      </c>
      <c r="M3016">
        <v>1</v>
      </c>
      <c r="N3016">
        <v>3</v>
      </c>
      <c r="P3016">
        <f>G3016*I3016/100</f>
        <v>662.23300000000006</v>
      </c>
      <c r="Q3016">
        <f t="shared" si="24"/>
        <v>72243.600000000006</v>
      </c>
      <c r="R3016">
        <f>K3016/J3016</f>
        <v>0.2</v>
      </c>
    </row>
    <row r="3017" spans="1:18" x14ac:dyDescent="0.3">
      <c r="A3017">
        <v>29</v>
      </c>
      <c r="B3017">
        <v>1328</v>
      </c>
      <c r="C3017" t="s">
        <v>17</v>
      </c>
      <c r="D3017" t="s">
        <v>18</v>
      </c>
      <c r="E3017">
        <v>76</v>
      </c>
      <c r="F3017" t="s">
        <v>19</v>
      </c>
      <c r="G3017">
        <v>2973.3</v>
      </c>
      <c r="H3017">
        <v>4956</v>
      </c>
      <c r="I3017">
        <v>23</v>
      </c>
      <c r="J3017">
        <v>6</v>
      </c>
      <c r="K3017">
        <v>5</v>
      </c>
      <c r="L3017">
        <v>4</v>
      </c>
      <c r="M3017">
        <v>0</v>
      </c>
      <c r="N3017">
        <v>4</v>
      </c>
      <c r="P3017">
        <f>G3017*I3017/100</f>
        <v>683.85900000000004</v>
      </c>
      <c r="Q3017">
        <f t="shared" si="24"/>
        <v>35679.600000000006</v>
      </c>
      <c r="R3017">
        <f>K3017/J3017</f>
        <v>0.83333333333333337</v>
      </c>
    </row>
    <row r="3018" spans="1:18" x14ac:dyDescent="0.3">
      <c r="A3018">
        <v>31</v>
      </c>
      <c r="B3018">
        <v>1082</v>
      </c>
      <c r="C3018" t="s">
        <v>17</v>
      </c>
      <c r="D3018" t="s">
        <v>18</v>
      </c>
      <c r="E3018">
        <v>87</v>
      </c>
      <c r="F3018" t="s">
        <v>19</v>
      </c>
      <c r="G3018">
        <v>2751.1000000000004</v>
      </c>
      <c r="H3018">
        <v>18775</v>
      </c>
      <c r="I3018">
        <v>17</v>
      </c>
      <c r="J3018">
        <v>1</v>
      </c>
      <c r="K3018">
        <v>1</v>
      </c>
      <c r="L3018">
        <v>1</v>
      </c>
      <c r="M3018">
        <v>1</v>
      </c>
      <c r="N3018">
        <v>0</v>
      </c>
      <c r="P3018">
        <f>G3018*I3018/100</f>
        <v>467.68700000000007</v>
      </c>
      <c r="Q3018">
        <f t="shared" si="24"/>
        <v>33013.200000000004</v>
      </c>
      <c r="R3018">
        <f>K3018/J3018</f>
        <v>1</v>
      </c>
    </row>
    <row r="3019" spans="1:18" x14ac:dyDescent="0.3">
      <c r="A3019">
        <v>32</v>
      </c>
      <c r="B3019">
        <v>548</v>
      </c>
      <c r="C3019" t="s">
        <v>17</v>
      </c>
      <c r="D3019" t="s">
        <v>18</v>
      </c>
      <c r="E3019">
        <v>66</v>
      </c>
      <c r="F3019" t="s">
        <v>19</v>
      </c>
      <c r="G3019">
        <v>6842.0000000000009</v>
      </c>
      <c r="H3019">
        <v>7346</v>
      </c>
      <c r="I3019">
        <v>17</v>
      </c>
      <c r="J3019">
        <v>10</v>
      </c>
      <c r="K3019">
        <v>10</v>
      </c>
      <c r="L3019">
        <v>4</v>
      </c>
      <c r="M3019">
        <v>0</v>
      </c>
      <c r="N3019">
        <v>9</v>
      </c>
      <c r="P3019">
        <f>G3019*I3019/100</f>
        <v>1163.1400000000001</v>
      </c>
      <c r="Q3019">
        <f t="shared" si="24"/>
        <v>82104.000000000015</v>
      </c>
      <c r="R3019">
        <f>K3019/J3019</f>
        <v>1</v>
      </c>
    </row>
    <row r="3020" spans="1:18" x14ac:dyDescent="0.3">
      <c r="A3020">
        <v>36</v>
      </c>
      <c r="B3020">
        <v>132</v>
      </c>
      <c r="C3020" t="s">
        <v>17</v>
      </c>
      <c r="D3020" t="s">
        <v>15</v>
      </c>
      <c r="E3020">
        <v>55</v>
      </c>
      <c r="F3020" t="s">
        <v>20</v>
      </c>
      <c r="G3020">
        <v>3341.8</v>
      </c>
      <c r="H3020">
        <v>22002</v>
      </c>
      <c r="I3020">
        <v>12</v>
      </c>
      <c r="J3020">
        <v>5</v>
      </c>
      <c r="K3020">
        <v>1</v>
      </c>
      <c r="L3020">
        <v>0</v>
      </c>
      <c r="M3020">
        <v>0</v>
      </c>
      <c r="N3020">
        <v>0</v>
      </c>
      <c r="P3020">
        <f>G3020*I3020/100</f>
        <v>401.01600000000008</v>
      </c>
      <c r="Q3020">
        <f t="shared" si="24"/>
        <v>40101.600000000006</v>
      </c>
      <c r="R3020">
        <f>K3020/J3020</f>
        <v>0.2</v>
      </c>
    </row>
    <row r="3021" spans="1:18" x14ac:dyDescent="0.3">
      <c r="A3021">
        <v>31</v>
      </c>
      <c r="B3021">
        <v>746</v>
      </c>
      <c r="C3021" t="s">
        <v>17</v>
      </c>
      <c r="D3021" t="s">
        <v>15</v>
      </c>
      <c r="E3021">
        <v>61</v>
      </c>
      <c r="F3021" t="s">
        <v>21</v>
      </c>
      <c r="G3021">
        <v>4866.4000000000005</v>
      </c>
      <c r="H3021">
        <v>20682</v>
      </c>
      <c r="I3021">
        <v>23</v>
      </c>
      <c r="J3021">
        <v>11</v>
      </c>
      <c r="K3021">
        <v>11</v>
      </c>
      <c r="L3021">
        <v>7</v>
      </c>
      <c r="M3021">
        <v>1</v>
      </c>
      <c r="N3021">
        <v>8</v>
      </c>
      <c r="P3021">
        <f>G3021*I3021/100</f>
        <v>1119.2720000000002</v>
      </c>
      <c r="Q3021">
        <f t="shared" si="24"/>
        <v>58396.800000000003</v>
      </c>
      <c r="R3021">
        <f>K3021/J3021</f>
        <v>1</v>
      </c>
    </row>
    <row r="3022" spans="1:18" x14ac:dyDescent="0.3">
      <c r="A3022">
        <v>35</v>
      </c>
      <c r="B3022">
        <v>776</v>
      </c>
      <c r="C3022" t="s">
        <v>14</v>
      </c>
      <c r="D3022" t="s">
        <v>18</v>
      </c>
      <c r="E3022">
        <v>32</v>
      </c>
      <c r="F3022" t="s">
        <v>16</v>
      </c>
      <c r="G3022">
        <v>4743.2000000000007</v>
      </c>
      <c r="H3022">
        <v>23016</v>
      </c>
      <c r="I3022">
        <v>14</v>
      </c>
      <c r="J3022">
        <v>16</v>
      </c>
      <c r="K3022">
        <v>15</v>
      </c>
      <c r="L3022">
        <v>13</v>
      </c>
      <c r="M3022">
        <v>2</v>
      </c>
      <c r="N3022">
        <v>8</v>
      </c>
      <c r="P3022">
        <f>G3022*I3022/100</f>
        <v>664.04800000000023</v>
      </c>
      <c r="Q3022">
        <f t="shared" si="24"/>
        <v>56918.400000000009</v>
      </c>
      <c r="R3022">
        <f>K3022/J3022</f>
        <v>0.9375</v>
      </c>
    </row>
    <row r="3023" spans="1:18" x14ac:dyDescent="0.3">
      <c r="A3023">
        <v>45</v>
      </c>
      <c r="B3023">
        <v>193</v>
      </c>
      <c r="C3023" t="s">
        <v>17</v>
      </c>
      <c r="D3023" t="s">
        <v>18</v>
      </c>
      <c r="E3023">
        <v>52</v>
      </c>
      <c r="F3023" t="s">
        <v>25</v>
      </c>
      <c r="G3023">
        <v>14569.500000000002</v>
      </c>
      <c r="H3023">
        <v>15067</v>
      </c>
      <c r="I3023">
        <v>14</v>
      </c>
      <c r="J3023">
        <v>17</v>
      </c>
      <c r="K3023">
        <v>0</v>
      </c>
      <c r="L3023">
        <v>0</v>
      </c>
      <c r="M3023">
        <v>0</v>
      </c>
      <c r="N3023">
        <v>0</v>
      </c>
      <c r="P3023">
        <f>G3023*I3023/100</f>
        <v>2039.7300000000002</v>
      </c>
      <c r="Q3023">
        <f t="shared" si="24"/>
        <v>174834.00000000003</v>
      </c>
      <c r="R3023">
        <f>K3023/J3023</f>
        <v>0</v>
      </c>
    </row>
    <row r="3024" spans="1:18" x14ac:dyDescent="0.3">
      <c r="A3024">
        <v>37</v>
      </c>
      <c r="B3024">
        <v>397</v>
      </c>
      <c r="C3024" t="s">
        <v>17</v>
      </c>
      <c r="D3024" t="s">
        <v>18</v>
      </c>
      <c r="E3024">
        <v>30</v>
      </c>
      <c r="F3024" t="s">
        <v>25</v>
      </c>
      <c r="G3024">
        <v>15030.400000000001</v>
      </c>
      <c r="H3024">
        <v>25258</v>
      </c>
      <c r="I3024">
        <v>13</v>
      </c>
      <c r="J3024">
        <v>16</v>
      </c>
      <c r="K3024">
        <v>5</v>
      </c>
      <c r="L3024">
        <v>2</v>
      </c>
      <c r="M3024">
        <v>0</v>
      </c>
      <c r="N3024">
        <v>2</v>
      </c>
      <c r="P3024">
        <f>G3024*I3024/100</f>
        <v>1953.9520000000002</v>
      </c>
      <c r="Q3024">
        <f t="shared" si="24"/>
        <v>180364.80000000002</v>
      </c>
      <c r="R3024">
        <f>K3024/J3024</f>
        <v>0.3125</v>
      </c>
    </row>
    <row r="3025" spans="1:18" x14ac:dyDescent="0.3">
      <c r="A3025">
        <v>46</v>
      </c>
      <c r="B3025">
        <v>945</v>
      </c>
      <c r="C3025" t="s">
        <v>26</v>
      </c>
      <c r="D3025" t="s">
        <v>18</v>
      </c>
      <c r="E3025">
        <v>80</v>
      </c>
      <c r="F3025" t="s">
        <v>26</v>
      </c>
      <c r="G3025">
        <v>5523.1</v>
      </c>
      <c r="H3025">
        <v>10425</v>
      </c>
      <c r="I3025">
        <v>22</v>
      </c>
      <c r="J3025">
        <v>16</v>
      </c>
      <c r="K3025">
        <v>4</v>
      </c>
      <c r="L3025">
        <v>2</v>
      </c>
      <c r="M3025">
        <v>0</v>
      </c>
      <c r="N3025">
        <v>2</v>
      </c>
      <c r="P3025">
        <f>G3025*I3025/100</f>
        <v>1215.0820000000001</v>
      </c>
      <c r="Q3025">
        <f t="shared" si="24"/>
        <v>66277.200000000012</v>
      </c>
      <c r="R3025">
        <f>K3025/J3025</f>
        <v>0.25</v>
      </c>
    </row>
    <row r="3026" spans="1:18" x14ac:dyDescent="0.3">
      <c r="A3026">
        <v>30</v>
      </c>
      <c r="B3026">
        <v>852</v>
      </c>
      <c r="C3026" t="s">
        <v>17</v>
      </c>
      <c r="D3026" t="s">
        <v>18</v>
      </c>
      <c r="E3026">
        <v>55</v>
      </c>
      <c r="F3026" t="s">
        <v>20</v>
      </c>
      <c r="G3026">
        <v>5638.6</v>
      </c>
      <c r="H3026">
        <v>15998</v>
      </c>
      <c r="I3026">
        <v>12</v>
      </c>
      <c r="J3026">
        <v>10</v>
      </c>
      <c r="K3026">
        <v>10</v>
      </c>
      <c r="L3026">
        <v>8</v>
      </c>
      <c r="M3026">
        <v>3</v>
      </c>
      <c r="N3026">
        <v>0</v>
      </c>
      <c r="P3026">
        <f>G3026*I3026/100</f>
        <v>676.63200000000006</v>
      </c>
      <c r="Q3026">
        <f t="shared" si="24"/>
        <v>67663.200000000012</v>
      </c>
      <c r="R3026">
        <f>K3026/J3026</f>
        <v>1</v>
      </c>
    </row>
    <row r="3027" spans="1:18" x14ac:dyDescent="0.3">
      <c r="A3027">
        <v>35</v>
      </c>
      <c r="B3027">
        <v>1214</v>
      </c>
      <c r="C3027" t="s">
        <v>17</v>
      </c>
      <c r="D3027" t="s">
        <v>18</v>
      </c>
      <c r="E3027">
        <v>30</v>
      </c>
      <c r="F3027" t="s">
        <v>19</v>
      </c>
      <c r="G3027">
        <v>3144.9</v>
      </c>
      <c r="H3027">
        <v>26278</v>
      </c>
      <c r="I3027">
        <v>18</v>
      </c>
      <c r="J3027">
        <v>6</v>
      </c>
      <c r="K3027">
        <v>6</v>
      </c>
      <c r="L3027">
        <v>4</v>
      </c>
      <c r="M3027">
        <v>0</v>
      </c>
      <c r="N3027">
        <v>4</v>
      </c>
      <c r="P3027">
        <f>G3027*I3027/100</f>
        <v>566.08199999999999</v>
      </c>
      <c r="Q3027">
        <f t="shared" si="24"/>
        <v>37738.800000000003</v>
      </c>
      <c r="R3027">
        <f>K3027/J3027</f>
        <v>1</v>
      </c>
    </row>
    <row r="3028" spans="1:18" x14ac:dyDescent="0.3">
      <c r="A3028">
        <v>55</v>
      </c>
      <c r="B3028">
        <v>111</v>
      </c>
      <c r="C3028" t="s">
        <v>14</v>
      </c>
      <c r="D3028" t="s">
        <v>18</v>
      </c>
      <c r="E3028">
        <v>70</v>
      </c>
      <c r="F3028" t="s">
        <v>16</v>
      </c>
      <c r="G3028">
        <v>11262.900000000001</v>
      </c>
      <c r="H3028">
        <v>18092</v>
      </c>
      <c r="I3028">
        <v>14</v>
      </c>
      <c r="J3028">
        <v>24</v>
      </c>
      <c r="K3028">
        <v>1</v>
      </c>
      <c r="L3028">
        <v>0</v>
      </c>
      <c r="M3028">
        <v>1</v>
      </c>
      <c r="N3028">
        <v>0</v>
      </c>
      <c r="P3028">
        <f>G3028*I3028/100</f>
        <v>1576.8060000000003</v>
      </c>
      <c r="Q3028">
        <f t="shared" si="24"/>
        <v>135154.80000000002</v>
      </c>
      <c r="R3028">
        <f>K3028/J3028</f>
        <v>4.1666666666666664E-2</v>
      </c>
    </row>
    <row r="3029" spans="1:18" x14ac:dyDescent="0.3">
      <c r="A3029">
        <v>38</v>
      </c>
      <c r="B3029">
        <v>573</v>
      </c>
      <c r="C3029" t="s">
        <v>17</v>
      </c>
      <c r="D3029" t="s">
        <v>15</v>
      </c>
      <c r="E3029">
        <v>79</v>
      </c>
      <c r="F3029" t="s">
        <v>19</v>
      </c>
      <c r="G3029">
        <v>5861.9000000000005</v>
      </c>
      <c r="H3029">
        <v>15717</v>
      </c>
      <c r="I3029">
        <v>12</v>
      </c>
      <c r="J3029">
        <v>17</v>
      </c>
      <c r="K3029">
        <v>13</v>
      </c>
      <c r="L3029">
        <v>11</v>
      </c>
      <c r="M3029">
        <v>1</v>
      </c>
      <c r="N3029">
        <v>9</v>
      </c>
      <c r="P3029">
        <f>G3029*I3029/100</f>
        <v>703.428</v>
      </c>
      <c r="Q3029">
        <f t="shared" si="24"/>
        <v>70342.8</v>
      </c>
      <c r="R3029">
        <f>K3029/J3029</f>
        <v>0.76470588235294112</v>
      </c>
    </row>
    <row r="3030" spans="1:18" x14ac:dyDescent="0.3">
      <c r="A3030">
        <v>34</v>
      </c>
      <c r="B3030">
        <v>1153</v>
      </c>
      <c r="C3030" t="s">
        <v>17</v>
      </c>
      <c r="D3030" t="s">
        <v>18</v>
      </c>
      <c r="E3030">
        <v>94</v>
      </c>
      <c r="F3030" t="s">
        <v>21</v>
      </c>
      <c r="G3030">
        <v>4757.5</v>
      </c>
      <c r="H3030">
        <v>17736</v>
      </c>
      <c r="I3030">
        <v>15</v>
      </c>
      <c r="J3030">
        <v>5</v>
      </c>
      <c r="K3030">
        <v>5</v>
      </c>
      <c r="L3030">
        <v>2</v>
      </c>
      <c r="M3030">
        <v>1</v>
      </c>
      <c r="N3030">
        <v>3</v>
      </c>
      <c r="P3030">
        <f>G3030*I3030/100</f>
        <v>713.625</v>
      </c>
      <c r="Q3030">
        <f t="shared" si="24"/>
        <v>57090</v>
      </c>
      <c r="R3030">
        <f>K3030/J3030</f>
        <v>1</v>
      </c>
    </row>
    <row r="3031" spans="1:18" x14ac:dyDescent="0.3">
      <c r="A3031">
        <v>56</v>
      </c>
      <c r="B3031">
        <v>1400</v>
      </c>
      <c r="C3031" t="s">
        <v>17</v>
      </c>
      <c r="D3031" t="s">
        <v>18</v>
      </c>
      <c r="E3031">
        <v>49</v>
      </c>
      <c r="F3031" t="s">
        <v>21</v>
      </c>
      <c r="G3031">
        <v>7986.0000000000009</v>
      </c>
      <c r="H3031">
        <v>21698</v>
      </c>
      <c r="I3031">
        <v>11</v>
      </c>
      <c r="J3031">
        <v>37</v>
      </c>
      <c r="K3031">
        <v>6</v>
      </c>
      <c r="L3031">
        <v>4</v>
      </c>
      <c r="M3031">
        <v>0</v>
      </c>
      <c r="N3031">
        <v>2</v>
      </c>
      <c r="P3031">
        <f>G3031*I3031/100</f>
        <v>878.46000000000015</v>
      </c>
      <c r="Q3031">
        <f t="shared" si="24"/>
        <v>95832.000000000015</v>
      </c>
      <c r="R3031">
        <f>K3031/J3031</f>
        <v>0.16216216216216217</v>
      </c>
    </row>
    <row r="3032" spans="1:18" x14ac:dyDescent="0.3">
      <c r="A3032">
        <v>23</v>
      </c>
      <c r="B3032">
        <v>541</v>
      </c>
      <c r="C3032" t="s">
        <v>14</v>
      </c>
      <c r="D3032" t="s">
        <v>18</v>
      </c>
      <c r="E3032">
        <v>62</v>
      </c>
      <c r="F3032" t="s">
        <v>24</v>
      </c>
      <c r="G3032">
        <v>2554.2000000000003</v>
      </c>
      <c r="H3032">
        <v>9518</v>
      </c>
      <c r="I3032">
        <v>13</v>
      </c>
      <c r="J3032">
        <v>3</v>
      </c>
      <c r="K3032">
        <v>0</v>
      </c>
      <c r="L3032">
        <v>0</v>
      </c>
      <c r="M3032">
        <v>0</v>
      </c>
      <c r="N3032">
        <v>0</v>
      </c>
      <c r="P3032">
        <f>G3032*I3032/100</f>
        <v>332.04600000000005</v>
      </c>
      <c r="Q3032">
        <f t="shared" si="24"/>
        <v>30650.400000000001</v>
      </c>
      <c r="R3032">
        <f>K3032/J3032</f>
        <v>0</v>
      </c>
    </row>
    <row r="3033" spans="1:18" x14ac:dyDescent="0.3">
      <c r="A3033">
        <v>51</v>
      </c>
      <c r="B3033">
        <v>432</v>
      </c>
      <c r="C3033" t="s">
        <v>17</v>
      </c>
      <c r="D3033" t="s">
        <v>18</v>
      </c>
      <c r="E3033">
        <v>96</v>
      </c>
      <c r="F3033" t="s">
        <v>20</v>
      </c>
      <c r="G3033">
        <v>2282.5</v>
      </c>
      <c r="H3033">
        <v>18725</v>
      </c>
      <c r="I3033">
        <v>23</v>
      </c>
      <c r="J3033">
        <v>10</v>
      </c>
      <c r="K3033">
        <v>4</v>
      </c>
      <c r="L3033">
        <v>2</v>
      </c>
      <c r="M3033">
        <v>0</v>
      </c>
      <c r="N3033">
        <v>3</v>
      </c>
      <c r="P3033">
        <f>G3033*I3033/100</f>
        <v>524.97500000000002</v>
      </c>
      <c r="Q3033">
        <f t="shared" si="24"/>
        <v>27390</v>
      </c>
      <c r="R3033">
        <f>K3033/J3033</f>
        <v>0.4</v>
      </c>
    </row>
    <row r="3034" spans="1:18" x14ac:dyDescent="0.3">
      <c r="A3034">
        <v>30</v>
      </c>
      <c r="B3034">
        <v>288</v>
      </c>
      <c r="C3034" t="s">
        <v>17</v>
      </c>
      <c r="D3034" t="s">
        <v>18</v>
      </c>
      <c r="E3034">
        <v>99</v>
      </c>
      <c r="F3034" t="s">
        <v>22</v>
      </c>
      <c r="G3034">
        <v>4567.2000000000007</v>
      </c>
      <c r="H3034">
        <v>15830</v>
      </c>
      <c r="I3034">
        <v>19</v>
      </c>
      <c r="J3034">
        <v>11</v>
      </c>
      <c r="K3034">
        <v>11</v>
      </c>
      <c r="L3034">
        <v>10</v>
      </c>
      <c r="M3034">
        <v>10</v>
      </c>
      <c r="N3034">
        <v>8</v>
      </c>
      <c r="P3034">
        <f>G3034*I3034/100</f>
        <v>867.76800000000014</v>
      </c>
      <c r="Q3034">
        <f t="shared" si="24"/>
        <v>54806.400000000009</v>
      </c>
      <c r="R3034">
        <f>K3034/J3034</f>
        <v>1</v>
      </c>
    </row>
    <row r="3035" spans="1:18" x14ac:dyDescent="0.3">
      <c r="A3035">
        <v>46</v>
      </c>
      <c r="B3035">
        <v>669</v>
      </c>
      <c r="C3035" t="s">
        <v>14</v>
      </c>
      <c r="D3035" t="s">
        <v>18</v>
      </c>
      <c r="E3035">
        <v>64</v>
      </c>
      <c r="F3035" t="s">
        <v>16</v>
      </c>
      <c r="G3035">
        <v>10580.900000000001</v>
      </c>
      <c r="H3035">
        <v>13596</v>
      </c>
      <c r="I3035">
        <v>16</v>
      </c>
      <c r="J3035">
        <v>9</v>
      </c>
      <c r="K3035">
        <v>9</v>
      </c>
      <c r="L3035">
        <v>8</v>
      </c>
      <c r="M3035">
        <v>4</v>
      </c>
      <c r="N3035">
        <v>7</v>
      </c>
      <c r="P3035">
        <f>G3035*I3035/100</f>
        <v>1692.9440000000002</v>
      </c>
      <c r="Q3035">
        <f t="shared" si="24"/>
        <v>126970.80000000002</v>
      </c>
      <c r="R3035">
        <f>K3035/J3035</f>
        <v>1</v>
      </c>
    </row>
    <row r="3036" spans="1:18" x14ac:dyDescent="0.3">
      <c r="A3036">
        <v>40</v>
      </c>
      <c r="B3036">
        <v>530</v>
      </c>
      <c r="C3036" t="s">
        <v>17</v>
      </c>
      <c r="D3036" t="s">
        <v>18</v>
      </c>
      <c r="E3036">
        <v>78</v>
      </c>
      <c r="F3036" t="s">
        <v>22</v>
      </c>
      <c r="G3036">
        <v>14853.300000000001</v>
      </c>
      <c r="H3036">
        <v>14115</v>
      </c>
      <c r="I3036">
        <v>22</v>
      </c>
      <c r="J3036">
        <v>22</v>
      </c>
      <c r="K3036">
        <v>22</v>
      </c>
      <c r="L3036">
        <v>3</v>
      </c>
      <c r="M3036">
        <v>11</v>
      </c>
      <c r="N3036">
        <v>11</v>
      </c>
      <c r="P3036">
        <f>G3036*I3036/100</f>
        <v>3267.7260000000006</v>
      </c>
      <c r="Q3036">
        <f t="shared" si="24"/>
        <v>178239.6</v>
      </c>
      <c r="R3036">
        <f>K3036/J3036</f>
        <v>1</v>
      </c>
    </row>
    <row r="3037" spans="1:18" x14ac:dyDescent="0.3">
      <c r="A3037">
        <v>51</v>
      </c>
      <c r="B3037">
        <v>632</v>
      </c>
      <c r="C3037" t="s">
        <v>14</v>
      </c>
      <c r="D3037" t="s">
        <v>18</v>
      </c>
      <c r="E3037">
        <v>71</v>
      </c>
      <c r="F3037" t="s">
        <v>16</v>
      </c>
      <c r="G3037">
        <v>5985.1</v>
      </c>
      <c r="H3037">
        <v>8423</v>
      </c>
      <c r="I3037">
        <v>22</v>
      </c>
      <c r="J3037">
        <v>11</v>
      </c>
      <c r="K3037">
        <v>10</v>
      </c>
      <c r="L3037">
        <v>7</v>
      </c>
      <c r="M3037">
        <v>1</v>
      </c>
      <c r="N3037">
        <v>0</v>
      </c>
      <c r="P3037">
        <f>G3037*I3037/100</f>
        <v>1316.7220000000002</v>
      </c>
      <c r="Q3037">
        <f t="shared" si="24"/>
        <v>71821.200000000012</v>
      </c>
      <c r="R3037">
        <f>K3037/J3037</f>
        <v>0.90909090909090906</v>
      </c>
    </row>
    <row r="3038" spans="1:18" x14ac:dyDescent="0.3">
      <c r="A3038">
        <v>30</v>
      </c>
      <c r="B3038">
        <v>1334</v>
      </c>
      <c r="C3038" t="s">
        <v>14</v>
      </c>
      <c r="D3038" t="s">
        <v>15</v>
      </c>
      <c r="E3038">
        <v>63</v>
      </c>
      <c r="F3038" t="s">
        <v>16</v>
      </c>
      <c r="G3038">
        <v>5729.9000000000005</v>
      </c>
      <c r="H3038">
        <v>19760</v>
      </c>
      <c r="I3038">
        <v>12</v>
      </c>
      <c r="J3038">
        <v>11</v>
      </c>
      <c r="K3038">
        <v>11</v>
      </c>
      <c r="L3038">
        <v>8</v>
      </c>
      <c r="M3038">
        <v>2</v>
      </c>
      <c r="N3038">
        <v>7</v>
      </c>
      <c r="P3038">
        <f>G3038*I3038/100</f>
        <v>687.58800000000008</v>
      </c>
      <c r="Q3038">
        <f t="shared" si="24"/>
        <v>68758.8</v>
      </c>
      <c r="R3038">
        <f>K3038/J3038</f>
        <v>1</v>
      </c>
    </row>
    <row r="3039" spans="1:18" x14ac:dyDescent="0.3">
      <c r="A3039">
        <v>46</v>
      </c>
      <c r="B3039">
        <v>638</v>
      </c>
      <c r="C3039" t="s">
        <v>17</v>
      </c>
      <c r="D3039" t="s">
        <v>18</v>
      </c>
      <c r="E3039">
        <v>40</v>
      </c>
      <c r="F3039" t="s">
        <v>22</v>
      </c>
      <c r="G3039">
        <v>11740.300000000001</v>
      </c>
      <c r="H3039">
        <v>3142</v>
      </c>
      <c r="I3039">
        <v>13</v>
      </c>
      <c r="J3039">
        <v>21</v>
      </c>
      <c r="K3039">
        <v>10</v>
      </c>
      <c r="L3039">
        <v>9</v>
      </c>
      <c r="M3039">
        <v>9</v>
      </c>
      <c r="N3039">
        <v>5</v>
      </c>
      <c r="P3039">
        <f>G3039*I3039/100</f>
        <v>1526.2390000000003</v>
      </c>
      <c r="Q3039">
        <f t="shared" si="24"/>
        <v>140883.6</v>
      </c>
      <c r="R3039">
        <f>K3039/J3039</f>
        <v>0.47619047619047616</v>
      </c>
    </row>
    <row r="3040" spans="1:18" x14ac:dyDescent="0.3">
      <c r="A3040">
        <v>32</v>
      </c>
      <c r="B3040">
        <v>1093</v>
      </c>
      <c r="C3040" t="s">
        <v>14</v>
      </c>
      <c r="D3040" t="s">
        <v>18</v>
      </c>
      <c r="E3040">
        <v>87</v>
      </c>
      <c r="F3040" t="s">
        <v>16</v>
      </c>
      <c r="G3040">
        <v>5511</v>
      </c>
      <c r="H3040">
        <v>24301</v>
      </c>
      <c r="I3040">
        <v>16</v>
      </c>
      <c r="J3040">
        <v>12</v>
      </c>
      <c r="K3040">
        <v>11</v>
      </c>
      <c r="L3040">
        <v>8</v>
      </c>
      <c r="M3040">
        <v>5</v>
      </c>
      <c r="N3040">
        <v>7</v>
      </c>
      <c r="P3040">
        <f>G3040*I3040/100</f>
        <v>881.76</v>
      </c>
      <c r="Q3040">
        <f t="shared" si="24"/>
        <v>66132</v>
      </c>
      <c r="R3040">
        <f>K3040/J3040</f>
        <v>0.91666666666666663</v>
      </c>
    </row>
    <row r="3041" spans="1:18" x14ac:dyDescent="0.3">
      <c r="A3041">
        <v>54</v>
      </c>
      <c r="B3041">
        <v>1217</v>
      </c>
      <c r="C3041" t="s">
        <v>17</v>
      </c>
      <c r="D3041" t="s">
        <v>15</v>
      </c>
      <c r="E3041">
        <v>60</v>
      </c>
      <c r="F3041" t="s">
        <v>25</v>
      </c>
      <c r="G3041">
        <v>14903.900000000001</v>
      </c>
      <c r="H3041">
        <v>24001</v>
      </c>
      <c r="I3041">
        <v>12</v>
      </c>
      <c r="J3041">
        <v>16</v>
      </c>
      <c r="K3041">
        <v>4</v>
      </c>
      <c r="L3041">
        <v>3</v>
      </c>
      <c r="M3041">
        <v>0</v>
      </c>
      <c r="N3041">
        <v>3</v>
      </c>
      <c r="P3041">
        <f>G3041*I3041/100</f>
        <v>1788.4680000000001</v>
      </c>
      <c r="Q3041">
        <f t="shared" si="24"/>
        <v>178846.80000000002</v>
      </c>
      <c r="R3041">
        <f>K3041/J3041</f>
        <v>0.25</v>
      </c>
    </row>
    <row r="3042" spans="1:18" x14ac:dyDescent="0.3">
      <c r="A3042">
        <v>24</v>
      </c>
      <c r="B3042">
        <v>1353</v>
      </c>
      <c r="C3042" t="s">
        <v>14</v>
      </c>
      <c r="D3042" t="s">
        <v>15</v>
      </c>
      <c r="E3042">
        <v>33</v>
      </c>
      <c r="F3042" t="s">
        <v>16</v>
      </c>
      <c r="G3042">
        <v>5498.9000000000005</v>
      </c>
      <c r="H3042">
        <v>17519</v>
      </c>
      <c r="I3042">
        <v>21</v>
      </c>
      <c r="J3042">
        <v>4</v>
      </c>
      <c r="K3042">
        <v>3</v>
      </c>
      <c r="L3042">
        <v>2</v>
      </c>
      <c r="M3042">
        <v>0</v>
      </c>
      <c r="N3042">
        <v>2</v>
      </c>
      <c r="P3042">
        <f>G3042*I3042/100</f>
        <v>1154.769</v>
      </c>
      <c r="Q3042">
        <f t="shared" si="24"/>
        <v>65986.8</v>
      </c>
      <c r="R3042">
        <f>K3042/J3042</f>
        <v>0.75</v>
      </c>
    </row>
    <row r="3043" spans="1:18" x14ac:dyDescent="0.3">
      <c r="A3043">
        <v>28</v>
      </c>
      <c r="B3043">
        <v>120</v>
      </c>
      <c r="C3043" t="s">
        <v>14</v>
      </c>
      <c r="D3043" t="s">
        <v>18</v>
      </c>
      <c r="E3043">
        <v>43</v>
      </c>
      <c r="F3043" t="s">
        <v>16</v>
      </c>
      <c r="G3043">
        <v>4643.1000000000004</v>
      </c>
      <c r="H3043">
        <v>8863</v>
      </c>
      <c r="I3043">
        <v>15</v>
      </c>
      <c r="J3043">
        <v>5</v>
      </c>
      <c r="K3043">
        <v>5</v>
      </c>
      <c r="L3043">
        <v>4</v>
      </c>
      <c r="M3043">
        <v>0</v>
      </c>
      <c r="N3043">
        <v>4</v>
      </c>
      <c r="P3043">
        <f>G3043*I3043/100</f>
        <v>696.46500000000003</v>
      </c>
      <c r="Q3043">
        <f t="shared" si="24"/>
        <v>55717.200000000004</v>
      </c>
      <c r="R3043">
        <f>K3043/J3043</f>
        <v>1</v>
      </c>
    </row>
    <row r="3044" spans="1:18" x14ac:dyDescent="0.3">
      <c r="A3044">
        <v>58</v>
      </c>
      <c r="B3044">
        <v>682</v>
      </c>
      <c r="C3044" t="s">
        <v>14</v>
      </c>
      <c r="D3044" t="s">
        <v>18</v>
      </c>
      <c r="E3044">
        <v>37</v>
      </c>
      <c r="F3044" t="s">
        <v>16</v>
      </c>
      <c r="G3044">
        <v>15259.2</v>
      </c>
      <c r="H3044">
        <v>24409</v>
      </c>
      <c r="I3044">
        <v>13</v>
      </c>
      <c r="J3044">
        <v>38</v>
      </c>
      <c r="K3044">
        <v>37</v>
      </c>
      <c r="L3044">
        <v>10</v>
      </c>
      <c r="M3044">
        <v>1</v>
      </c>
      <c r="N3044">
        <v>8</v>
      </c>
      <c r="P3044">
        <f>G3044*I3044/100</f>
        <v>1983.6960000000001</v>
      </c>
      <c r="Q3044">
        <f t="shared" si="24"/>
        <v>183110.40000000002</v>
      </c>
      <c r="R3044">
        <f>K3044/J3044</f>
        <v>0.97368421052631582</v>
      </c>
    </row>
    <row r="3045" spans="1:18" x14ac:dyDescent="0.3">
      <c r="A3045">
        <v>44</v>
      </c>
      <c r="B3045">
        <v>489</v>
      </c>
      <c r="C3045" t="s">
        <v>17</v>
      </c>
      <c r="D3045" t="s">
        <v>18</v>
      </c>
      <c r="E3045">
        <v>67</v>
      </c>
      <c r="F3045" t="s">
        <v>20</v>
      </c>
      <c r="G3045">
        <v>2246.2000000000003</v>
      </c>
      <c r="H3045">
        <v>25043</v>
      </c>
      <c r="I3045">
        <v>12</v>
      </c>
      <c r="J3045">
        <v>17</v>
      </c>
      <c r="K3045">
        <v>3</v>
      </c>
      <c r="L3045">
        <v>2</v>
      </c>
      <c r="M3045">
        <v>1</v>
      </c>
      <c r="N3045">
        <v>2</v>
      </c>
      <c r="P3045">
        <f>G3045*I3045/100</f>
        <v>269.54400000000004</v>
      </c>
      <c r="Q3045">
        <f t="shared" si="24"/>
        <v>26954.400000000001</v>
      </c>
      <c r="R3045">
        <f>K3045/J3045</f>
        <v>0.17647058823529413</v>
      </c>
    </row>
    <row r="3046" spans="1:18" x14ac:dyDescent="0.3">
      <c r="A3046">
        <v>37</v>
      </c>
      <c r="B3046">
        <v>807</v>
      </c>
      <c r="C3046" t="s">
        <v>26</v>
      </c>
      <c r="D3046" t="s">
        <v>18</v>
      </c>
      <c r="E3046">
        <v>63</v>
      </c>
      <c r="F3046" t="s">
        <v>26</v>
      </c>
      <c r="G3046">
        <v>2280.3000000000002</v>
      </c>
      <c r="H3046">
        <v>23648</v>
      </c>
      <c r="I3046">
        <v>22</v>
      </c>
      <c r="J3046">
        <v>7</v>
      </c>
      <c r="K3046">
        <v>3</v>
      </c>
      <c r="L3046">
        <v>2</v>
      </c>
      <c r="M3046">
        <v>0</v>
      </c>
      <c r="N3046">
        <v>2</v>
      </c>
      <c r="P3046">
        <f>G3046*I3046/100</f>
        <v>501.66600000000005</v>
      </c>
      <c r="Q3046">
        <f t="shared" si="24"/>
        <v>27363.600000000002</v>
      </c>
      <c r="R3046">
        <f>K3046/J3046</f>
        <v>0.42857142857142855</v>
      </c>
    </row>
    <row r="3047" spans="1:18" x14ac:dyDescent="0.3">
      <c r="A3047">
        <v>32</v>
      </c>
      <c r="B3047">
        <v>827</v>
      </c>
      <c r="C3047" t="s">
        <v>17</v>
      </c>
      <c r="D3047" t="s">
        <v>18</v>
      </c>
      <c r="E3047">
        <v>71</v>
      </c>
      <c r="F3047" t="s">
        <v>19</v>
      </c>
      <c r="G3047">
        <v>3251.6000000000004</v>
      </c>
      <c r="H3047">
        <v>15178</v>
      </c>
      <c r="I3047">
        <v>13</v>
      </c>
      <c r="J3047">
        <v>1</v>
      </c>
      <c r="K3047">
        <v>1</v>
      </c>
      <c r="L3047">
        <v>0</v>
      </c>
      <c r="M3047">
        <v>0</v>
      </c>
      <c r="N3047">
        <v>0</v>
      </c>
      <c r="P3047">
        <f>G3047*I3047/100</f>
        <v>422.70800000000003</v>
      </c>
      <c r="Q3047">
        <f t="shared" si="24"/>
        <v>39019.200000000004</v>
      </c>
      <c r="R3047">
        <f>K3047/J3047</f>
        <v>1</v>
      </c>
    </row>
    <row r="3048" spans="1:18" x14ac:dyDescent="0.3">
      <c r="A3048">
        <v>20</v>
      </c>
      <c r="B3048">
        <v>871</v>
      </c>
      <c r="C3048" t="s">
        <v>17</v>
      </c>
      <c r="D3048" t="s">
        <v>15</v>
      </c>
      <c r="E3048">
        <v>66</v>
      </c>
      <c r="F3048" t="s">
        <v>20</v>
      </c>
      <c r="G3048">
        <v>3218.6000000000004</v>
      </c>
      <c r="H3048">
        <v>19783</v>
      </c>
      <c r="I3048">
        <v>18</v>
      </c>
      <c r="J3048">
        <v>1</v>
      </c>
      <c r="K3048">
        <v>1</v>
      </c>
      <c r="L3048">
        <v>0</v>
      </c>
      <c r="M3048">
        <v>1</v>
      </c>
      <c r="N3048">
        <v>0</v>
      </c>
      <c r="P3048">
        <f>G3048*I3048/100</f>
        <v>579.34800000000007</v>
      </c>
      <c r="Q3048">
        <f t="shared" si="24"/>
        <v>38623.200000000004</v>
      </c>
      <c r="R3048">
        <f>K3048/J3048</f>
        <v>1</v>
      </c>
    </row>
    <row r="3049" spans="1:18" x14ac:dyDescent="0.3">
      <c r="A3049">
        <v>34</v>
      </c>
      <c r="B3049">
        <v>665</v>
      </c>
      <c r="C3049" t="s">
        <v>17</v>
      </c>
      <c r="D3049" t="s">
        <v>15</v>
      </c>
      <c r="E3049">
        <v>41</v>
      </c>
      <c r="F3049" t="s">
        <v>19</v>
      </c>
      <c r="G3049">
        <v>5289.9000000000005</v>
      </c>
      <c r="H3049">
        <v>12482</v>
      </c>
      <c r="I3049">
        <v>14</v>
      </c>
      <c r="J3049">
        <v>16</v>
      </c>
      <c r="K3049">
        <v>16</v>
      </c>
      <c r="L3049">
        <v>13</v>
      </c>
      <c r="M3049">
        <v>2</v>
      </c>
      <c r="N3049">
        <v>10</v>
      </c>
      <c r="P3049">
        <f>G3049*I3049/100</f>
        <v>740.58600000000001</v>
      </c>
      <c r="Q3049">
        <f t="shared" si="24"/>
        <v>63478.8</v>
      </c>
      <c r="R3049">
        <f>K3049/J3049</f>
        <v>1</v>
      </c>
    </row>
    <row r="3050" spans="1:18" x14ac:dyDescent="0.3">
      <c r="A3050">
        <v>37</v>
      </c>
      <c r="B3050">
        <v>1040</v>
      </c>
      <c r="C3050" t="s">
        <v>17</v>
      </c>
      <c r="D3050" t="s">
        <v>18</v>
      </c>
      <c r="E3050">
        <v>100</v>
      </c>
      <c r="F3050" t="s">
        <v>22</v>
      </c>
      <c r="G3050">
        <v>5679.3</v>
      </c>
      <c r="H3050">
        <v>15850</v>
      </c>
      <c r="I3050">
        <v>14</v>
      </c>
      <c r="J3050">
        <v>17</v>
      </c>
      <c r="K3050">
        <v>1</v>
      </c>
      <c r="L3050">
        <v>0</v>
      </c>
      <c r="M3050">
        <v>0</v>
      </c>
      <c r="N3050">
        <v>0</v>
      </c>
      <c r="P3050">
        <f>G3050*I3050/100</f>
        <v>795.10199999999998</v>
      </c>
      <c r="Q3050">
        <f t="shared" si="24"/>
        <v>68151.600000000006</v>
      </c>
      <c r="R3050">
        <f>K3050/J3050</f>
        <v>5.8823529411764705E-2</v>
      </c>
    </row>
    <row r="3051" spans="1:18" x14ac:dyDescent="0.3">
      <c r="A3051">
        <v>59</v>
      </c>
      <c r="B3051">
        <v>1420</v>
      </c>
      <c r="C3051" t="s">
        <v>26</v>
      </c>
      <c r="D3051" t="s">
        <v>15</v>
      </c>
      <c r="E3051">
        <v>32</v>
      </c>
      <c r="F3051" t="s">
        <v>23</v>
      </c>
      <c r="G3051">
        <v>20728.400000000001</v>
      </c>
      <c r="H3051">
        <v>21922</v>
      </c>
      <c r="I3051">
        <v>21</v>
      </c>
      <c r="J3051">
        <v>30</v>
      </c>
      <c r="K3051">
        <v>3</v>
      </c>
      <c r="L3051">
        <v>2</v>
      </c>
      <c r="M3051">
        <v>2</v>
      </c>
      <c r="N3051">
        <v>2</v>
      </c>
      <c r="P3051">
        <f>G3051*I3051/100</f>
        <v>4352.9639999999999</v>
      </c>
      <c r="Q3051">
        <f t="shared" si="24"/>
        <v>248740.80000000002</v>
      </c>
      <c r="R3051">
        <f>K3051/J3051</f>
        <v>0.1</v>
      </c>
    </row>
    <row r="3052" spans="1:18" x14ac:dyDescent="0.3">
      <c r="A3052">
        <v>50</v>
      </c>
      <c r="B3052">
        <v>1115</v>
      </c>
      <c r="C3052" t="s">
        <v>17</v>
      </c>
      <c r="D3052" t="s">
        <v>15</v>
      </c>
      <c r="E3052">
        <v>73</v>
      </c>
      <c r="F3052" t="s">
        <v>25</v>
      </c>
      <c r="G3052">
        <v>19989.2</v>
      </c>
      <c r="H3052">
        <v>9755</v>
      </c>
      <c r="I3052">
        <v>19</v>
      </c>
      <c r="J3052">
        <v>28</v>
      </c>
      <c r="K3052">
        <v>8</v>
      </c>
      <c r="L3052">
        <v>3</v>
      </c>
      <c r="M3052">
        <v>0</v>
      </c>
      <c r="N3052">
        <v>7</v>
      </c>
      <c r="P3052">
        <f>G3052*I3052/100</f>
        <v>3797.9479999999999</v>
      </c>
      <c r="Q3052">
        <f t="shared" si="24"/>
        <v>239870.40000000002</v>
      </c>
      <c r="R3052">
        <f>K3052/J3052</f>
        <v>0.2857142857142857</v>
      </c>
    </row>
    <row r="3053" spans="1:18" x14ac:dyDescent="0.3">
      <c r="A3053">
        <v>25</v>
      </c>
      <c r="B3053">
        <v>240</v>
      </c>
      <c r="C3053" t="s">
        <v>14</v>
      </c>
      <c r="D3053" t="s">
        <v>18</v>
      </c>
      <c r="E3053">
        <v>46</v>
      </c>
      <c r="F3053" t="s">
        <v>16</v>
      </c>
      <c r="G3053">
        <v>6318.4000000000005</v>
      </c>
      <c r="H3053">
        <v>26959</v>
      </c>
      <c r="I3053">
        <v>11</v>
      </c>
      <c r="J3053">
        <v>6</v>
      </c>
      <c r="K3053">
        <v>6</v>
      </c>
      <c r="L3053">
        <v>4</v>
      </c>
      <c r="M3053">
        <v>0</v>
      </c>
      <c r="N3053">
        <v>3</v>
      </c>
      <c r="P3053">
        <f>G3053*I3053/100</f>
        <v>695.02400000000011</v>
      </c>
      <c r="Q3053">
        <f t="shared" si="24"/>
        <v>75820.800000000003</v>
      </c>
      <c r="R3053">
        <f>K3053/J3053</f>
        <v>1</v>
      </c>
    </row>
    <row r="3054" spans="1:18" x14ac:dyDescent="0.3">
      <c r="A3054">
        <v>25</v>
      </c>
      <c r="B3054">
        <v>1280</v>
      </c>
      <c r="C3054" t="s">
        <v>17</v>
      </c>
      <c r="D3054" t="s">
        <v>18</v>
      </c>
      <c r="E3054">
        <v>64</v>
      </c>
      <c r="F3054" t="s">
        <v>19</v>
      </c>
      <c r="G3054">
        <v>3177.9</v>
      </c>
      <c r="H3054">
        <v>26897</v>
      </c>
      <c r="I3054">
        <v>11</v>
      </c>
      <c r="J3054">
        <v>2</v>
      </c>
      <c r="K3054">
        <v>2</v>
      </c>
      <c r="L3054">
        <v>2</v>
      </c>
      <c r="M3054">
        <v>2</v>
      </c>
      <c r="N3054">
        <v>1</v>
      </c>
      <c r="P3054">
        <f>G3054*I3054/100</f>
        <v>349.56900000000002</v>
      </c>
      <c r="Q3054">
        <f t="shared" si="24"/>
        <v>38134.800000000003</v>
      </c>
      <c r="R3054">
        <f>K3054/J3054</f>
        <v>1</v>
      </c>
    </row>
    <row r="3055" spans="1:18" x14ac:dyDescent="0.3">
      <c r="A3055">
        <v>22</v>
      </c>
      <c r="B3055">
        <v>534</v>
      </c>
      <c r="C3055" t="s">
        <v>17</v>
      </c>
      <c r="D3055" t="s">
        <v>15</v>
      </c>
      <c r="E3055">
        <v>59</v>
      </c>
      <c r="F3055" t="s">
        <v>20</v>
      </c>
      <c r="G3055">
        <v>3158.1000000000004</v>
      </c>
      <c r="H3055">
        <v>23785</v>
      </c>
      <c r="I3055">
        <v>15</v>
      </c>
      <c r="J3055">
        <v>1</v>
      </c>
      <c r="K3055">
        <v>0</v>
      </c>
      <c r="L3055">
        <v>0</v>
      </c>
      <c r="M3055">
        <v>0</v>
      </c>
      <c r="N3055">
        <v>0</v>
      </c>
      <c r="P3055">
        <f>G3055*I3055/100</f>
        <v>473.71500000000009</v>
      </c>
      <c r="Q3055">
        <f t="shared" si="24"/>
        <v>37897.200000000004</v>
      </c>
      <c r="R3055">
        <f>K3055/J3055</f>
        <v>0</v>
      </c>
    </row>
    <row r="3056" spans="1:18" x14ac:dyDescent="0.3">
      <c r="A3056">
        <v>51</v>
      </c>
      <c r="B3056">
        <v>1456</v>
      </c>
      <c r="C3056" t="s">
        <v>17</v>
      </c>
      <c r="D3056" t="s">
        <v>15</v>
      </c>
      <c r="E3056">
        <v>30</v>
      </c>
      <c r="F3056" t="s">
        <v>22</v>
      </c>
      <c r="G3056">
        <v>8232.4000000000015</v>
      </c>
      <c r="H3056">
        <v>25796</v>
      </c>
      <c r="I3056">
        <v>20</v>
      </c>
      <c r="J3056">
        <v>23</v>
      </c>
      <c r="K3056">
        <v>13</v>
      </c>
      <c r="L3056">
        <v>12</v>
      </c>
      <c r="M3056">
        <v>12</v>
      </c>
      <c r="N3056">
        <v>8</v>
      </c>
      <c r="P3056">
        <f>G3056*I3056/100</f>
        <v>1646.4800000000002</v>
      </c>
      <c r="Q3056">
        <f t="shared" si="24"/>
        <v>98788.800000000017</v>
      </c>
      <c r="R3056">
        <f>K3056/J3056</f>
        <v>0.56521739130434778</v>
      </c>
    </row>
    <row r="3057" spans="1:18" x14ac:dyDescent="0.3">
      <c r="A3057">
        <v>34</v>
      </c>
      <c r="B3057">
        <v>658</v>
      </c>
      <c r="C3057" t="s">
        <v>17</v>
      </c>
      <c r="D3057" t="s">
        <v>18</v>
      </c>
      <c r="E3057">
        <v>66</v>
      </c>
      <c r="F3057" t="s">
        <v>20</v>
      </c>
      <c r="G3057">
        <v>6681.4000000000005</v>
      </c>
      <c r="H3057">
        <v>22887</v>
      </c>
      <c r="I3057">
        <v>24</v>
      </c>
      <c r="J3057">
        <v>9</v>
      </c>
      <c r="K3057">
        <v>9</v>
      </c>
      <c r="L3057">
        <v>7</v>
      </c>
      <c r="M3057">
        <v>0</v>
      </c>
      <c r="N3057">
        <v>6</v>
      </c>
      <c r="P3057">
        <f>G3057*I3057/100</f>
        <v>1603.5360000000001</v>
      </c>
      <c r="Q3057">
        <f t="shared" si="24"/>
        <v>80176.800000000003</v>
      </c>
      <c r="R3057">
        <f>K3057/J3057</f>
        <v>1</v>
      </c>
    </row>
    <row r="3058" spans="1:18" x14ac:dyDescent="0.3">
      <c r="A3058">
        <v>54</v>
      </c>
      <c r="B3058">
        <v>142</v>
      </c>
      <c r="C3058" t="s">
        <v>26</v>
      </c>
      <c r="D3058" t="s">
        <v>15</v>
      </c>
      <c r="E3058">
        <v>30</v>
      </c>
      <c r="F3058" t="s">
        <v>23</v>
      </c>
      <c r="G3058">
        <v>19060.800000000003</v>
      </c>
      <c r="H3058">
        <v>13871</v>
      </c>
      <c r="I3058">
        <v>12</v>
      </c>
      <c r="J3058">
        <v>23</v>
      </c>
      <c r="K3058">
        <v>5</v>
      </c>
      <c r="L3058">
        <v>3</v>
      </c>
      <c r="M3058">
        <v>4</v>
      </c>
      <c r="N3058">
        <v>4</v>
      </c>
      <c r="P3058">
        <f>G3058*I3058/100</f>
        <v>2287.2960000000003</v>
      </c>
      <c r="Q3058">
        <f t="shared" si="24"/>
        <v>228729.60000000003</v>
      </c>
      <c r="R3058">
        <f>K3058/J3058</f>
        <v>0.21739130434782608</v>
      </c>
    </row>
    <row r="3059" spans="1:18" x14ac:dyDescent="0.3">
      <c r="A3059">
        <v>24</v>
      </c>
      <c r="B3059">
        <v>1127</v>
      </c>
      <c r="C3059" t="s">
        <v>17</v>
      </c>
      <c r="D3059" t="s">
        <v>18</v>
      </c>
      <c r="E3059">
        <v>52</v>
      </c>
      <c r="F3059" t="s">
        <v>20</v>
      </c>
      <c r="G3059">
        <v>3051.4</v>
      </c>
      <c r="H3059">
        <v>13257</v>
      </c>
      <c r="I3059">
        <v>12</v>
      </c>
      <c r="J3059">
        <v>6</v>
      </c>
      <c r="K3059">
        <v>5</v>
      </c>
      <c r="L3059">
        <v>3</v>
      </c>
      <c r="M3059">
        <v>1</v>
      </c>
      <c r="N3059">
        <v>2</v>
      </c>
      <c r="P3059">
        <f>G3059*I3059/100</f>
        <v>366.16800000000001</v>
      </c>
      <c r="Q3059">
        <f t="shared" si="24"/>
        <v>36616.800000000003</v>
      </c>
      <c r="R3059">
        <f>K3059/J3059</f>
        <v>0.83333333333333337</v>
      </c>
    </row>
    <row r="3060" spans="1:18" x14ac:dyDescent="0.3">
      <c r="A3060">
        <v>34</v>
      </c>
      <c r="B3060">
        <v>1031</v>
      </c>
      <c r="C3060" t="s">
        <v>17</v>
      </c>
      <c r="D3060" t="s">
        <v>15</v>
      </c>
      <c r="E3060">
        <v>45</v>
      </c>
      <c r="F3060" t="s">
        <v>19</v>
      </c>
      <c r="G3060">
        <v>4955.5</v>
      </c>
      <c r="H3060">
        <v>15000</v>
      </c>
      <c r="I3060">
        <v>15</v>
      </c>
      <c r="J3060">
        <v>12</v>
      </c>
      <c r="K3060">
        <v>1</v>
      </c>
      <c r="L3060">
        <v>0</v>
      </c>
      <c r="M3060">
        <v>0</v>
      </c>
      <c r="N3060">
        <v>0</v>
      </c>
      <c r="P3060">
        <f>G3060*I3060/100</f>
        <v>743.32500000000005</v>
      </c>
      <c r="Q3060">
        <f t="shared" si="24"/>
        <v>59466</v>
      </c>
      <c r="R3060">
        <f>K3060/J3060</f>
        <v>8.3333333333333329E-2</v>
      </c>
    </row>
    <row r="3061" spans="1:18" x14ac:dyDescent="0.3">
      <c r="A3061">
        <v>37</v>
      </c>
      <c r="B3061">
        <v>1189</v>
      </c>
      <c r="C3061" t="s">
        <v>14</v>
      </c>
      <c r="D3061" t="s">
        <v>18</v>
      </c>
      <c r="E3061">
        <v>87</v>
      </c>
      <c r="F3061" t="s">
        <v>16</v>
      </c>
      <c r="G3061">
        <v>8170.8000000000011</v>
      </c>
      <c r="H3061">
        <v>14506</v>
      </c>
      <c r="I3061">
        <v>12</v>
      </c>
      <c r="J3061">
        <v>12</v>
      </c>
      <c r="K3061">
        <v>5</v>
      </c>
      <c r="L3061">
        <v>3</v>
      </c>
      <c r="M3061">
        <v>1</v>
      </c>
      <c r="N3061">
        <v>3</v>
      </c>
      <c r="P3061">
        <f>G3061*I3061/100</f>
        <v>980.49600000000009</v>
      </c>
      <c r="Q3061">
        <f t="shared" si="24"/>
        <v>98049.600000000006</v>
      </c>
      <c r="R3061">
        <f>K3061/J3061</f>
        <v>0.41666666666666669</v>
      </c>
    </row>
    <row r="3062" spans="1:18" x14ac:dyDescent="0.3">
      <c r="A3062">
        <v>34</v>
      </c>
      <c r="B3062">
        <v>1354</v>
      </c>
      <c r="C3062" t="s">
        <v>17</v>
      </c>
      <c r="D3062" t="s">
        <v>15</v>
      </c>
      <c r="E3062">
        <v>45</v>
      </c>
      <c r="F3062" t="s">
        <v>23</v>
      </c>
      <c r="G3062">
        <v>12794.1</v>
      </c>
      <c r="H3062">
        <v>5615</v>
      </c>
      <c r="I3062">
        <v>12</v>
      </c>
      <c r="J3062">
        <v>14</v>
      </c>
      <c r="K3062">
        <v>11</v>
      </c>
      <c r="L3062">
        <v>10</v>
      </c>
      <c r="M3062">
        <v>5</v>
      </c>
      <c r="N3062">
        <v>8</v>
      </c>
      <c r="P3062">
        <f>G3062*I3062/100</f>
        <v>1535.2920000000001</v>
      </c>
      <c r="Q3062">
        <f t="shared" si="24"/>
        <v>153529.20000000001</v>
      </c>
      <c r="R3062">
        <f>K3062/J3062</f>
        <v>0.7857142857142857</v>
      </c>
    </row>
    <row r="3063" spans="1:18" x14ac:dyDescent="0.3">
      <c r="A3063">
        <v>36</v>
      </c>
      <c r="B3063">
        <v>1467</v>
      </c>
      <c r="C3063" t="s">
        <v>14</v>
      </c>
      <c r="D3063" t="s">
        <v>15</v>
      </c>
      <c r="E3063">
        <v>92</v>
      </c>
      <c r="F3063" t="s">
        <v>16</v>
      </c>
      <c r="G3063">
        <v>10711.800000000001</v>
      </c>
      <c r="H3063">
        <v>22952</v>
      </c>
      <c r="I3063">
        <v>14</v>
      </c>
      <c r="J3063">
        <v>10</v>
      </c>
      <c r="K3063">
        <v>9</v>
      </c>
      <c r="L3063">
        <v>7</v>
      </c>
      <c r="M3063">
        <v>2</v>
      </c>
      <c r="N3063">
        <v>8</v>
      </c>
      <c r="P3063">
        <f>G3063*I3063/100</f>
        <v>1499.652</v>
      </c>
      <c r="Q3063">
        <f t="shared" si="24"/>
        <v>128541.6</v>
      </c>
      <c r="R3063">
        <f>K3063/J3063</f>
        <v>0.9</v>
      </c>
    </row>
    <row r="3064" spans="1:18" x14ac:dyDescent="0.3">
      <c r="A3064">
        <v>36</v>
      </c>
      <c r="B3064">
        <v>922</v>
      </c>
      <c r="C3064" t="s">
        <v>17</v>
      </c>
      <c r="D3064" t="s">
        <v>15</v>
      </c>
      <c r="E3064">
        <v>39</v>
      </c>
      <c r="F3064" t="s">
        <v>20</v>
      </c>
      <c r="G3064">
        <v>3118.5000000000005</v>
      </c>
      <c r="H3064">
        <v>2561</v>
      </c>
      <c r="I3064">
        <v>22</v>
      </c>
      <c r="J3064">
        <v>7</v>
      </c>
      <c r="K3064">
        <v>1</v>
      </c>
      <c r="L3064">
        <v>0</v>
      </c>
      <c r="M3064">
        <v>0</v>
      </c>
      <c r="N3064">
        <v>0</v>
      </c>
      <c r="P3064">
        <f>G3064*I3064/100</f>
        <v>686.07000000000016</v>
      </c>
      <c r="Q3064">
        <f t="shared" si="24"/>
        <v>37422.000000000007</v>
      </c>
      <c r="R3064">
        <f>K3064/J3064</f>
        <v>0.14285714285714285</v>
      </c>
    </row>
    <row r="3065" spans="1:18" x14ac:dyDescent="0.3">
      <c r="A3065">
        <v>43</v>
      </c>
      <c r="B3065">
        <v>394</v>
      </c>
      <c r="C3065" t="s">
        <v>14</v>
      </c>
      <c r="D3065" t="s">
        <v>18</v>
      </c>
      <c r="E3065">
        <v>92</v>
      </c>
      <c r="F3065" t="s">
        <v>23</v>
      </c>
      <c r="G3065">
        <v>18654.900000000001</v>
      </c>
      <c r="H3065">
        <v>19494</v>
      </c>
      <c r="I3065">
        <v>12</v>
      </c>
      <c r="J3065">
        <v>25</v>
      </c>
      <c r="K3065">
        <v>25</v>
      </c>
      <c r="L3065">
        <v>12</v>
      </c>
      <c r="M3065">
        <v>4</v>
      </c>
      <c r="N3065">
        <v>12</v>
      </c>
      <c r="P3065">
        <f>G3065*I3065/100</f>
        <v>2238.5880000000002</v>
      </c>
      <c r="Q3065">
        <f t="shared" si="24"/>
        <v>223858.80000000002</v>
      </c>
      <c r="R3065">
        <f>K3065/J3065</f>
        <v>1</v>
      </c>
    </row>
    <row r="3066" spans="1:18" x14ac:dyDescent="0.3">
      <c r="A3066">
        <v>30</v>
      </c>
      <c r="B3066">
        <v>1312</v>
      </c>
      <c r="C3066" t="s">
        <v>17</v>
      </c>
      <c r="D3066" t="s">
        <v>18</v>
      </c>
      <c r="E3066">
        <v>96</v>
      </c>
      <c r="F3066" t="s">
        <v>19</v>
      </c>
      <c r="G3066">
        <v>2874.3</v>
      </c>
      <c r="H3066">
        <v>22310</v>
      </c>
      <c r="I3066">
        <v>25</v>
      </c>
      <c r="J3066">
        <v>10</v>
      </c>
      <c r="K3066">
        <v>10</v>
      </c>
      <c r="L3066">
        <v>7</v>
      </c>
      <c r="M3066">
        <v>0</v>
      </c>
      <c r="N3066">
        <v>9</v>
      </c>
      <c r="P3066">
        <f>G3066*I3066/100</f>
        <v>718.57500000000005</v>
      </c>
      <c r="Q3066">
        <f t="shared" si="24"/>
        <v>34491.600000000006</v>
      </c>
      <c r="R3066">
        <f>K3066/J3066</f>
        <v>1</v>
      </c>
    </row>
    <row r="3067" spans="1:18" x14ac:dyDescent="0.3">
      <c r="A3067">
        <v>33</v>
      </c>
      <c r="B3067">
        <v>750</v>
      </c>
      <c r="C3067" t="s">
        <v>14</v>
      </c>
      <c r="D3067" t="s">
        <v>18</v>
      </c>
      <c r="E3067">
        <v>95</v>
      </c>
      <c r="F3067" t="s">
        <v>16</v>
      </c>
      <c r="G3067">
        <v>6760.6</v>
      </c>
      <c r="H3067">
        <v>15480</v>
      </c>
      <c r="I3067">
        <v>13</v>
      </c>
      <c r="J3067">
        <v>8</v>
      </c>
      <c r="K3067">
        <v>7</v>
      </c>
      <c r="L3067">
        <v>7</v>
      </c>
      <c r="M3067">
        <v>0</v>
      </c>
      <c r="N3067">
        <v>7</v>
      </c>
      <c r="P3067">
        <f>G3067*I3067/100</f>
        <v>878.87800000000004</v>
      </c>
      <c r="Q3067">
        <f t="shared" si="24"/>
        <v>81127.200000000012</v>
      </c>
      <c r="R3067">
        <f>K3067/J3067</f>
        <v>0.875</v>
      </c>
    </row>
    <row r="3068" spans="1:18" x14ac:dyDescent="0.3">
      <c r="A3068">
        <v>56</v>
      </c>
      <c r="B3068">
        <v>441</v>
      </c>
      <c r="C3068" t="s">
        <v>17</v>
      </c>
      <c r="D3068" t="s">
        <v>15</v>
      </c>
      <c r="E3068">
        <v>72</v>
      </c>
      <c r="F3068" t="s">
        <v>19</v>
      </c>
      <c r="G3068">
        <v>5459.3</v>
      </c>
      <c r="H3068">
        <v>4510</v>
      </c>
      <c r="I3068">
        <v>18</v>
      </c>
      <c r="J3068">
        <v>7</v>
      </c>
      <c r="K3068">
        <v>5</v>
      </c>
      <c r="L3068">
        <v>4</v>
      </c>
      <c r="M3068">
        <v>4</v>
      </c>
      <c r="N3068">
        <v>3</v>
      </c>
      <c r="P3068">
        <f>G3068*I3068/100</f>
        <v>982.67400000000009</v>
      </c>
      <c r="Q3068">
        <f t="shared" si="24"/>
        <v>65511.600000000006</v>
      </c>
      <c r="R3068">
        <f>K3068/J3068</f>
        <v>0.7142857142857143</v>
      </c>
    </row>
    <row r="3069" spans="1:18" x14ac:dyDescent="0.3">
      <c r="A3069">
        <v>51</v>
      </c>
      <c r="B3069">
        <v>684</v>
      </c>
      <c r="C3069" t="s">
        <v>17</v>
      </c>
      <c r="D3069" t="s">
        <v>18</v>
      </c>
      <c r="E3069">
        <v>51</v>
      </c>
      <c r="F3069" t="s">
        <v>25</v>
      </c>
      <c r="G3069">
        <v>21490.7</v>
      </c>
      <c r="H3069">
        <v>6462</v>
      </c>
      <c r="I3069">
        <v>13</v>
      </c>
      <c r="J3069">
        <v>23</v>
      </c>
      <c r="K3069">
        <v>20</v>
      </c>
      <c r="L3069">
        <v>18</v>
      </c>
      <c r="M3069">
        <v>15</v>
      </c>
      <c r="N3069">
        <v>15</v>
      </c>
      <c r="P3069">
        <f>G3069*I3069/100</f>
        <v>2793.7910000000002</v>
      </c>
      <c r="Q3069">
        <f t="shared" si="24"/>
        <v>257888.40000000002</v>
      </c>
      <c r="R3069">
        <f>K3069/J3069</f>
        <v>0.86956521739130432</v>
      </c>
    </row>
    <row r="3070" spans="1:18" x14ac:dyDescent="0.3">
      <c r="A3070">
        <v>31</v>
      </c>
      <c r="B3070">
        <v>249</v>
      </c>
      <c r="C3070" t="s">
        <v>14</v>
      </c>
      <c r="D3070" t="s">
        <v>18</v>
      </c>
      <c r="E3070">
        <v>76</v>
      </c>
      <c r="F3070" t="s">
        <v>16</v>
      </c>
      <c r="G3070">
        <v>6789.2000000000007</v>
      </c>
      <c r="H3070">
        <v>20739</v>
      </c>
      <c r="I3070">
        <v>18</v>
      </c>
      <c r="J3070">
        <v>12</v>
      </c>
      <c r="K3070">
        <v>7</v>
      </c>
      <c r="L3070">
        <v>7</v>
      </c>
      <c r="M3070">
        <v>7</v>
      </c>
      <c r="N3070">
        <v>7</v>
      </c>
      <c r="P3070">
        <f>G3070*I3070/100</f>
        <v>1222.056</v>
      </c>
      <c r="Q3070">
        <f t="shared" si="24"/>
        <v>81470.400000000009</v>
      </c>
      <c r="R3070">
        <f>K3070/J3070</f>
        <v>0.58333333333333337</v>
      </c>
    </row>
    <row r="3071" spans="1:18" x14ac:dyDescent="0.3">
      <c r="A3071">
        <v>26</v>
      </c>
      <c r="B3071">
        <v>841</v>
      </c>
      <c r="C3071" t="s">
        <v>17</v>
      </c>
      <c r="D3071" t="s">
        <v>15</v>
      </c>
      <c r="E3071">
        <v>46</v>
      </c>
      <c r="F3071" t="s">
        <v>19</v>
      </c>
      <c r="G3071">
        <v>2604.8000000000002</v>
      </c>
      <c r="H3071">
        <v>23300</v>
      </c>
      <c r="I3071">
        <v>19</v>
      </c>
      <c r="J3071">
        <v>5</v>
      </c>
      <c r="K3071">
        <v>5</v>
      </c>
      <c r="L3071">
        <v>4</v>
      </c>
      <c r="M3071">
        <v>4</v>
      </c>
      <c r="N3071">
        <v>3</v>
      </c>
      <c r="P3071">
        <f>G3071*I3071/100</f>
        <v>494.91200000000003</v>
      </c>
      <c r="Q3071">
        <f t="shared" si="24"/>
        <v>31257.600000000002</v>
      </c>
      <c r="R3071">
        <f>K3071/J3071</f>
        <v>1</v>
      </c>
    </row>
    <row r="3072" spans="1:18" x14ac:dyDescent="0.3">
      <c r="A3072">
        <v>58</v>
      </c>
      <c r="B3072">
        <v>147</v>
      </c>
      <c r="C3072" t="s">
        <v>17</v>
      </c>
      <c r="D3072" t="s">
        <v>15</v>
      </c>
      <c r="E3072">
        <v>94</v>
      </c>
      <c r="F3072" t="s">
        <v>22</v>
      </c>
      <c r="G3072">
        <v>11343.2</v>
      </c>
      <c r="H3072">
        <v>3465</v>
      </c>
      <c r="I3072">
        <v>12</v>
      </c>
      <c r="J3072">
        <v>40</v>
      </c>
      <c r="K3072">
        <v>40</v>
      </c>
      <c r="L3072">
        <v>10</v>
      </c>
      <c r="M3072">
        <v>15</v>
      </c>
      <c r="N3072">
        <v>6</v>
      </c>
      <c r="P3072">
        <f>G3072*I3072/100</f>
        <v>1361.1840000000002</v>
      </c>
      <c r="Q3072">
        <f t="shared" si="24"/>
        <v>136118.40000000002</v>
      </c>
      <c r="R3072">
        <f>K3072/J3072</f>
        <v>1</v>
      </c>
    </row>
    <row r="3073" spans="1:18" x14ac:dyDescent="0.3">
      <c r="A3073">
        <v>19</v>
      </c>
      <c r="B3073">
        <v>528</v>
      </c>
      <c r="C3073" t="s">
        <v>14</v>
      </c>
      <c r="D3073" t="s">
        <v>18</v>
      </c>
      <c r="E3073">
        <v>50</v>
      </c>
      <c r="F3073" t="s">
        <v>24</v>
      </c>
      <c r="G3073">
        <v>1842.5000000000002</v>
      </c>
      <c r="H3073">
        <v>26820</v>
      </c>
      <c r="I3073">
        <v>19</v>
      </c>
      <c r="J3073">
        <v>0</v>
      </c>
      <c r="K3073">
        <v>0</v>
      </c>
      <c r="L3073">
        <v>0</v>
      </c>
      <c r="M3073">
        <v>0</v>
      </c>
      <c r="N3073">
        <v>0</v>
      </c>
      <c r="P3073">
        <f>G3073*I3073/100</f>
        <v>350.07500000000005</v>
      </c>
      <c r="Q3073">
        <f t="shared" si="24"/>
        <v>22110.000000000004</v>
      </c>
      <c r="R3073" t="e">
        <f>K3073/J3073</f>
        <v>#DIV/0!</v>
      </c>
    </row>
    <row r="3074" spans="1:18" x14ac:dyDescent="0.3">
      <c r="A3074">
        <v>22</v>
      </c>
      <c r="B3074">
        <v>594</v>
      </c>
      <c r="C3074" t="s">
        <v>17</v>
      </c>
      <c r="D3074" t="s">
        <v>18</v>
      </c>
      <c r="E3074">
        <v>100</v>
      </c>
      <c r="F3074" t="s">
        <v>20</v>
      </c>
      <c r="G3074">
        <v>2775.3</v>
      </c>
      <c r="H3074">
        <v>19299</v>
      </c>
      <c r="I3074">
        <v>14</v>
      </c>
      <c r="J3074">
        <v>3</v>
      </c>
      <c r="K3074">
        <v>2</v>
      </c>
      <c r="L3074">
        <v>1</v>
      </c>
      <c r="M3074">
        <v>2</v>
      </c>
      <c r="N3074">
        <v>1</v>
      </c>
      <c r="P3074">
        <f>G3074*I3074/100</f>
        <v>388.54200000000003</v>
      </c>
      <c r="Q3074">
        <f t="shared" si="24"/>
        <v>33303.600000000006</v>
      </c>
      <c r="R3074">
        <f>K3074/J3074</f>
        <v>0.66666666666666663</v>
      </c>
    </row>
    <row r="3075" spans="1:18" x14ac:dyDescent="0.3">
      <c r="A3075">
        <v>49</v>
      </c>
      <c r="B3075">
        <v>470</v>
      </c>
      <c r="C3075" t="s">
        <v>17</v>
      </c>
      <c r="D3075" t="s">
        <v>15</v>
      </c>
      <c r="E3075">
        <v>96</v>
      </c>
      <c r="F3075" t="s">
        <v>21</v>
      </c>
      <c r="G3075">
        <v>7223.7000000000007</v>
      </c>
      <c r="H3075">
        <v>5549</v>
      </c>
      <c r="I3075">
        <v>14</v>
      </c>
      <c r="J3075">
        <v>16</v>
      </c>
      <c r="K3075">
        <v>15</v>
      </c>
      <c r="L3075">
        <v>11</v>
      </c>
      <c r="M3075">
        <v>5</v>
      </c>
      <c r="N3075">
        <v>11</v>
      </c>
      <c r="P3075">
        <f>G3075*I3075/100</f>
        <v>1011.3180000000002</v>
      </c>
      <c r="Q3075">
        <f t="shared" ref="Q3075:Q3138" si="25">G3075*12</f>
        <v>86684.400000000009</v>
      </c>
      <c r="R3075">
        <f>K3075/J3075</f>
        <v>0.9375</v>
      </c>
    </row>
    <row r="3076" spans="1:18" x14ac:dyDescent="0.3">
      <c r="A3076">
        <v>43</v>
      </c>
      <c r="B3076">
        <v>957</v>
      </c>
      <c r="C3076" t="s">
        <v>17</v>
      </c>
      <c r="D3076" t="s">
        <v>15</v>
      </c>
      <c r="E3076">
        <v>72</v>
      </c>
      <c r="F3076" t="s">
        <v>19</v>
      </c>
      <c r="G3076">
        <v>5212.9000000000005</v>
      </c>
      <c r="H3076">
        <v>16090</v>
      </c>
      <c r="I3076">
        <v>12</v>
      </c>
      <c r="J3076">
        <v>18</v>
      </c>
      <c r="K3076">
        <v>3</v>
      </c>
      <c r="L3076">
        <v>2</v>
      </c>
      <c r="M3076">
        <v>1</v>
      </c>
      <c r="N3076">
        <v>2</v>
      </c>
      <c r="P3076">
        <f>G3076*I3076/100</f>
        <v>625.548</v>
      </c>
      <c r="Q3076">
        <f t="shared" si="25"/>
        <v>62554.8</v>
      </c>
      <c r="R3076">
        <f>K3076/J3076</f>
        <v>0.16666666666666666</v>
      </c>
    </row>
    <row r="3077" spans="1:18" x14ac:dyDescent="0.3">
      <c r="A3077">
        <v>50</v>
      </c>
      <c r="B3077">
        <v>809</v>
      </c>
      <c r="C3077" t="s">
        <v>14</v>
      </c>
      <c r="D3077" t="s">
        <v>15</v>
      </c>
      <c r="E3077">
        <v>77</v>
      </c>
      <c r="F3077" t="s">
        <v>16</v>
      </c>
      <c r="G3077">
        <v>10128.800000000001</v>
      </c>
      <c r="H3077">
        <v>6645</v>
      </c>
      <c r="I3077">
        <v>11</v>
      </c>
      <c r="J3077">
        <v>16</v>
      </c>
      <c r="K3077">
        <v>2</v>
      </c>
      <c r="L3077">
        <v>2</v>
      </c>
      <c r="M3077">
        <v>2</v>
      </c>
      <c r="N3077">
        <v>1</v>
      </c>
      <c r="P3077">
        <f>G3077*I3077/100</f>
        <v>1114.1680000000001</v>
      </c>
      <c r="Q3077">
        <f t="shared" si="25"/>
        <v>121545.60000000001</v>
      </c>
      <c r="R3077">
        <f>K3077/J3077</f>
        <v>0.125</v>
      </c>
    </row>
    <row r="3078" spans="1:18" x14ac:dyDescent="0.3">
      <c r="A3078">
        <v>31</v>
      </c>
      <c r="B3078">
        <v>542</v>
      </c>
      <c r="C3078" t="s">
        <v>14</v>
      </c>
      <c r="D3078" t="s">
        <v>15</v>
      </c>
      <c r="E3078">
        <v>71</v>
      </c>
      <c r="F3078" t="s">
        <v>16</v>
      </c>
      <c r="G3078">
        <v>5014.9000000000005</v>
      </c>
      <c r="H3078">
        <v>24788</v>
      </c>
      <c r="I3078">
        <v>11</v>
      </c>
      <c r="J3078">
        <v>4</v>
      </c>
      <c r="K3078">
        <v>2</v>
      </c>
      <c r="L3078">
        <v>2</v>
      </c>
      <c r="M3078">
        <v>2</v>
      </c>
      <c r="N3078">
        <v>2</v>
      </c>
      <c r="P3078">
        <f>G3078*I3078/100</f>
        <v>551.63900000000012</v>
      </c>
      <c r="Q3078">
        <f t="shared" si="25"/>
        <v>60178.8</v>
      </c>
      <c r="R3078">
        <f>K3078/J3078</f>
        <v>0.5</v>
      </c>
    </row>
    <row r="3079" spans="1:18" x14ac:dyDescent="0.3">
      <c r="A3079">
        <v>41</v>
      </c>
      <c r="B3079">
        <v>802</v>
      </c>
      <c r="C3079" t="s">
        <v>14</v>
      </c>
      <c r="D3079" t="s">
        <v>18</v>
      </c>
      <c r="E3079">
        <v>96</v>
      </c>
      <c r="F3079" t="s">
        <v>16</v>
      </c>
      <c r="G3079">
        <v>9007.9000000000015</v>
      </c>
      <c r="H3079">
        <v>21196</v>
      </c>
      <c r="I3079">
        <v>13</v>
      </c>
      <c r="J3079">
        <v>12</v>
      </c>
      <c r="K3079">
        <v>9</v>
      </c>
      <c r="L3079">
        <v>7</v>
      </c>
      <c r="M3079">
        <v>0</v>
      </c>
      <c r="N3079">
        <v>7</v>
      </c>
      <c r="P3079">
        <f>G3079*I3079/100</f>
        <v>1171.027</v>
      </c>
      <c r="Q3079">
        <f t="shared" si="25"/>
        <v>108094.80000000002</v>
      </c>
      <c r="R3079">
        <f>K3079/J3079</f>
        <v>0.75</v>
      </c>
    </row>
    <row r="3080" spans="1:18" x14ac:dyDescent="0.3">
      <c r="A3080">
        <v>26</v>
      </c>
      <c r="B3080">
        <v>1355</v>
      </c>
      <c r="C3080" t="s">
        <v>26</v>
      </c>
      <c r="D3080" t="s">
        <v>15</v>
      </c>
      <c r="E3080">
        <v>61</v>
      </c>
      <c r="F3080" t="s">
        <v>26</v>
      </c>
      <c r="G3080">
        <v>3236.2000000000003</v>
      </c>
      <c r="H3080">
        <v>8916</v>
      </c>
      <c r="I3080">
        <v>23</v>
      </c>
      <c r="J3080">
        <v>8</v>
      </c>
      <c r="K3080">
        <v>8</v>
      </c>
      <c r="L3080">
        <v>7</v>
      </c>
      <c r="M3080">
        <v>5</v>
      </c>
      <c r="N3080">
        <v>7</v>
      </c>
      <c r="P3080">
        <f>G3080*I3080/100</f>
        <v>744.32600000000002</v>
      </c>
      <c r="Q3080">
        <f t="shared" si="25"/>
        <v>38834.400000000001</v>
      </c>
      <c r="R3080">
        <f>K3080/J3080</f>
        <v>1</v>
      </c>
    </row>
    <row r="3081" spans="1:18" x14ac:dyDescent="0.3">
      <c r="A3081">
        <v>36</v>
      </c>
      <c r="B3081">
        <v>216</v>
      </c>
      <c r="C3081" t="s">
        <v>17</v>
      </c>
      <c r="D3081" t="s">
        <v>18</v>
      </c>
      <c r="E3081">
        <v>84</v>
      </c>
      <c r="F3081" t="s">
        <v>21</v>
      </c>
      <c r="G3081">
        <v>5435.1</v>
      </c>
      <c r="H3081">
        <v>2819</v>
      </c>
      <c r="I3081">
        <v>20</v>
      </c>
      <c r="J3081">
        <v>7</v>
      </c>
      <c r="K3081">
        <v>3</v>
      </c>
      <c r="L3081">
        <v>2</v>
      </c>
      <c r="M3081">
        <v>0</v>
      </c>
      <c r="N3081">
        <v>1</v>
      </c>
      <c r="P3081">
        <f>G3081*I3081/100</f>
        <v>1087.02</v>
      </c>
      <c r="Q3081">
        <f t="shared" si="25"/>
        <v>65221.200000000004</v>
      </c>
      <c r="R3081">
        <f>K3081/J3081</f>
        <v>0.42857142857142855</v>
      </c>
    </row>
    <row r="3082" spans="1:18" x14ac:dyDescent="0.3">
      <c r="A3082">
        <v>51</v>
      </c>
      <c r="B3082">
        <v>1150</v>
      </c>
      <c r="C3082" t="s">
        <v>17</v>
      </c>
      <c r="D3082" t="s">
        <v>18</v>
      </c>
      <c r="E3082">
        <v>53</v>
      </c>
      <c r="F3082" t="s">
        <v>21</v>
      </c>
      <c r="G3082">
        <v>11715.000000000002</v>
      </c>
      <c r="H3082">
        <v>25150</v>
      </c>
      <c r="I3082">
        <v>15</v>
      </c>
      <c r="J3082">
        <v>18</v>
      </c>
      <c r="K3082">
        <v>4</v>
      </c>
      <c r="L3082">
        <v>2</v>
      </c>
      <c r="M3082">
        <v>0</v>
      </c>
      <c r="N3082">
        <v>3</v>
      </c>
      <c r="P3082">
        <f>G3082*I3082/100</f>
        <v>1757.2500000000002</v>
      </c>
      <c r="Q3082">
        <f t="shared" si="25"/>
        <v>140580.00000000003</v>
      </c>
      <c r="R3082">
        <f>K3082/J3082</f>
        <v>0.22222222222222221</v>
      </c>
    </row>
    <row r="3083" spans="1:18" x14ac:dyDescent="0.3">
      <c r="A3083">
        <v>39</v>
      </c>
      <c r="B3083">
        <v>1329</v>
      </c>
      <c r="C3083" t="s">
        <v>14</v>
      </c>
      <c r="D3083" t="s">
        <v>15</v>
      </c>
      <c r="E3083">
        <v>47</v>
      </c>
      <c r="F3083" t="s">
        <v>16</v>
      </c>
      <c r="G3083">
        <v>6492.2000000000007</v>
      </c>
      <c r="H3083">
        <v>14590</v>
      </c>
      <c r="I3083">
        <v>14</v>
      </c>
      <c r="J3083">
        <v>17</v>
      </c>
      <c r="K3083">
        <v>15</v>
      </c>
      <c r="L3083">
        <v>11</v>
      </c>
      <c r="M3083">
        <v>5</v>
      </c>
      <c r="N3083">
        <v>9</v>
      </c>
      <c r="P3083">
        <f>G3083*I3083/100</f>
        <v>908.90800000000013</v>
      </c>
      <c r="Q3083">
        <f t="shared" si="25"/>
        <v>77906.400000000009</v>
      </c>
      <c r="R3083">
        <f>K3083/J3083</f>
        <v>0.88235294117647056</v>
      </c>
    </row>
    <row r="3084" spans="1:18" x14ac:dyDescent="0.3">
      <c r="A3084">
        <v>25</v>
      </c>
      <c r="B3084">
        <v>959</v>
      </c>
      <c r="C3084" t="s">
        <v>14</v>
      </c>
      <c r="D3084" t="s">
        <v>18</v>
      </c>
      <c r="E3084">
        <v>41</v>
      </c>
      <c r="F3084" t="s">
        <v>16</v>
      </c>
      <c r="G3084">
        <v>9502.9000000000015</v>
      </c>
      <c r="H3084">
        <v>24835</v>
      </c>
      <c r="I3084">
        <v>18</v>
      </c>
      <c r="J3084">
        <v>6</v>
      </c>
      <c r="K3084">
        <v>2</v>
      </c>
      <c r="L3084">
        <v>2</v>
      </c>
      <c r="M3084">
        <v>2</v>
      </c>
      <c r="N3084">
        <v>2</v>
      </c>
      <c r="P3084">
        <f>G3084*I3084/100</f>
        <v>1710.5220000000002</v>
      </c>
      <c r="Q3084">
        <f t="shared" si="25"/>
        <v>114034.80000000002</v>
      </c>
      <c r="R3084">
        <f>K3084/J3084</f>
        <v>0.33333333333333331</v>
      </c>
    </row>
    <row r="3085" spans="1:18" x14ac:dyDescent="0.3">
      <c r="A3085">
        <v>30</v>
      </c>
      <c r="B3085">
        <v>1240</v>
      </c>
      <c r="C3085" t="s">
        <v>26</v>
      </c>
      <c r="D3085" t="s">
        <v>18</v>
      </c>
      <c r="E3085">
        <v>48</v>
      </c>
      <c r="F3085" t="s">
        <v>26</v>
      </c>
      <c r="G3085">
        <v>6981.7000000000007</v>
      </c>
      <c r="H3085">
        <v>13982</v>
      </c>
      <c r="I3085">
        <v>19</v>
      </c>
      <c r="J3085">
        <v>12</v>
      </c>
      <c r="K3085">
        <v>11</v>
      </c>
      <c r="L3085">
        <v>9</v>
      </c>
      <c r="M3085">
        <v>4</v>
      </c>
      <c r="N3085">
        <v>7</v>
      </c>
      <c r="P3085">
        <f>G3085*I3085/100</f>
        <v>1326.5230000000001</v>
      </c>
      <c r="Q3085">
        <f t="shared" si="25"/>
        <v>83780.400000000009</v>
      </c>
      <c r="R3085">
        <f>K3085/J3085</f>
        <v>0.91666666666666663</v>
      </c>
    </row>
    <row r="3086" spans="1:18" x14ac:dyDescent="0.3">
      <c r="A3086">
        <v>32</v>
      </c>
      <c r="B3086">
        <v>1033</v>
      </c>
      <c r="C3086" t="s">
        <v>17</v>
      </c>
      <c r="D3086" t="s">
        <v>15</v>
      </c>
      <c r="E3086">
        <v>41</v>
      </c>
      <c r="F3086" t="s">
        <v>20</v>
      </c>
      <c r="G3086">
        <v>4620</v>
      </c>
      <c r="H3086">
        <v>10224</v>
      </c>
      <c r="I3086">
        <v>22</v>
      </c>
      <c r="J3086">
        <v>10</v>
      </c>
      <c r="K3086">
        <v>5</v>
      </c>
      <c r="L3086">
        <v>4</v>
      </c>
      <c r="M3086">
        <v>0</v>
      </c>
      <c r="N3086">
        <v>4</v>
      </c>
      <c r="P3086">
        <f>G3086*I3086/100</f>
        <v>1016.4</v>
      </c>
      <c r="Q3086">
        <f t="shared" si="25"/>
        <v>55440</v>
      </c>
      <c r="R3086">
        <f>K3086/J3086</f>
        <v>0.5</v>
      </c>
    </row>
    <row r="3087" spans="1:18" x14ac:dyDescent="0.3">
      <c r="A3087">
        <v>45</v>
      </c>
      <c r="B3087">
        <v>1316</v>
      </c>
      <c r="C3087" t="s">
        <v>17</v>
      </c>
      <c r="D3087" t="s">
        <v>18</v>
      </c>
      <c r="E3087">
        <v>83</v>
      </c>
      <c r="F3087" t="s">
        <v>19</v>
      </c>
      <c r="G3087">
        <v>3797.2000000000003</v>
      </c>
      <c r="H3087">
        <v>9752</v>
      </c>
      <c r="I3087">
        <v>13</v>
      </c>
      <c r="J3087">
        <v>9</v>
      </c>
      <c r="K3087">
        <v>6</v>
      </c>
      <c r="L3087">
        <v>5</v>
      </c>
      <c r="M3087">
        <v>0</v>
      </c>
      <c r="N3087">
        <v>3</v>
      </c>
      <c r="P3087">
        <f>G3087*I3087/100</f>
        <v>493.63600000000008</v>
      </c>
      <c r="Q3087">
        <f t="shared" si="25"/>
        <v>45566.400000000001</v>
      </c>
      <c r="R3087">
        <f>K3087/J3087</f>
        <v>0.66666666666666663</v>
      </c>
    </row>
    <row r="3088" spans="1:18" x14ac:dyDescent="0.3">
      <c r="A3088">
        <v>38</v>
      </c>
      <c r="B3088">
        <v>364</v>
      </c>
      <c r="C3088" t="s">
        <v>17</v>
      </c>
      <c r="D3088" t="s">
        <v>15</v>
      </c>
      <c r="E3088">
        <v>32</v>
      </c>
      <c r="F3088" t="s">
        <v>19</v>
      </c>
      <c r="G3088">
        <v>4748.7000000000007</v>
      </c>
      <c r="H3088">
        <v>2302</v>
      </c>
      <c r="I3088">
        <v>20</v>
      </c>
      <c r="J3088">
        <v>19</v>
      </c>
      <c r="K3088">
        <v>3</v>
      </c>
      <c r="L3088">
        <v>2</v>
      </c>
      <c r="M3088">
        <v>2</v>
      </c>
      <c r="N3088">
        <v>2</v>
      </c>
      <c r="P3088">
        <f>G3088*I3088/100</f>
        <v>949.74000000000012</v>
      </c>
      <c r="Q3088">
        <f t="shared" si="25"/>
        <v>56984.400000000009</v>
      </c>
      <c r="R3088">
        <f>K3088/J3088</f>
        <v>0.15789473684210525</v>
      </c>
    </row>
    <row r="3089" spans="1:18" x14ac:dyDescent="0.3">
      <c r="A3089">
        <v>30</v>
      </c>
      <c r="B3089">
        <v>438</v>
      </c>
      <c r="C3089" t="s">
        <v>17</v>
      </c>
      <c r="D3089" t="s">
        <v>15</v>
      </c>
      <c r="E3089">
        <v>75</v>
      </c>
      <c r="F3089" t="s">
        <v>19</v>
      </c>
      <c r="G3089">
        <v>2895.2000000000003</v>
      </c>
      <c r="H3089">
        <v>23910</v>
      </c>
      <c r="I3089">
        <v>14</v>
      </c>
      <c r="J3089">
        <v>5</v>
      </c>
      <c r="K3089">
        <v>5</v>
      </c>
      <c r="L3089">
        <v>4</v>
      </c>
      <c r="M3089">
        <v>0</v>
      </c>
      <c r="N3089">
        <v>4</v>
      </c>
      <c r="P3089">
        <f>G3089*I3089/100</f>
        <v>405.32800000000003</v>
      </c>
      <c r="Q3089">
        <f t="shared" si="25"/>
        <v>34742.400000000001</v>
      </c>
      <c r="R3089">
        <f>K3089/J3089</f>
        <v>1</v>
      </c>
    </row>
    <row r="3090" spans="1:18" x14ac:dyDescent="0.3">
      <c r="A3090">
        <v>32</v>
      </c>
      <c r="B3090">
        <v>689</v>
      </c>
      <c r="C3090" t="s">
        <v>14</v>
      </c>
      <c r="D3090" t="s">
        <v>18</v>
      </c>
      <c r="E3090">
        <v>35</v>
      </c>
      <c r="F3090" t="s">
        <v>16</v>
      </c>
      <c r="G3090">
        <v>5134.8</v>
      </c>
      <c r="H3090">
        <v>22812</v>
      </c>
      <c r="I3090">
        <v>17</v>
      </c>
      <c r="J3090">
        <v>9</v>
      </c>
      <c r="K3090">
        <v>8</v>
      </c>
      <c r="L3090">
        <v>7</v>
      </c>
      <c r="M3090">
        <v>0</v>
      </c>
      <c r="N3090">
        <v>7</v>
      </c>
      <c r="P3090">
        <f>G3090*I3090/100</f>
        <v>872.91600000000005</v>
      </c>
      <c r="Q3090">
        <f t="shared" si="25"/>
        <v>61617.600000000006</v>
      </c>
      <c r="R3090">
        <f>K3090/J3090</f>
        <v>0.88888888888888884</v>
      </c>
    </row>
    <row r="3091" spans="1:18" x14ac:dyDescent="0.3">
      <c r="A3091">
        <v>30</v>
      </c>
      <c r="B3091">
        <v>201</v>
      </c>
      <c r="C3091" t="s">
        <v>17</v>
      </c>
      <c r="D3091" t="s">
        <v>15</v>
      </c>
      <c r="E3091">
        <v>84</v>
      </c>
      <c r="F3091" t="s">
        <v>19</v>
      </c>
      <c r="G3091">
        <v>3524.4</v>
      </c>
      <c r="H3091">
        <v>10415</v>
      </c>
      <c r="I3091">
        <v>14</v>
      </c>
      <c r="J3091">
        <v>8</v>
      </c>
      <c r="K3091">
        <v>3</v>
      </c>
      <c r="L3091">
        <v>2</v>
      </c>
      <c r="M3091">
        <v>2</v>
      </c>
      <c r="N3091">
        <v>2</v>
      </c>
      <c r="P3091">
        <f>G3091*I3091/100</f>
        <v>493.416</v>
      </c>
      <c r="Q3091">
        <f t="shared" si="25"/>
        <v>42292.800000000003</v>
      </c>
      <c r="R3091">
        <f>K3091/J3091</f>
        <v>0.375</v>
      </c>
    </row>
    <row r="3092" spans="1:18" x14ac:dyDescent="0.3">
      <c r="A3092">
        <v>30</v>
      </c>
      <c r="B3092">
        <v>1427</v>
      </c>
      <c r="C3092" t="s">
        <v>17</v>
      </c>
      <c r="D3092" t="s">
        <v>18</v>
      </c>
      <c r="E3092">
        <v>35</v>
      </c>
      <c r="F3092" t="s">
        <v>20</v>
      </c>
      <c r="G3092">
        <v>2992.0000000000005</v>
      </c>
      <c r="H3092">
        <v>11162</v>
      </c>
      <c r="I3092">
        <v>13</v>
      </c>
      <c r="J3092">
        <v>6</v>
      </c>
      <c r="K3092">
        <v>5</v>
      </c>
      <c r="L3092">
        <v>3</v>
      </c>
      <c r="M3092">
        <v>1</v>
      </c>
      <c r="N3092">
        <v>2</v>
      </c>
      <c r="P3092">
        <f>G3092*I3092/100</f>
        <v>388.96000000000009</v>
      </c>
      <c r="Q3092">
        <f t="shared" si="25"/>
        <v>35904.000000000007</v>
      </c>
      <c r="R3092">
        <f>K3092/J3092</f>
        <v>0.83333333333333337</v>
      </c>
    </row>
    <row r="3093" spans="1:18" x14ac:dyDescent="0.3">
      <c r="A3093">
        <v>41</v>
      </c>
      <c r="B3093">
        <v>857</v>
      </c>
      <c r="C3093" t="s">
        <v>17</v>
      </c>
      <c r="D3093" t="s">
        <v>18</v>
      </c>
      <c r="E3093">
        <v>91</v>
      </c>
      <c r="F3093" t="s">
        <v>23</v>
      </c>
      <c r="G3093">
        <v>18899.100000000002</v>
      </c>
      <c r="H3093">
        <v>12888</v>
      </c>
      <c r="I3093">
        <v>13</v>
      </c>
      <c r="J3093">
        <v>21</v>
      </c>
      <c r="K3093">
        <v>7</v>
      </c>
      <c r="L3093">
        <v>6</v>
      </c>
      <c r="M3093">
        <v>7</v>
      </c>
      <c r="N3093">
        <v>7</v>
      </c>
      <c r="P3093">
        <f>G3093*I3093/100</f>
        <v>2456.8830000000003</v>
      </c>
      <c r="Q3093">
        <f t="shared" si="25"/>
        <v>226789.2</v>
      </c>
      <c r="R3093">
        <f>K3093/J3093</f>
        <v>0.33333333333333331</v>
      </c>
    </row>
    <row r="3094" spans="1:18" x14ac:dyDescent="0.3">
      <c r="A3094">
        <v>41</v>
      </c>
      <c r="B3094">
        <v>933</v>
      </c>
      <c r="C3094" t="s">
        <v>17</v>
      </c>
      <c r="D3094" t="s">
        <v>18</v>
      </c>
      <c r="E3094">
        <v>94</v>
      </c>
      <c r="F3094" t="s">
        <v>20</v>
      </c>
      <c r="G3094">
        <v>2461.8000000000002</v>
      </c>
      <c r="H3094">
        <v>6961</v>
      </c>
      <c r="I3094">
        <v>21</v>
      </c>
      <c r="J3094">
        <v>7</v>
      </c>
      <c r="K3094">
        <v>5</v>
      </c>
      <c r="L3094">
        <v>0</v>
      </c>
      <c r="M3094">
        <v>1</v>
      </c>
      <c r="N3094">
        <v>4</v>
      </c>
      <c r="P3094">
        <f>G3094*I3094/100</f>
        <v>516.97800000000007</v>
      </c>
      <c r="Q3094">
        <f t="shared" si="25"/>
        <v>29541.600000000002</v>
      </c>
      <c r="R3094">
        <f>K3094/J3094</f>
        <v>0.7142857142857143</v>
      </c>
    </row>
    <row r="3095" spans="1:18" x14ac:dyDescent="0.3">
      <c r="A3095">
        <v>19</v>
      </c>
      <c r="B3095">
        <v>1181</v>
      </c>
      <c r="C3095" t="s">
        <v>17</v>
      </c>
      <c r="D3095" t="s">
        <v>15</v>
      </c>
      <c r="E3095">
        <v>79</v>
      </c>
      <c r="F3095" t="s">
        <v>20</v>
      </c>
      <c r="G3095">
        <v>1631.3000000000002</v>
      </c>
      <c r="H3095">
        <v>16102</v>
      </c>
      <c r="I3095">
        <v>14</v>
      </c>
      <c r="J3095">
        <v>1</v>
      </c>
      <c r="K3095">
        <v>1</v>
      </c>
      <c r="L3095">
        <v>0</v>
      </c>
      <c r="M3095">
        <v>0</v>
      </c>
      <c r="N3095">
        <v>0</v>
      </c>
      <c r="P3095">
        <f>G3095*I3095/100</f>
        <v>228.38200000000003</v>
      </c>
      <c r="Q3095">
        <f t="shared" si="25"/>
        <v>19575.600000000002</v>
      </c>
      <c r="R3095">
        <f>K3095/J3095</f>
        <v>1</v>
      </c>
    </row>
    <row r="3096" spans="1:18" x14ac:dyDescent="0.3">
      <c r="A3096">
        <v>40</v>
      </c>
      <c r="B3096">
        <v>1395</v>
      </c>
      <c r="C3096" t="s">
        <v>17</v>
      </c>
      <c r="D3096" t="s">
        <v>15</v>
      </c>
      <c r="E3096">
        <v>54</v>
      </c>
      <c r="F3096" t="s">
        <v>19</v>
      </c>
      <c r="G3096">
        <v>6165.5000000000009</v>
      </c>
      <c r="H3096">
        <v>8504</v>
      </c>
      <c r="I3096">
        <v>11</v>
      </c>
      <c r="J3096">
        <v>20</v>
      </c>
      <c r="K3096">
        <v>20</v>
      </c>
      <c r="L3096">
        <v>7</v>
      </c>
      <c r="M3096">
        <v>2</v>
      </c>
      <c r="N3096">
        <v>13</v>
      </c>
      <c r="P3096">
        <f>G3096*I3096/100</f>
        <v>678.20500000000015</v>
      </c>
      <c r="Q3096">
        <f t="shared" si="25"/>
        <v>73986.000000000015</v>
      </c>
      <c r="R3096">
        <f>K3096/J3096</f>
        <v>1</v>
      </c>
    </row>
    <row r="3097" spans="1:18" x14ac:dyDescent="0.3">
      <c r="A3097">
        <v>35</v>
      </c>
      <c r="B3097">
        <v>662</v>
      </c>
      <c r="C3097" t="s">
        <v>14</v>
      </c>
      <c r="D3097" t="s">
        <v>18</v>
      </c>
      <c r="E3097">
        <v>94</v>
      </c>
      <c r="F3097" t="s">
        <v>16</v>
      </c>
      <c r="G3097">
        <v>8024.5000000000009</v>
      </c>
      <c r="H3097">
        <v>11439</v>
      </c>
      <c r="I3097">
        <v>13</v>
      </c>
      <c r="J3097">
        <v>10</v>
      </c>
      <c r="K3097">
        <v>10</v>
      </c>
      <c r="L3097">
        <v>8</v>
      </c>
      <c r="M3097">
        <v>0</v>
      </c>
      <c r="N3097">
        <v>6</v>
      </c>
      <c r="P3097">
        <f>G3097*I3097/100</f>
        <v>1043.1850000000002</v>
      </c>
      <c r="Q3097">
        <f t="shared" si="25"/>
        <v>96294.000000000015</v>
      </c>
      <c r="R3097">
        <f>K3097/J3097</f>
        <v>1</v>
      </c>
    </row>
    <row r="3098" spans="1:18" x14ac:dyDescent="0.3">
      <c r="A3098">
        <v>53</v>
      </c>
      <c r="B3098">
        <v>1436</v>
      </c>
      <c r="C3098" t="s">
        <v>14</v>
      </c>
      <c r="D3098" t="s">
        <v>18</v>
      </c>
      <c r="E3098">
        <v>34</v>
      </c>
      <c r="F3098" t="s">
        <v>24</v>
      </c>
      <c r="G3098">
        <v>2536.6000000000004</v>
      </c>
      <c r="H3098">
        <v>16047</v>
      </c>
      <c r="I3098">
        <v>20</v>
      </c>
      <c r="J3098">
        <v>13</v>
      </c>
      <c r="K3098">
        <v>7</v>
      </c>
      <c r="L3098">
        <v>7</v>
      </c>
      <c r="M3098">
        <v>4</v>
      </c>
      <c r="N3098">
        <v>5</v>
      </c>
      <c r="P3098">
        <f>G3098*I3098/100</f>
        <v>507.32000000000005</v>
      </c>
      <c r="Q3098">
        <f t="shared" si="25"/>
        <v>30439.200000000004</v>
      </c>
      <c r="R3098">
        <f>K3098/J3098</f>
        <v>0.53846153846153844</v>
      </c>
    </row>
    <row r="3099" spans="1:18" x14ac:dyDescent="0.3">
      <c r="A3099">
        <v>45</v>
      </c>
      <c r="B3099">
        <v>194</v>
      </c>
      <c r="C3099" t="s">
        <v>17</v>
      </c>
      <c r="D3099" t="s">
        <v>18</v>
      </c>
      <c r="E3099">
        <v>60</v>
      </c>
      <c r="F3099" t="s">
        <v>20</v>
      </c>
      <c r="G3099">
        <v>2582.8000000000002</v>
      </c>
      <c r="H3099">
        <v>10901</v>
      </c>
      <c r="I3099">
        <v>18</v>
      </c>
      <c r="J3099">
        <v>20</v>
      </c>
      <c r="K3099">
        <v>17</v>
      </c>
      <c r="L3099">
        <v>9</v>
      </c>
      <c r="M3099">
        <v>0</v>
      </c>
      <c r="N3099">
        <v>15</v>
      </c>
      <c r="P3099">
        <f>G3099*I3099/100</f>
        <v>464.904</v>
      </c>
      <c r="Q3099">
        <f t="shared" si="25"/>
        <v>30993.600000000002</v>
      </c>
      <c r="R3099">
        <f>K3099/J3099</f>
        <v>0.85</v>
      </c>
    </row>
    <row r="3100" spans="1:18" x14ac:dyDescent="0.3">
      <c r="A3100">
        <v>32</v>
      </c>
      <c r="B3100">
        <v>967</v>
      </c>
      <c r="C3100" t="s">
        <v>14</v>
      </c>
      <c r="D3100" t="s">
        <v>15</v>
      </c>
      <c r="E3100">
        <v>43</v>
      </c>
      <c r="F3100" t="s">
        <v>16</v>
      </c>
      <c r="G3100">
        <v>9897.8000000000011</v>
      </c>
      <c r="H3100">
        <v>15589</v>
      </c>
      <c r="I3100">
        <v>14</v>
      </c>
      <c r="J3100">
        <v>9</v>
      </c>
      <c r="K3100">
        <v>9</v>
      </c>
      <c r="L3100">
        <v>8</v>
      </c>
      <c r="M3100">
        <v>3</v>
      </c>
      <c r="N3100">
        <v>7</v>
      </c>
      <c r="P3100">
        <f>G3100*I3100/100</f>
        <v>1385.692</v>
      </c>
      <c r="Q3100">
        <f t="shared" si="25"/>
        <v>118773.6</v>
      </c>
      <c r="R3100">
        <f>K3100/J3100</f>
        <v>1</v>
      </c>
    </row>
    <row r="3101" spans="1:18" x14ac:dyDescent="0.3">
      <c r="A3101">
        <v>29</v>
      </c>
      <c r="B3101">
        <v>1496</v>
      </c>
      <c r="C3101" t="s">
        <v>17</v>
      </c>
      <c r="D3101" t="s">
        <v>18</v>
      </c>
      <c r="E3101">
        <v>41</v>
      </c>
      <c r="F3101" t="s">
        <v>21</v>
      </c>
      <c r="G3101">
        <v>4750.9000000000005</v>
      </c>
      <c r="H3101">
        <v>26283</v>
      </c>
      <c r="I3101">
        <v>13</v>
      </c>
      <c r="J3101">
        <v>10</v>
      </c>
      <c r="K3101">
        <v>10</v>
      </c>
      <c r="L3101">
        <v>7</v>
      </c>
      <c r="M3101">
        <v>0</v>
      </c>
      <c r="N3101">
        <v>9</v>
      </c>
      <c r="P3101">
        <f>G3101*I3101/100</f>
        <v>617.61700000000008</v>
      </c>
      <c r="Q3101">
        <f t="shared" si="25"/>
        <v>57010.8</v>
      </c>
      <c r="R3101">
        <f>K3101/J3101</f>
        <v>1</v>
      </c>
    </row>
    <row r="3102" spans="1:18" x14ac:dyDescent="0.3">
      <c r="A3102">
        <v>51</v>
      </c>
      <c r="B3102">
        <v>1169</v>
      </c>
      <c r="C3102" t="s">
        <v>17</v>
      </c>
      <c r="D3102" t="s">
        <v>18</v>
      </c>
      <c r="E3102">
        <v>34</v>
      </c>
      <c r="F3102" t="s">
        <v>21</v>
      </c>
      <c r="G3102">
        <v>6745.2000000000007</v>
      </c>
      <c r="H3102">
        <v>13983</v>
      </c>
      <c r="I3102">
        <v>17</v>
      </c>
      <c r="J3102">
        <v>10</v>
      </c>
      <c r="K3102">
        <v>1</v>
      </c>
      <c r="L3102">
        <v>0</v>
      </c>
      <c r="M3102">
        <v>0</v>
      </c>
      <c r="N3102">
        <v>0</v>
      </c>
      <c r="P3102">
        <f>G3102*I3102/100</f>
        <v>1146.6840000000002</v>
      </c>
      <c r="Q3102">
        <f t="shared" si="25"/>
        <v>80942.400000000009</v>
      </c>
      <c r="R3102">
        <f>K3102/J3102</f>
        <v>0.1</v>
      </c>
    </row>
    <row r="3103" spans="1:18" x14ac:dyDescent="0.3">
      <c r="A3103">
        <v>58</v>
      </c>
      <c r="B3103">
        <v>1145</v>
      </c>
      <c r="C3103" t="s">
        <v>17</v>
      </c>
      <c r="D3103" t="s">
        <v>15</v>
      </c>
      <c r="E3103">
        <v>75</v>
      </c>
      <c r="F3103" t="s">
        <v>19</v>
      </c>
      <c r="G3103">
        <v>3680.6000000000004</v>
      </c>
      <c r="H3103">
        <v>11873</v>
      </c>
      <c r="I3103">
        <v>20</v>
      </c>
      <c r="J3103">
        <v>9</v>
      </c>
      <c r="K3103">
        <v>1</v>
      </c>
      <c r="L3103">
        <v>0</v>
      </c>
      <c r="M3103">
        <v>0</v>
      </c>
      <c r="N3103">
        <v>0</v>
      </c>
      <c r="P3103">
        <f>G3103*I3103/100</f>
        <v>736.12</v>
      </c>
      <c r="Q3103">
        <f t="shared" si="25"/>
        <v>44167.200000000004</v>
      </c>
      <c r="R3103">
        <f>K3103/J3103</f>
        <v>0.1111111111111111</v>
      </c>
    </row>
    <row r="3104" spans="1:18" x14ac:dyDescent="0.3">
      <c r="A3104">
        <v>40</v>
      </c>
      <c r="B3104">
        <v>630</v>
      </c>
      <c r="C3104" t="s">
        <v>14</v>
      </c>
      <c r="D3104" t="s">
        <v>18</v>
      </c>
      <c r="E3104">
        <v>67</v>
      </c>
      <c r="F3104" t="s">
        <v>16</v>
      </c>
      <c r="G3104">
        <v>11940.500000000002</v>
      </c>
      <c r="H3104">
        <v>8552</v>
      </c>
      <c r="I3104">
        <v>11</v>
      </c>
      <c r="J3104">
        <v>15</v>
      </c>
      <c r="K3104">
        <v>12</v>
      </c>
      <c r="L3104">
        <v>11</v>
      </c>
      <c r="M3104">
        <v>2</v>
      </c>
      <c r="N3104">
        <v>11</v>
      </c>
      <c r="P3104">
        <f>G3104*I3104/100</f>
        <v>1313.4550000000004</v>
      </c>
      <c r="Q3104">
        <f t="shared" si="25"/>
        <v>143286.00000000003</v>
      </c>
      <c r="R3104">
        <f>K3104/J3104</f>
        <v>0.8</v>
      </c>
    </row>
    <row r="3105" spans="1:18" x14ac:dyDescent="0.3">
      <c r="A3105">
        <v>34</v>
      </c>
      <c r="B3105">
        <v>303</v>
      </c>
      <c r="C3105" t="s">
        <v>14</v>
      </c>
      <c r="D3105" t="s">
        <v>15</v>
      </c>
      <c r="E3105">
        <v>75</v>
      </c>
      <c r="F3105" t="s">
        <v>24</v>
      </c>
      <c r="G3105">
        <v>2454.1000000000004</v>
      </c>
      <c r="H3105">
        <v>11314</v>
      </c>
      <c r="I3105">
        <v>18</v>
      </c>
      <c r="J3105">
        <v>6</v>
      </c>
      <c r="K3105">
        <v>4</v>
      </c>
      <c r="L3105">
        <v>3</v>
      </c>
      <c r="M3105">
        <v>1</v>
      </c>
      <c r="N3105">
        <v>2</v>
      </c>
      <c r="P3105">
        <f>G3105*I3105/100</f>
        <v>441.73800000000006</v>
      </c>
      <c r="Q3105">
        <f t="shared" si="25"/>
        <v>29449.200000000004</v>
      </c>
      <c r="R3105">
        <f>K3105/J3105</f>
        <v>0.66666666666666663</v>
      </c>
    </row>
    <row r="3106" spans="1:18" x14ac:dyDescent="0.3">
      <c r="A3106">
        <v>22</v>
      </c>
      <c r="B3106">
        <v>1256</v>
      </c>
      <c r="C3106" t="s">
        <v>17</v>
      </c>
      <c r="D3106" t="s">
        <v>18</v>
      </c>
      <c r="E3106">
        <v>80</v>
      </c>
      <c r="F3106" t="s">
        <v>19</v>
      </c>
      <c r="G3106">
        <v>2555.3000000000002</v>
      </c>
      <c r="H3106">
        <v>11992</v>
      </c>
      <c r="I3106">
        <v>24</v>
      </c>
      <c r="J3106">
        <v>2</v>
      </c>
      <c r="K3106">
        <v>2</v>
      </c>
      <c r="L3106">
        <v>2</v>
      </c>
      <c r="M3106">
        <v>2</v>
      </c>
      <c r="N3106">
        <v>2</v>
      </c>
      <c r="P3106">
        <f>G3106*I3106/100</f>
        <v>613.27200000000005</v>
      </c>
      <c r="Q3106">
        <f t="shared" si="25"/>
        <v>30663.600000000002</v>
      </c>
      <c r="R3106">
        <f>K3106/J3106</f>
        <v>1</v>
      </c>
    </row>
    <row r="3107" spans="1:18" x14ac:dyDescent="0.3">
      <c r="A3107">
        <v>27</v>
      </c>
      <c r="B3107">
        <v>691</v>
      </c>
      <c r="C3107" t="s">
        <v>17</v>
      </c>
      <c r="D3107" t="s">
        <v>18</v>
      </c>
      <c r="E3107">
        <v>57</v>
      </c>
      <c r="F3107" t="s">
        <v>19</v>
      </c>
      <c r="G3107">
        <v>2226.4</v>
      </c>
      <c r="H3107">
        <v>5970</v>
      </c>
      <c r="I3107">
        <v>18</v>
      </c>
      <c r="J3107">
        <v>6</v>
      </c>
      <c r="K3107">
        <v>2</v>
      </c>
      <c r="L3107">
        <v>2</v>
      </c>
      <c r="M3107">
        <v>2</v>
      </c>
      <c r="N3107">
        <v>2</v>
      </c>
      <c r="P3107">
        <f>G3107*I3107/100</f>
        <v>400.75200000000007</v>
      </c>
      <c r="Q3107">
        <f t="shared" si="25"/>
        <v>26716.800000000003</v>
      </c>
      <c r="R3107">
        <f>K3107/J3107</f>
        <v>0.33333333333333331</v>
      </c>
    </row>
    <row r="3108" spans="1:18" x14ac:dyDescent="0.3">
      <c r="A3108">
        <v>28</v>
      </c>
      <c r="B3108">
        <v>440</v>
      </c>
      <c r="C3108" t="s">
        <v>17</v>
      </c>
      <c r="D3108" t="s">
        <v>18</v>
      </c>
      <c r="E3108">
        <v>42</v>
      </c>
      <c r="F3108" t="s">
        <v>19</v>
      </c>
      <c r="G3108">
        <v>2984.3</v>
      </c>
      <c r="H3108">
        <v>6672</v>
      </c>
      <c r="I3108">
        <v>11</v>
      </c>
      <c r="J3108">
        <v>5</v>
      </c>
      <c r="K3108">
        <v>5</v>
      </c>
      <c r="L3108">
        <v>2</v>
      </c>
      <c r="M3108">
        <v>0</v>
      </c>
      <c r="N3108">
        <v>2</v>
      </c>
      <c r="P3108">
        <f>G3108*I3108/100</f>
        <v>328.27300000000002</v>
      </c>
      <c r="Q3108">
        <f t="shared" si="25"/>
        <v>35811.600000000006</v>
      </c>
      <c r="R3108">
        <f>K3108/J3108</f>
        <v>1</v>
      </c>
    </row>
    <row r="3109" spans="1:18" x14ac:dyDescent="0.3">
      <c r="A3109">
        <v>57</v>
      </c>
      <c r="B3109">
        <v>334</v>
      </c>
      <c r="C3109" t="s">
        <v>17</v>
      </c>
      <c r="D3109" t="s">
        <v>18</v>
      </c>
      <c r="E3109">
        <v>83</v>
      </c>
      <c r="F3109" t="s">
        <v>22</v>
      </c>
      <c r="G3109">
        <v>10382.900000000001</v>
      </c>
      <c r="H3109">
        <v>23402</v>
      </c>
      <c r="I3109">
        <v>16</v>
      </c>
      <c r="J3109">
        <v>12</v>
      </c>
      <c r="K3109">
        <v>5</v>
      </c>
      <c r="L3109">
        <v>3</v>
      </c>
      <c r="M3109">
        <v>1</v>
      </c>
      <c r="N3109">
        <v>4</v>
      </c>
      <c r="P3109">
        <f>G3109*I3109/100</f>
        <v>1661.2640000000001</v>
      </c>
      <c r="Q3109">
        <f t="shared" si="25"/>
        <v>124594.80000000002</v>
      </c>
      <c r="R3109">
        <f>K3109/J3109</f>
        <v>0.41666666666666669</v>
      </c>
    </row>
    <row r="3110" spans="1:18" x14ac:dyDescent="0.3">
      <c r="A3110">
        <v>27</v>
      </c>
      <c r="B3110">
        <v>1450</v>
      </c>
      <c r="C3110" t="s">
        <v>17</v>
      </c>
      <c r="D3110" t="s">
        <v>18</v>
      </c>
      <c r="E3110">
        <v>79</v>
      </c>
      <c r="F3110" t="s">
        <v>19</v>
      </c>
      <c r="G3110">
        <v>2822.6000000000004</v>
      </c>
      <c r="H3110">
        <v>25326</v>
      </c>
      <c r="I3110">
        <v>15</v>
      </c>
      <c r="J3110">
        <v>1</v>
      </c>
      <c r="K3110">
        <v>1</v>
      </c>
      <c r="L3110">
        <v>1</v>
      </c>
      <c r="M3110">
        <v>0</v>
      </c>
      <c r="N3110">
        <v>1</v>
      </c>
      <c r="P3110">
        <f>G3110*I3110/100</f>
        <v>423.3900000000001</v>
      </c>
      <c r="Q3110">
        <f t="shared" si="25"/>
        <v>33871.200000000004</v>
      </c>
      <c r="R3110">
        <f>K3110/J3110</f>
        <v>1</v>
      </c>
    </row>
    <row r="3111" spans="1:18" x14ac:dyDescent="0.3">
      <c r="A3111">
        <v>50</v>
      </c>
      <c r="B3111">
        <v>1452</v>
      </c>
      <c r="C3111" t="s">
        <v>17</v>
      </c>
      <c r="D3111" t="s">
        <v>15</v>
      </c>
      <c r="E3111">
        <v>53</v>
      </c>
      <c r="F3111" t="s">
        <v>23</v>
      </c>
      <c r="G3111">
        <v>21918.600000000002</v>
      </c>
      <c r="H3111">
        <v>17053</v>
      </c>
      <c r="I3111">
        <v>15</v>
      </c>
      <c r="J3111">
        <v>21</v>
      </c>
      <c r="K3111">
        <v>5</v>
      </c>
      <c r="L3111">
        <v>4</v>
      </c>
      <c r="M3111">
        <v>4</v>
      </c>
      <c r="N3111">
        <v>4</v>
      </c>
      <c r="P3111">
        <f>G3111*I3111/100</f>
        <v>3287.7900000000004</v>
      </c>
      <c r="Q3111">
        <f t="shared" si="25"/>
        <v>263023.2</v>
      </c>
      <c r="R3111">
        <f>K3111/J3111</f>
        <v>0.23809523809523808</v>
      </c>
    </row>
    <row r="3112" spans="1:18" x14ac:dyDescent="0.3">
      <c r="A3112">
        <v>41</v>
      </c>
      <c r="B3112">
        <v>465</v>
      </c>
      <c r="C3112" t="s">
        <v>17</v>
      </c>
      <c r="D3112" t="s">
        <v>18</v>
      </c>
      <c r="E3112">
        <v>56</v>
      </c>
      <c r="F3112" t="s">
        <v>19</v>
      </c>
      <c r="G3112">
        <v>2696.1000000000004</v>
      </c>
      <c r="H3112">
        <v>4609</v>
      </c>
      <c r="I3112">
        <v>12</v>
      </c>
      <c r="J3112">
        <v>13</v>
      </c>
      <c r="K3112">
        <v>9</v>
      </c>
      <c r="L3112">
        <v>8</v>
      </c>
      <c r="M3112">
        <v>1</v>
      </c>
      <c r="N3112">
        <v>8</v>
      </c>
      <c r="P3112">
        <f>G3112*I3112/100</f>
        <v>323.53200000000004</v>
      </c>
      <c r="Q3112">
        <f t="shared" si="25"/>
        <v>32353.200000000004</v>
      </c>
      <c r="R3112">
        <f>K3112/J3112</f>
        <v>0.69230769230769229</v>
      </c>
    </row>
    <row r="3113" spans="1:18" x14ac:dyDescent="0.3">
      <c r="A3113">
        <v>30</v>
      </c>
      <c r="B3113">
        <v>1339</v>
      </c>
      <c r="C3113" t="s">
        <v>14</v>
      </c>
      <c r="D3113" t="s">
        <v>15</v>
      </c>
      <c r="E3113">
        <v>41</v>
      </c>
      <c r="F3113" t="s">
        <v>16</v>
      </c>
      <c r="G3113">
        <v>10360.900000000001</v>
      </c>
      <c r="H3113">
        <v>8053</v>
      </c>
      <c r="I3113">
        <v>12</v>
      </c>
      <c r="J3113">
        <v>12</v>
      </c>
      <c r="K3113">
        <v>10</v>
      </c>
      <c r="L3113">
        <v>9</v>
      </c>
      <c r="M3113">
        <v>7</v>
      </c>
      <c r="N3113">
        <v>4</v>
      </c>
      <c r="P3113">
        <f>G3113*I3113/100</f>
        <v>1243.3080000000002</v>
      </c>
      <c r="Q3113">
        <f t="shared" si="25"/>
        <v>124330.80000000002</v>
      </c>
      <c r="R3113">
        <f>K3113/J3113</f>
        <v>0.83333333333333337</v>
      </c>
    </row>
    <row r="3114" spans="1:18" x14ac:dyDescent="0.3">
      <c r="A3114">
        <v>38</v>
      </c>
      <c r="B3114">
        <v>702</v>
      </c>
      <c r="C3114" t="s">
        <v>14</v>
      </c>
      <c r="D3114" t="s">
        <v>15</v>
      </c>
      <c r="E3114">
        <v>59</v>
      </c>
      <c r="F3114" t="s">
        <v>16</v>
      </c>
      <c r="G3114">
        <v>9554.6</v>
      </c>
      <c r="H3114">
        <v>12930</v>
      </c>
      <c r="I3114">
        <v>22</v>
      </c>
      <c r="J3114">
        <v>12</v>
      </c>
      <c r="K3114">
        <v>8</v>
      </c>
      <c r="L3114">
        <v>3</v>
      </c>
      <c r="M3114">
        <v>0</v>
      </c>
      <c r="N3114">
        <v>7</v>
      </c>
      <c r="P3114">
        <f>G3114*I3114/100</f>
        <v>2102.0120000000002</v>
      </c>
      <c r="Q3114">
        <f t="shared" si="25"/>
        <v>114655.20000000001</v>
      </c>
      <c r="R3114">
        <f>K3114/J3114</f>
        <v>0.66666666666666663</v>
      </c>
    </row>
    <row r="3115" spans="1:18" x14ac:dyDescent="0.3">
      <c r="A3115">
        <v>32</v>
      </c>
      <c r="B3115">
        <v>120</v>
      </c>
      <c r="C3115" t="s">
        <v>17</v>
      </c>
      <c r="D3115" t="s">
        <v>18</v>
      </c>
      <c r="E3115">
        <v>43</v>
      </c>
      <c r="F3115" t="s">
        <v>19</v>
      </c>
      <c r="G3115">
        <v>3341.8</v>
      </c>
      <c r="H3115">
        <v>12430</v>
      </c>
      <c r="I3115">
        <v>20</v>
      </c>
      <c r="J3115">
        <v>8</v>
      </c>
      <c r="K3115">
        <v>5</v>
      </c>
      <c r="L3115">
        <v>4</v>
      </c>
      <c r="M3115">
        <v>1</v>
      </c>
      <c r="N3115">
        <v>4</v>
      </c>
      <c r="P3115">
        <f>G3115*I3115/100</f>
        <v>668.36</v>
      </c>
      <c r="Q3115">
        <f t="shared" si="25"/>
        <v>40101.600000000006</v>
      </c>
      <c r="R3115">
        <f>K3115/J3115</f>
        <v>0.625</v>
      </c>
    </row>
    <row r="3116" spans="1:18" x14ac:dyDescent="0.3">
      <c r="A3116">
        <v>27</v>
      </c>
      <c r="B3116">
        <v>1157</v>
      </c>
      <c r="C3116" t="s">
        <v>17</v>
      </c>
      <c r="D3116" t="s">
        <v>18</v>
      </c>
      <c r="E3116">
        <v>51</v>
      </c>
      <c r="F3116" t="s">
        <v>19</v>
      </c>
      <c r="G3116">
        <v>3363.8</v>
      </c>
      <c r="H3116">
        <v>13364</v>
      </c>
      <c r="I3116">
        <v>16</v>
      </c>
      <c r="J3116">
        <v>6</v>
      </c>
      <c r="K3116">
        <v>5</v>
      </c>
      <c r="L3116">
        <v>2</v>
      </c>
      <c r="M3116">
        <v>1</v>
      </c>
      <c r="N3116">
        <v>1</v>
      </c>
      <c r="P3116">
        <f>G3116*I3116/100</f>
        <v>538.20800000000008</v>
      </c>
      <c r="Q3116">
        <f t="shared" si="25"/>
        <v>40365.600000000006</v>
      </c>
      <c r="R3116">
        <f>K3116/J3116</f>
        <v>0.83333333333333337</v>
      </c>
    </row>
    <row r="3117" spans="1:18" x14ac:dyDescent="0.3">
      <c r="A3117">
        <v>19</v>
      </c>
      <c r="B3117">
        <v>602</v>
      </c>
      <c r="C3117" t="s">
        <v>14</v>
      </c>
      <c r="D3117" t="s">
        <v>15</v>
      </c>
      <c r="E3117">
        <v>100</v>
      </c>
      <c r="F3117" t="s">
        <v>24</v>
      </c>
      <c r="G3117">
        <v>2557.5</v>
      </c>
      <c r="H3117">
        <v>20989</v>
      </c>
      <c r="I3117">
        <v>21</v>
      </c>
      <c r="J3117">
        <v>1</v>
      </c>
      <c r="K3117">
        <v>0</v>
      </c>
      <c r="L3117">
        <v>0</v>
      </c>
      <c r="M3117">
        <v>0</v>
      </c>
      <c r="N3117">
        <v>0</v>
      </c>
      <c r="P3117">
        <f>G3117*I3117/100</f>
        <v>537.07500000000005</v>
      </c>
      <c r="Q3117">
        <f t="shared" si="25"/>
        <v>30690</v>
      </c>
      <c r="R3117">
        <f>K3117/J3117</f>
        <v>0</v>
      </c>
    </row>
    <row r="3118" spans="1:18" x14ac:dyDescent="0.3">
      <c r="A3118">
        <v>36</v>
      </c>
      <c r="B3118">
        <v>1480</v>
      </c>
      <c r="C3118" t="s">
        <v>17</v>
      </c>
      <c r="D3118" t="s">
        <v>18</v>
      </c>
      <c r="E3118">
        <v>30</v>
      </c>
      <c r="F3118" t="s">
        <v>20</v>
      </c>
      <c r="G3118">
        <v>2296.8000000000002</v>
      </c>
      <c r="H3118">
        <v>15062</v>
      </c>
      <c r="I3118">
        <v>12</v>
      </c>
      <c r="J3118">
        <v>13</v>
      </c>
      <c r="K3118">
        <v>8</v>
      </c>
      <c r="L3118">
        <v>7</v>
      </c>
      <c r="M3118">
        <v>7</v>
      </c>
      <c r="N3118">
        <v>2</v>
      </c>
      <c r="P3118">
        <f>G3118*I3118/100</f>
        <v>275.61600000000004</v>
      </c>
      <c r="Q3118">
        <f t="shared" si="25"/>
        <v>27561.600000000002</v>
      </c>
      <c r="R3118">
        <f>K3118/J3118</f>
        <v>0.61538461538461542</v>
      </c>
    </row>
    <row r="3119" spans="1:18" x14ac:dyDescent="0.3">
      <c r="A3119">
        <v>30</v>
      </c>
      <c r="B3119">
        <v>111</v>
      </c>
      <c r="C3119" t="s">
        <v>17</v>
      </c>
      <c r="D3119" t="s">
        <v>18</v>
      </c>
      <c r="E3119">
        <v>66</v>
      </c>
      <c r="F3119" t="s">
        <v>20</v>
      </c>
      <c r="G3119">
        <v>3379.2000000000003</v>
      </c>
      <c r="H3119">
        <v>11012</v>
      </c>
      <c r="I3119">
        <v>11</v>
      </c>
      <c r="J3119">
        <v>12</v>
      </c>
      <c r="K3119">
        <v>12</v>
      </c>
      <c r="L3119">
        <v>9</v>
      </c>
      <c r="M3119">
        <v>6</v>
      </c>
      <c r="N3119">
        <v>10</v>
      </c>
      <c r="P3119">
        <f>G3119*I3119/100</f>
        <v>371.71200000000005</v>
      </c>
      <c r="Q3119">
        <f t="shared" si="25"/>
        <v>40550.400000000001</v>
      </c>
      <c r="R3119">
        <f>K3119/J3119</f>
        <v>1</v>
      </c>
    </row>
    <row r="3120" spans="1:18" x14ac:dyDescent="0.3">
      <c r="A3120">
        <v>45</v>
      </c>
      <c r="B3120">
        <v>1268</v>
      </c>
      <c r="C3120" t="s">
        <v>14</v>
      </c>
      <c r="D3120" t="s">
        <v>15</v>
      </c>
      <c r="E3120">
        <v>30</v>
      </c>
      <c r="F3120" t="s">
        <v>16</v>
      </c>
      <c r="G3120">
        <v>5506.6</v>
      </c>
      <c r="H3120">
        <v>6319</v>
      </c>
      <c r="I3120">
        <v>11</v>
      </c>
      <c r="J3120">
        <v>9</v>
      </c>
      <c r="K3120">
        <v>5</v>
      </c>
      <c r="L3120">
        <v>4</v>
      </c>
      <c r="M3120">
        <v>0</v>
      </c>
      <c r="N3120">
        <v>3</v>
      </c>
      <c r="P3120">
        <f>G3120*I3120/100</f>
        <v>605.72600000000011</v>
      </c>
      <c r="Q3120">
        <f t="shared" si="25"/>
        <v>66079.200000000012</v>
      </c>
      <c r="R3120">
        <f>K3120/J3120</f>
        <v>0.55555555555555558</v>
      </c>
    </row>
    <row r="3121" spans="1:18" x14ac:dyDescent="0.3">
      <c r="A3121">
        <v>56</v>
      </c>
      <c r="B3121">
        <v>713</v>
      </c>
      <c r="C3121" t="s">
        <v>17</v>
      </c>
      <c r="D3121" t="s">
        <v>15</v>
      </c>
      <c r="E3121">
        <v>67</v>
      </c>
      <c r="F3121" t="s">
        <v>19</v>
      </c>
      <c r="G3121">
        <v>4682.7000000000007</v>
      </c>
      <c r="H3121">
        <v>13939</v>
      </c>
      <c r="I3121">
        <v>18</v>
      </c>
      <c r="J3121">
        <v>19</v>
      </c>
      <c r="K3121">
        <v>2</v>
      </c>
      <c r="L3121">
        <v>2</v>
      </c>
      <c r="M3121">
        <v>2</v>
      </c>
      <c r="N3121">
        <v>2</v>
      </c>
      <c r="P3121">
        <f>G3121*I3121/100</f>
        <v>842.88600000000008</v>
      </c>
      <c r="Q3121">
        <f t="shared" si="25"/>
        <v>56192.400000000009</v>
      </c>
      <c r="R3121">
        <f>K3121/J3121</f>
        <v>0.10526315789473684</v>
      </c>
    </row>
    <row r="3122" spans="1:18" x14ac:dyDescent="0.3">
      <c r="A3122">
        <v>33</v>
      </c>
      <c r="B3122">
        <v>134</v>
      </c>
      <c r="C3122" t="s">
        <v>17</v>
      </c>
      <c r="D3122" t="s">
        <v>18</v>
      </c>
      <c r="E3122">
        <v>90</v>
      </c>
      <c r="F3122" t="s">
        <v>19</v>
      </c>
      <c r="G3122">
        <v>2750</v>
      </c>
      <c r="H3122">
        <v>10515</v>
      </c>
      <c r="I3122">
        <v>14</v>
      </c>
      <c r="J3122">
        <v>4</v>
      </c>
      <c r="K3122">
        <v>3</v>
      </c>
      <c r="L3122">
        <v>1</v>
      </c>
      <c r="M3122">
        <v>0</v>
      </c>
      <c r="N3122">
        <v>2</v>
      </c>
      <c r="P3122">
        <f>G3122*I3122/100</f>
        <v>385</v>
      </c>
      <c r="Q3122">
        <f t="shared" si="25"/>
        <v>33000</v>
      </c>
      <c r="R3122">
        <f>K3122/J3122</f>
        <v>0.75</v>
      </c>
    </row>
    <row r="3123" spans="1:18" x14ac:dyDescent="0.3">
      <c r="A3123">
        <v>19</v>
      </c>
      <c r="B3123">
        <v>303</v>
      </c>
      <c r="C3123" t="s">
        <v>17</v>
      </c>
      <c r="D3123" t="s">
        <v>18</v>
      </c>
      <c r="E3123">
        <v>47</v>
      </c>
      <c r="F3123" t="s">
        <v>20</v>
      </c>
      <c r="G3123">
        <v>1212.2</v>
      </c>
      <c r="H3123">
        <v>9241</v>
      </c>
      <c r="I3123">
        <v>22</v>
      </c>
      <c r="J3123">
        <v>1</v>
      </c>
      <c r="K3123">
        <v>1</v>
      </c>
      <c r="L3123">
        <v>0</v>
      </c>
      <c r="M3123">
        <v>1</v>
      </c>
      <c r="N3123">
        <v>0</v>
      </c>
      <c r="P3123">
        <f>G3123*I3123/100</f>
        <v>266.68400000000003</v>
      </c>
      <c r="Q3123">
        <f t="shared" si="25"/>
        <v>14546.400000000001</v>
      </c>
      <c r="R3123">
        <f>K3123/J3123</f>
        <v>1</v>
      </c>
    </row>
    <row r="3124" spans="1:18" x14ac:dyDescent="0.3">
      <c r="A3124">
        <v>46</v>
      </c>
      <c r="B3124">
        <v>526</v>
      </c>
      <c r="C3124" t="s">
        <v>14</v>
      </c>
      <c r="D3124" t="s">
        <v>15</v>
      </c>
      <c r="E3124">
        <v>92</v>
      </c>
      <c r="F3124" t="s">
        <v>16</v>
      </c>
      <c r="G3124">
        <v>11498.300000000001</v>
      </c>
      <c r="H3124">
        <v>2137</v>
      </c>
      <c r="I3124">
        <v>25</v>
      </c>
      <c r="J3124">
        <v>24</v>
      </c>
      <c r="K3124">
        <v>24</v>
      </c>
      <c r="L3124">
        <v>13</v>
      </c>
      <c r="M3124">
        <v>15</v>
      </c>
      <c r="N3124">
        <v>7</v>
      </c>
      <c r="P3124">
        <f>G3124*I3124/100</f>
        <v>2874.5749999999998</v>
      </c>
      <c r="Q3124">
        <f t="shared" si="25"/>
        <v>137979.6</v>
      </c>
      <c r="R3124">
        <f>K3124/J3124</f>
        <v>1</v>
      </c>
    </row>
    <row r="3125" spans="1:18" x14ac:dyDescent="0.3">
      <c r="A3125">
        <v>38</v>
      </c>
      <c r="B3125">
        <v>1380</v>
      </c>
      <c r="C3125" t="s">
        <v>17</v>
      </c>
      <c r="D3125" t="s">
        <v>15</v>
      </c>
      <c r="E3125">
        <v>75</v>
      </c>
      <c r="F3125" t="s">
        <v>20</v>
      </c>
      <c r="G3125">
        <v>2516.8000000000002</v>
      </c>
      <c r="H3125">
        <v>6319</v>
      </c>
      <c r="I3125">
        <v>12</v>
      </c>
      <c r="J3125">
        <v>2</v>
      </c>
      <c r="K3125">
        <v>2</v>
      </c>
      <c r="L3125">
        <v>2</v>
      </c>
      <c r="M3125">
        <v>2</v>
      </c>
      <c r="N3125">
        <v>1</v>
      </c>
      <c r="P3125">
        <f>G3125*I3125/100</f>
        <v>302.01600000000002</v>
      </c>
      <c r="Q3125">
        <f t="shared" si="25"/>
        <v>30201.600000000002</v>
      </c>
      <c r="R3125">
        <f>K3125/J3125</f>
        <v>1</v>
      </c>
    </row>
    <row r="3126" spans="1:18" x14ac:dyDescent="0.3">
      <c r="A3126">
        <v>31</v>
      </c>
      <c r="B3126">
        <v>140</v>
      </c>
      <c r="C3126" t="s">
        <v>17</v>
      </c>
      <c r="D3126" t="s">
        <v>15</v>
      </c>
      <c r="E3126">
        <v>95</v>
      </c>
      <c r="F3126" t="s">
        <v>19</v>
      </c>
      <c r="G3126">
        <v>4321.9000000000005</v>
      </c>
      <c r="H3126">
        <v>6984</v>
      </c>
      <c r="I3126">
        <v>23</v>
      </c>
      <c r="J3126">
        <v>7</v>
      </c>
      <c r="K3126">
        <v>4</v>
      </c>
      <c r="L3126">
        <v>2</v>
      </c>
      <c r="M3126">
        <v>0</v>
      </c>
      <c r="N3126">
        <v>2</v>
      </c>
      <c r="P3126">
        <f>G3126*I3126/100</f>
        <v>994.03700000000015</v>
      </c>
      <c r="Q3126">
        <f t="shared" si="25"/>
        <v>51862.8</v>
      </c>
      <c r="R3126">
        <f>K3126/J3126</f>
        <v>0.5714285714285714</v>
      </c>
    </row>
    <row r="3127" spans="1:18" x14ac:dyDescent="0.3">
      <c r="A3127">
        <v>34</v>
      </c>
      <c r="B3127">
        <v>629</v>
      </c>
      <c r="C3127" t="s">
        <v>17</v>
      </c>
      <c r="D3127" t="s">
        <v>15</v>
      </c>
      <c r="E3127">
        <v>95</v>
      </c>
      <c r="F3127" t="s">
        <v>19</v>
      </c>
      <c r="G3127">
        <v>2542.1000000000004</v>
      </c>
      <c r="H3127">
        <v>5711</v>
      </c>
      <c r="I3127">
        <v>15</v>
      </c>
      <c r="J3127">
        <v>9</v>
      </c>
      <c r="K3127">
        <v>3</v>
      </c>
      <c r="L3127">
        <v>2</v>
      </c>
      <c r="M3127">
        <v>1</v>
      </c>
      <c r="N3127">
        <v>2</v>
      </c>
      <c r="P3127">
        <f>G3127*I3127/100</f>
        <v>381.31500000000005</v>
      </c>
      <c r="Q3127">
        <f t="shared" si="25"/>
        <v>30505.200000000004</v>
      </c>
      <c r="R3127">
        <f>K3127/J3127</f>
        <v>0.33333333333333331</v>
      </c>
    </row>
    <row r="3128" spans="1:18" x14ac:dyDescent="0.3">
      <c r="A3128">
        <v>41</v>
      </c>
      <c r="B3128">
        <v>1356</v>
      </c>
      <c r="C3128" t="s">
        <v>14</v>
      </c>
      <c r="D3128" t="s">
        <v>15</v>
      </c>
      <c r="E3128">
        <v>70</v>
      </c>
      <c r="F3128" t="s">
        <v>24</v>
      </c>
      <c r="G3128">
        <v>3454.0000000000005</v>
      </c>
      <c r="H3128">
        <v>21728</v>
      </c>
      <c r="I3128">
        <v>22</v>
      </c>
      <c r="J3128">
        <v>4</v>
      </c>
      <c r="K3128">
        <v>4</v>
      </c>
      <c r="L3128">
        <v>3</v>
      </c>
      <c r="M3128">
        <v>0</v>
      </c>
      <c r="N3128">
        <v>2</v>
      </c>
      <c r="P3128">
        <f>G3128*I3128/100</f>
        <v>759.88000000000011</v>
      </c>
      <c r="Q3128">
        <f t="shared" si="25"/>
        <v>41448.000000000007</v>
      </c>
      <c r="R3128">
        <f>K3128/J3128</f>
        <v>1</v>
      </c>
    </row>
    <row r="3129" spans="1:18" x14ac:dyDescent="0.3">
      <c r="A3129">
        <v>50</v>
      </c>
      <c r="B3129">
        <v>328</v>
      </c>
      <c r="C3129" t="s">
        <v>17</v>
      </c>
      <c r="D3129" t="s">
        <v>18</v>
      </c>
      <c r="E3129">
        <v>86</v>
      </c>
      <c r="F3129" t="s">
        <v>20</v>
      </c>
      <c r="G3129">
        <v>4059.0000000000005</v>
      </c>
      <c r="H3129">
        <v>3425</v>
      </c>
      <c r="I3129">
        <v>15</v>
      </c>
      <c r="J3129">
        <v>5</v>
      </c>
      <c r="K3129">
        <v>3</v>
      </c>
      <c r="L3129">
        <v>2</v>
      </c>
      <c r="M3129">
        <v>0</v>
      </c>
      <c r="N3129">
        <v>2</v>
      </c>
      <c r="P3129">
        <f>G3129*I3129/100</f>
        <v>608.85</v>
      </c>
      <c r="Q3129">
        <f t="shared" si="25"/>
        <v>48708.000000000007</v>
      </c>
      <c r="R3129">
        <f>K3129/J3129</f>
        <v>0.6</v>
      </c>
    </row>
    <row r="3130" spans="1:18" x14ac:dyDescent="0.3">
      <c r="A3130">
        <v>53</v>
      </c>
      <c r="B3130">
        <v>1084</v>
      </c>
      <c r="C3130" t="s">
        <v>17</v>
      </c>
      <c r="D3130" t="s">
        <v>15</v>
      </c>
      <c r="E3130">
        <v>57</v>
      </c>
      <c r="F3130" t="s">
        <v>21</v>
      </c>
      <c r="G3130">
        <v>4895</v>
      </c>
      <c r="H3130">
        <v>26250</v>
      </c>
      <c r="I3130">
        <v>11</v>
      </c>
      <c r="J3130">
        <v>5</v>
      </c>
      <c r="K3130">
        <v>4</v>
      </c>
      <c r="L3130">
        <v>2</v>
      </c>
      <c r="M3130">
        <v>1</v>
      </c>
      <c r="N3130">
        <v>3</v>
      </c>
      <c r="P3130">
        <f>G3130*I3130/100</f>
        <v>538.45000000000005</v>
      </c>
      <c r="Q3130">
        <f t="shared" si="25"/>
        <v>58740</v>
      </c>
      <c r="R3130">
        <f>K3130/J3130</f>
        <v>0.8</v>
      </c>
    </row>
    <row r="3131" spans="1:18" x14ac:dyDescent="0.3">
      <c r="A3131">
        <v>33</v>
      </c>
      <c r="B3131">
        <v>931</v>
      </c>
      <c r="C3131" t="s">
        <v>17</v>
      </c>
      <c r="D3131" t="s">
        <v>15</v>
      </c>
      <c r="E3131">
        <v>72</v>
      </c>
      <c r="F3131" t="s">
        <v>19</v>
      </c>
      <c r="G3131">
        <v>3031.6000000000004</v>
      </c>
      <c r="H3131">
        <v>4673</v>
      </c>
      <c r="I3131">
        <v>13</v>
      </c>
      <c r="J3131">
        <v>8</v>
      </c>
      <c r="K3131">
        <v>8</v>
      </c>
      <c r="L3131">
        <v>7</v>
      </c>
      <c r="M3131">
        <v>1</v>
      </c>
      <c r="N3131">
        <v>6</v>
      </c>
      <c r="P3131">
        <f>G3131*I3131/100</f>
        <v>394.108</v>
      </c>
      <c r="Q3131">
        <f t="shared" si="25"/>
        <v>36379.200000000004</v>
      </c>
      <c r="R3131">
        <f>K3131/J3131</f>
        <v>1</v>
      </c>
    </row>
    <row r="3132" spans="1:18" x14ac:dyDescent="0.3">
      <c r="A3132">
        <v>40</v>
      </c>
      <c r="B3132">
        <v>989</v>
      </c>
      <c r="C3132" t="s">
        <v>17</v>
      </c>
      <c r="D3132" t="s">
        <v>15</v>
      </c>
      <c r="E3132">
        <v>46</v>
      </c>
      <c r="F3132" t="s">
        <v>23</v>
      </c>
      <c r="G3132">
        <v>20936.300000000003</v>
      </c>
      <c r="H3132">
        <v>6499</v>
      </c>
      <c r="I3132">
        <v>14</v>
      </c>
      <c r="J3132">
        <v>21</v>
      </c>
      <c r="K3132">
        <v>20</v>
      </c>
      <c r="L3132">
        <v>8</v>
      </c>
      <c r="M3132">
        <v>9</v>
      </c>
      <c r="N3132">
        <v>9</v>
      </c>
      <c r="P3132">
        <f>G3132*I3132/100</f>
        <v>2931.0820000000008</v>
      </c>
      <c r="Q3132">
        <f t="shared" si="25"/>
        <v>251235.60000000003</v>
      </c>
      <c r="R3132">
        <f>K3132/J3132</f>
        <v>0.95238095238095233</v>
      </c>
    </row>
    <row r="3133" spans="1:18" x14ac:dyDescent="0.3">
      <c r="A3133">
        <v>55</v>
      </c>
      <c r="B3133">
        <v>692</v>
      </c>
      <c r="C3133" t="s">
        <v>17</v>
      </c>
      <c r="D3133" t="s">
        <v>18</v>
      </c>
      <c r="E3133">
        <v>61</v>
      </c>
      <c r="F3133" t="s">
        <v>25</v>
      </c>
      <c r="G3133">
        <v>20594.2</v>
      </c>
      <c r="H3133">
        <v>13339</v>
      </c>
      <c r="I3133">
        <v>11</v>
      </c>
      <c r="J3133">
        <v>36</v>
      </c>
      <c r="K3133">
        <v>24</v>
      </c>
      <c r="L3133">
        <v>15</v>
      </c>
      <c r="M3133">
        <v>2</v>
      </c>
      <c r="N3133">
        <v>15</v>
      </c>
      <c r="P3133">
        <f>G3133*I3133/100</f>
        <v>2265.3620000000001</v>
      </c>
      <c r="Q3133">
        <f t="shared" si="25"/>
        <v>247130.40000000002</v>
      </c>
      <c r="R3133">
        <f>K3133/J3133</f>
        <v>0.66666666666666663</v>
      </c>
    </row>
    <row r="3134" spans="1:18" x14ac:dyDescent="0.3">
      <c r="A3134">
        <v>34</v>
      </c>
      <c r="B3134">
        <v>1069</v>
      </c>
      <c r="C3134" t="s">
        <v>17</v>
      </c>
      <c r="D3134" t="s">
        <v>18</v>
      </c>
      <c r="E3134">
        <v>45</v>
      </c>
      <c r="F3134" t="s">
        <v>21</v>
      </c>
      <c r="G3134">
        <v>10501.7</v>
      </c>
      <c r="H3134">
        <v>14074</v>
      </c>
      <c r="I3134">
        <v>17</v>
      </c>
      <c r="J3134">
        <v>10</v>
      </c>
      <c r="K3134">
        <v>10</v>
      </c>
      <c r="L3134">
        <v>9</v>
      </c>
      <c r="M3134">
        <v>1</v>
      </c>
      <c r="N3134">
        <v>9</v>
      </c>
      <c r="P3134">
        <f>G3134*I3134/100</f>
        <v>1785.2890000000002</v>
      </c>
      <c r="Q3134">
        <f t="shared" si="25"/>
        <v>126020.40000000001</v>
      </c>
      <c r="R3134">
        <f>K3134/J3134</f>
        <v>1</v>
      </c>
    </row>
    <row r="3135" spans="1:18" x14ac:dyDescent="0.3">
      <c r="A3135">
        <v>51</v>
      </c>
      <c r="B3135">
        <v>313</v>
      </c>
      <c r="C3135" t="s">
        <v>17</v>
      </c>
      <c r="D3135" t="s">
        <v>15</v>
      </c>
      <c r="E3135">
        <v>98</v>
      </c>
      <c r="F3135" t="s">
        <v>22</v>
      </c>
      <c r="G3135">
        <v>15107.400000000001</v>
      </c>
      <c r="H3135">
        <v>7192</v>
      </c>
      <c r="I3135">
        <v>18</v>
      </c>
      <c r="J3135">
        <v>21</v>
      </c>
      <c r="K3135">
        <v>7</v>
      </c>
      <c r="L3135">
        <v>7</v>
      </c>
      <c r="M3135">
        <v>1</v>
      </c>
      <c r="N3135">
        <v>0</v>
      </c>
      <c r="P3135">
        <f>G3135*I3135/100</f>
        <v>2719.3320000000003</v>
      </c>
      <c r="Q3135">
        <f t="shared" si="25"/>
        <v>181288.80000000002</v>
      </c>
      <c r="R3135">
        <f>K3135/J3135</f>
        <v>0.33333333333333331</v>
      </c>
    </row>
    <row r="3136" spans="1:18" x14ac:dyDescent="0.3">
      <c r="A3136">
        <v>52</v>
      </c>
      <c r="B3136">
        <v>699</v>
      </c>
      <c r="C3136" t="s">
        <v>17</v>
      </c>
      <c r="D3136" t="s">
        <v>18</v>
      </c>
      <c r="E3136">
        <v>65</v>
      </c>
      <c r="F3136" t="s">
        <v>23</v>
      </c>
      <c r="G3136">
        <v>21998.9</v>
      </c>
      <c r="H3136">
        <v>5678</v>
      </c>
      <c r="I3136">
        <v>14</v>
      </c>
      <c r="J3136">
        <v>34</v>
      </c>
      <c r="K3136">
        <v>33</v>
      </c>
      <c r="L3136">
        <v>18</v>
      </c>
      <c r="M3136">
        <v>11</v>
      </c>
      <c r="N3136">
        <v>9</v>
      </c>
      <c r="P3136">
        <f>G3136*I3136/100</f>
        <v>3079.8460000000005</v>
      </c>
      <c r="Q3136">
        <f t="shared" si="25"/>
        <v>263986.80000000005</v>
      </c>
      <c r="R3136">
        <f>K3136/J3136</f>
        <v>0.97058823529411764</v>
      </c>
    </row>
    <row r="3137" spans="1:18" x14ac:dyDescent="0.3">
      <c r="A3137">
        <v>27</v>
      </c>
      <c r="B3137">
        <v>894</v>
      </c>
      <c r="C3137" t="s">
        <v>17</v>
      </c>
      <c r="D3137" t="s">
        <v>15</v>
      </c>
      <c r="E3137">
        <v>99</v>
      </c>
      <c r="F3137" t="s">
        <v>19</v>
      </c>
      <c r="G3137">
        <v>2506.9</v>
      </c>
      <c r="H3137">
        <v>11781</v>
      </c>
      <c r="I3137">
        <v>16</v>
      </c>
      <c r="J3137">
        <v>7</v>
      </c>
      <c r="K3137">
        <v>7</v>
      </c>
      <c r="L3137">
        <v>7</v>
      </c>
      <c r="M3137">
        <v>0</v>
      </c>
      <c r="N3137">
        <v>3</v>
      </c>
      <c r="P3137">
        <f>G3137*I3137/100</f>
        <v>401.10400000000004</v>
      </c>
      <c r="Q3137">
        <f t="shared" si="25"/>
        <v>30082.800000000003</v>
      </c>
      <c r="R3137">
        <f>K3137/J3137</f>
        <v>1</v>
      </c>
    </row>
    <row r="3138" spans="1:18" x14ac:dyDescent="0.3">
      <c r="A3138">
        <v>35</v>
      </c>
      <c r="B3138">
        <v>556</v>
      </c>
      <c r="C3138" t="s">
        <v>17</v>
      </c>
      <c r="D3138" t="s">
        <v>18</v>
      </c>
      <c r="E3138">
        <v>50</v>
      </c>
      <c r="F3138" t="s">
        <v>21</v>
      </c>
      <c r="G3138">
        <v>6507.6</v>
      </c>
      <c r="H3138">
        <v>15497</v>
      </c>
      <c r="I3138">
        <v>13</v>
      </c>
      <c r="J3138">
        <v>8</v>
      </c>
      <c r="K3138">
        <v>1</v>
      </c>
      <c r="L3138">
        <v>0</v>
      </c>
      <c r="M3138">
        <v>0</v>
      </c>
      <c r="N3138">
        <v>1</v>
      </c>
      <c r="P3138">
        <f>G3138*I3138/100</f>
        <v>845.98800000000006</v>
      </c>
      <c r="Q3138">
        <f t="shared" si="25"/>
        <v>78091.200000000012</v>
      </c>
      <c r="R3138">
        <f>K3138/J3138</f>
        <v>0.125</v>
      </c>
    </row>
    <row r="3139" spans="1:18" x14ac:dyDescent="0.3">
      <c r="A3139">
        <v>43</v>
      </c>
      <c r="B3139">
        <v>1344</v>
      </c>
      <c r="C3139" t="s">
        <v>17</v>
      </c>
      <c r="D3139" t="s">
        <v>18</v>
      </c>
      <c r="E3139">
        <v>37</v>
      </c>
      <c r="F3139" t="s">
        <v>19</v>
      </c>
      <c r="G3139">
        <v>2297.9</v>
      </c>
      <c r="H3139">
        <v>5228</v>
      </c>
      <c r="I3139">
        <v>14</v>
      </c>
      <c r="J3139">
        <v>7</v>
      </c>
      <c r="K3139">
        <v>5</v>
      </c>
      <c r="L3139">
        <v>4</v>
      </c>
      <c r="M3139">
        <v>2</v>
      </c>
      <c r="N3139">
        <v>2</v>
      </c>
      <c r="P3139">
        <f>G3139*I3139/100</f>
        <v>321.70600000000002</v>
      </c>
      <c r="Q3139">
        <f t="shared" ref="Q3139:Q3202" si="26">G3139*12</f>
        <v>27574.800000000003</v>
      </c>
      <c r="R3139">
        <f>K3139/J3139</f>
        <v>0.7142857142857143</v>
      </c>
    </row>
    <row r="3140" spans="1:18" x14ac:dyDescent="0.3">
      <c r="A3140">
        <v>45</v>
      </c>
      <c r="B3140">
        <v>1195</v>
      </c>
      <c r="C3140" t="s">
        <v>17</v>
      </c>
      <c r="D3140" t="s">
        <v>18</v>
      </c>
      <c r="E3140">
        <v>65</v>
      </c>
      <c r="F3140" t="s">
        <v>23</v>
      </c>
      <c r="G3140">
        <v>18471.2</v>
      </c>
      <c r="H3140">
        <v>20462</v>
      </c>
      <c r="I3140">
        <v>23</v>
      </c>
      <c r="J3140">
        <v>22</v>
      </c>
      <c r="K3140">
        <v>20</v>
      </c>
      <c r="L3140">
        <v>8</v>
      </c>
      <c r="M3140">
        <v>11</v>
      </c>
      <c r="N3140">
        <v>8</v>
      </c>
      <c r="P3140">
        <f>G3140*I3140/100</f>
        <v>4248.3760000000002</v>
      </c>
      <c r="Q3140">
        <f t="shared" si="26"/>
        <v>221654.40000000002</v>
      </c>
      <c r="R3140">
        <f>K3140/J3140</f>
        <v>0.90909090909090906</v>
      </c>
    </row>
    <row r="3141" spans="1:18" x14ac:dyDescent="0.3">
      <c r="A3141">
        <v>37</v>
      </c>
      <c r="B3141">
        <v>290</v>
      </c>
      <c r="C3141" t="s">
        <v>17</v>
      </c>
      <c r="D3141" t="s">
        <v>18</v>
      </c>
      <c r="E3141">
        <v>65</v>
      </c>
      <c r="F3141" t="s">
        <v>19</v>
      </c>
      <c r="G3141">
        <v>3920.4</v>
      </c>
      <c r="H3141">
        <v>22977</v>
      </c>
      <c r="I3141">
        <v>12</v>
      </c>
      <c r="J3141">
        <v>8</v>
      </c>
      <c r="K3141">
        <v>8</v>
      </c>
      <c r="L3141">
        <v>7</v>
      </c>
      <c r="M3141">
        <v>1</v>
      </c>
      <c r="N3141">
        <v>7</v>
      </c>
      <c r="P3141">
        <f>G3141*I3141/100</f>
        <v>470.44800000000004</v>
      </c>
      <c r="Q3141">
        <f t="shared" si="26"/>
        <v>47044.800000000003</v>
      </c>
      <c r="R3141">
        <f>K3141/J3141</f>
        <v>1</v>
      </c>
    </row>
    <row r="3142" spans="1:18" x14ac:dyDescent="0.3">
      <c r="A3142">
        <v>35</v>
      </c>
      <c r="B3142">
        <v>138</v>
      </c>
      <c r="C3142" t="s">
        <v>17</v>
      </c>
      <c r="D3142" t="s">
        <v>15</v>
      </c>
      <c r="E3142">
        <v>37</v>
      </c>
      <c r="F3142" t="s">
        <v>20</v>
      </c>
      <c r="G3142">
        <v>4867.5</v>
      </c>
      <c r="H3142">
        <v>15986</v>
      </c>
      <c r="I3142">
        <v>11</v>
      </c>
      <c r="J3142">
        <v>10</v>
      </c>
      <c r="K3142">
        <v>6</v>
      </c>
      <c r="L3142">
        <v>2</v>
      </c>
      <c r="M3142">
        <v>1</v>
      </c>
      <c r="N3142">
        <v>2</v>
      </c>
      <c r="P3142">
        <f>G3142*I3142/100</f>
        <v>535.42499999999995</v>
      </c>
      <c r="Q3142">
        <f t="shared" si="26"/>
        <v>58410</v>
      </c>
      <c r="R3142">
        <f>K3142/J3142</f>
        <v>0.6</v>
      </c>
    </row>
    <row r="3143" spans="1:18" x14ac:dyDescent="0.3">
      <c r="A3143">
        <v>42</v>
      </c>
      <c r="B3143">
        <v>926</v>
      </c>
      <c r="C3143" t="s">
        <v>17</v>
      </c>
      <c r="D3143" t="s">
        <v>15</v>
      </c>
      <c r="E3143">
        <v>36</v>
      </c>
      <c r="F3143" t="s">
        <v>21</v>
      </c>
      <c r="G3143">
        <v>5791.5000000000009</v>
      </c>
      <c r="H3143">
        <v>16439</v>
      </c>
      <c r="I3143">
        <v>16</v>
      </c>
      <c r="J3143">
        <v>11</v>
      </c>
      <c r="K3143">
        <v>5</v>
      </c>
      <c r="L3143">
        <v>3</v>
      </c>
      <c r="M3143">
        <v>0</v>
      </c>
      <c r="N3143">
        <v>2</v>
      </c>
      <c r="P3143">
        <f>G3143*I3143/100</f>
        <v>926.6400000000001</v>
      </c>
      <c r="Q3143">
        <f t="shared" si="26"/>
        <v>69498.000000000015</v>
      </c>
      <c r="R3143">
        <f>K3143/J3143</f>
        <v>0.45454545454545453</v>
      </c>
    </row>
    <row r="3144" spans="1:18" x14ac:dyDescent="0.3">
      <c r="A3144">
        <v>38</v>
      </c>
      <c r="B3144">
        <v>1261</v>
      </c>
      <c r="C3144" t="s">
        <v>17</v>
      </c>
      <c r="D3144" t="s">
        <v>18</v>
      </c>
      <c r="E3144">
        <v>88</v>
      </c>
      <c r="F3144" t="s">
        <v>21</v>
      </c>
      <c r="G3144">
        <v>7208.3</v>
      </c>
      <c r="H3144">
        <v>7259</v>
      </c>
      <c r="I3144">
        <v>14</v>
      </c>
      <c r="J3144">
        <v>14</v>
      </c>
      <c r="K3144">
        <v>1</v>
      </c>
      <c r="L3144">
        <v>0</v>
      </c>
      <c r="M3144">
        <v>0</v>
      </c>
      <c r="N3144">
        <v>0</v>
      </c>
      <c r="P3144">
        <f>G3144*I3144/100</f>
        <v>1009.1619999999999</v>
      </c>
      <c r="Q3144">
        <f t="shared" si="26"/>
        <v>86499.6</v>
      </c>
      <c r="R3144">
        <f>K3144/J3144</f>
        <v>7.1428571428571425E-2</v>
      </c>
    </row>
    <row r="3145" spans="1:18" x14ac:dyDescent="0.3">
      <c r="A3145">
        <v>38</v>
      </c>
      <c r="B3145">
        <v>1084</v>
      </c>
      <c r="C3145" t="s">
        <v>17</v>
      </c>
      <c r="D3145" t="s">
        <v>18</v>
      </c>
      <c r="E3145">
        <v>54</v>
      </c>
      <c r="F3145" t="s">
        <v>21</v>
      </c>
      <c r="G3145">
        <v>6887.1</v>
      </c>
      <c r="H3145">
        <v>4185</v>
      </c>
      <c r="I3145">
        <v>18</v>
      </c>
      <c r="J3145">
        <v>9</v>
      </c>
      <c r="K3145">
        <v>7</v>
      </c>
      <c r="L3145">
        <v>7</v>
      </c>
      <c r="M3145">
        <v>1</v>
      </c>
      <c r="N3145">
        <v>7</v>
      </c>
      <c r="P3145">
        <f>G3145*I3145/100</f>
        <v>1239.6780000000001</v>
      </c>
      <c r="Q3145">
        <f t="shared" si="26"/>
        <v>82645.200000000012</v>
      </c>
      <c r="R3145">
        <f>K3145/J3145</f>
        <v>0.77777777777777779</v>
      </c>
    </row>
    <row r="3146" spans="1:18" x14ac:dyDescent="0.3">
      <c r="A3146">
        <v>27</v>
      </c>
      <c r="B3146">
        <v>472</v>
      </c>
      <c r="C3146" t="s">
        <v>17</v>
      </c>
      <c r="D3146" t="s">
        <v>18</v>
      </c>
      <c r="E3146">
        <v>60</v>
      </c>
      <c r="F3146" t="s">
        <v>21</v>
      </c>
      <c r="G3146">
        <v>4727.8</v>
      </c>
      <c r="H3146">
        <v>9679</v>
      </c>
      <c r="I3146">
        <v>19</v>
      </c>
      <c r="J3146">
        <v>6</v>
      </c>
      <c r="K3146">
        <v>2</v>
      </c>
      <c r="L3146">
        <v>2</v>
      </c>
      <c r="M3146">
        <v>2</v>
      </c>
      <c r="N3146">
        <v>0</v>
      </c>
      <c r="P3146">
        <f>G3146*I3146/100</f>
        <v>898.28199999999993</v>
      </c>
      <c r="Q3146">
        <f t="shared" si="26"/>
        <v>56733.600000000006</v>
      </c>
      <c r="R3146">
        <f>K3146/J3146</f>
        <v>0.33333333333333331</v>
      </c>
    </row>
    <row r="3147" spans="1:18" x14ac:dyDescent="0.3">
      <c r="A3147">
        <v>49</v>
      </c>
      <c r="B3147">
        <v>1002</v>
      </c>
      <c r="C3147" t="s">
        <v>17</v>
      </c>
      <c r="D3147" t="s">
        <v>18</v>
      </c>
      <c r="E3147">
        <v>92</v>
      </c>
      <c r="F3147" t="s">
        <v>21</v>
      </c>
      <c r="G3147">
        <v>7484.4000000000005</v>
      </c>
      <c r="H3147">
        <v>23793</v>
      </c>
      <c r="I3147">
        <v>15</v>
      </c>
      <c r="J3147">
        <v>7</v>
      </c>
      <c r="K3147">
        <v>7</v>
      </c>
      <c r="L3147">
        <v>7</v>
      </c>
      <c r="M3147">
        <v>1</v>
      </c>
      <c r="N3147">
        <v>7</v>
      </c>
      <c r="P3147">
        <f>G3147*I3147/100</f>
        <v>1122.6600000000001</v>
      </c>
      <c r="Q3147">
        <f t="shared" si="26"/>
        <v>89812.800000000003</v>
      </c>
      <c r="R3147">
        <f>K3147/J3147</f>
        <v>1</v>
      </c>
    </row>
    <row r="3148" spans="1:18" x14ac:dyDescent="0.3">
      <c r="A3148">
        <v>34</v>
      </c>
      <c r="B3148">
        <v>878</v>
      </c>
      <c r="C3148" t="s">
        <v>17</v>
      </c>
      <c r="D3148" t="s">
        <v>18</v>
      </c>
      <c r="E3148">
        <v>43</v>
      </c>
      <c r="F3148" t="s">
        <v>19</v>
      </c>
      <c r="G3148">
        <v>4196.5</v>
      </c>
      <c r="H3148">
        <v>5972</v>
      </c>
      <c r="I3148">
        <v>17</v>
      </c>
      <c r="J3148">
        <v>5</v>
      </c>
      <c r="K3148">
        <v>5</v>
      </c>
      <c r="L3148">
        <v>3</v>
      </c>
      <c r="M3148">
        <v>2</v>
      </c>
      <c r="N3148">
        <v>0</v>
      </c>
      <c r="P3148">
        <f>G3148*I3148/100</f>
        <v>713.40499999999997</v>
      </c>
      <c r="Q3148">
        <f t="shared" si="26"/>
        <v>50358</v>
      </c>
      <c r="R3148">
        <f>K3148/J3148</f>
        <v>1</v>
      </c>
    </row>
    <row r="3149" spans="1:18" x14ac:dyDescent="0.3">
      <c r="A3149">
        <v>40</v>
      </c>
      <c r="B3149">
        <v>905</v>
      </c>
      <c r="C3149" t="s">
        <v>17</v>
      </c>
      <c r="D3149" t="s">
        <v>18</v>
      </c>
      <c r="E3149">
        <v>99</v>
      </c>
      <c r="F3149" t="s">
        <v>20</v>
      </c>
      <c r="G3149">
        <v>3015.1000000000004</v>
      </c>
      <c r="H3149">
        <v>16523</v>
      </c>
      <c r="I3149">
        <v>15</v>
      </c>
      <c r="J3149">
        <v>15</v>
      </c>
      <c r="K3149">
        <v>7</v>
      </c>
      <c r="L3149">
        <v>2</v>
      </c>
      <c r="M3149">
        <v>3</v>
      </c>
      <c r="N3149">
        <v>7</v>
      </c>
      <c r="P3149">
        <f>G3149*I3149/100</f>
        <v>452.2650000000001</v>
      </c>
      <c r="Q3149">
        <f t="shared" si="26"/>
        <v>36181.200000000004</v>
      </c>
      <c r="R3149">
        <f>K3149/J3149</f>
        <v>0.46666666666666667</v>
      </c>
    </row>
    <row r="3150" spans="1:18" x14ac:dyDescent="0.3">
      <c r="A3150">
        <v>38</v>
      </c>
      <c r="B3150">
        <v>1180</v>
      </c>
      <c r="C3150" t="s">
        <v>17</v>
      </c>
      <c r="D3150" t="s">
        <v>18</v>
      </c>
      <c r="E3150">
        <v>70</v>
      </c>
      <c r="F3150" t="s">
        <v>22</v>
      </c>
      <c r="G3150">
        <v>7340.3</v>
      </c>
      <c r="H3150">
        <v>11354</v>
      </c>
      <c r="I3150">
        <v>19</v>
      </c>
      <c r="J3150">
        <v>17</v>
      </c>
      <c r="K3150">
        <v>1</v>
      </c>
      <c r="L3150">
        <v>0</v>
      </c>
      <c r="M3150">
        <v>0</v>
      </c>
      <c r="N3150">
        <v>0</v>
      </c>
      <c r="P3150">
        <f>G3150*I3150/100</f>
        <v>1394.6570000000002</v>
      </c>
      <c r="Q3150">
        <f t="shared" si="26"/>
        <v>88083.6</v>
      </c>
      <c r="R3150">
        <f>K3150/J3150</f>
        <v>5.8823529411764705E-2</v>
      </c>
    </row>
    <row r="3151" spans="1:18" x14ac:dyDescent="0.3">
      <c r="A3151">
        <v>29</v>
      </c>
      <c r="B3151">
        <v>121</v>
      </c>
      <c r="C3151" t="s">
        <v>14</v>
      </c>
      <c r="D3151" t="s">
        <v>15</v>
      </c>
      <c r="E3151">
        <v>35</v>
      </c>
      <c r="F3151" t="s">
        <v>16</v>
      </c>
      <c r="G3151">
        <v>8402.9000000000015</v>
      </c>
      <c r="H3151">
        <v>24525</v>
      </c>
      <c r="I3151">
        <v>22</v>
      </c>
      <c r="J3151">
        <v>10</v>
      </c>
      <c r="K3151">
        <v>10</v>
      </c>
      <c r="L3151">
        <v>4</v>
      </c>
      <c r="M3151">
        <v>1</v>
      </c>
      <c r="N3151">
        <v>9</v>
      </c>
      <c r="P3151">
        <f>G3151*I3151/100</f>
        <v>1848.6380000000004</v>
      </c>
      <c r="Q3151">
        <f t="shared" si="26"/>
        <v>100834.80000000002</v>
      </c>
      <c r="R3151">
        <f>K3151/J3151</f>
        <v>1</v>
      </c>
    </row>
    <row r="3152" spans="1:18" x14ac:dyDescent="0.3">
      <c r="A3152">
        <v>22</v>
      </c>
      <c r="B3152">
        <v>1136</v>
      </c>
      <c r="C3152" t="s">
        <v>17</v>
      </c>
      <c r="D3152" t="s">
        <v>18</v>
      </c>
      <c r="E3152">
        <v>60</v>
      </c>
      <c r="F3152" t="s">
        <v>19</v>
      </c>
      <c r="G3152">
        <v>2560.8000000000002</v>
      </c>
      <c r="H3152">
        <v>12392</v>
      </c>
      <c r="I3152">
        <v>16</v>
      </c>
      <c r="J3152">
        <v>4</v>
      </c>
      <c r="K3152">
        <v>4</v>
      </c>
      <c r="L3152">
        <v>2</v>
      </c>
      <c r="M3152">
        <v>2</v>
      </c>
      <c r="N3152">
        <v>2</v>
      </c>
      <c r="P3152">
        <f>G3152*I3152/100</f>
        <v>409.72800000000001</v>
      </c>
      <c r="Q3152">
        <f t="shared" si="26"/>
        <v>30729.600000000002</v>
      </c>
      <c r="R3152">
        <f>K3152/J3152</f>
        <v>1</v>
      </c>
    </row>
    <row r="3153" spans="1:18" x14ac:dyDescent="0.3">
      <c r="A3153">
        <v>36</v>
      </c>
      <c r="B3153">
        <v>635</v>
      </c>
      <c r="C3153" t="s">
        <v>17</v>
      </c>
      <c r="D3153" t="s">
        <v>15</v>
      </c>
      <c r="E3153">
        <v>73</v>
      </c>
      <c r="F3153" t="s">
        <v>20</v>
      </c>
      <c r="G3153">
        <v>2368.3000000000002</v>
      </c>
      <c r="H3153">
        <v>7703</v>
      </c>
      <c r="I3153">
        <v>13</v>
      </c>
      <c r="J3153">
        <v>8</v>
      </c>
      <c r="K3153">
        <v>8</v>
      </c>
      <c r="L3153">
        <v>1</v>
      </c>
      <c r="M3153">
        <v>1</v>
      </c>
      <c r="N3153">
        <v>7</v>
      </c>
      <c r="P3153">
        <f>G3153*I3153/100</f>
        <v>307.87900000000002</v>
      </c>
      <c r="Q3153">
        <f t="shared" si="26"/>
        <v>28419.600000000002</v>
      </c>
      <c r="R3153">
        <f>K3153/J3153</f>
        <v>1</v>
      </c>
    </row>
    <row r="3154" spans="1:18" x14ac:dyDescent="0.3">
      <c r="A3154">
        <v>40</v>
      </c>
      <c r="B3154">
        <v>1151</v>
      </c>
      <c r="C3154" t="s">
        <v>17</v>
      </c>
      <c r="D3154" t="s">
        <v>18</v>
      </c>
      <c r="E3154">
        <v>63</v>
      </c>
      <c r="F3154" t="s">
        <v>22</v>
      </c>
      <c r="G3154">
        <v>5363.6</v>
      </c>
      <c r="H3154">
        <v>14242</v>
      </c>
      <c r="I3154">
        <v>14</v>
      </c>
      <c r="J3154">
        <v>5</v>
      </c>
      <c r="K3154">
        <v>3</v>
      </c>
      <c r="L3154">
        <v>2</v>
      </c>
      <c r="M3154">
        <v>0</v>
      </c>
      <c r="N3154">
        <v>2</v>
      </c>
      <c r="P3154">
        <f>G3154*I3154/100</f>
        <v>750.90400000000011</v>
      </c>
      <c r="Q3154">
        <f t="shared" si="26"/>
        <v>64363.200000000004</v>
      </c>
      <c r="R3154">
        <f>K3154/J3154</f>
        <v>0.6</v>
      </c>
    </row>
    <row r="3155" spans="1:18" x14ac:dyDescent="0.3">
      <c r="A3155">
        <v>46</v>
      </c>
      <c r="B3155">
        <v>644</v>
      </c>
      <c r="C3155" t="s">
        <v>17</v>
      </c>
      <c r="D3155" t="s">
        <v>18</v>
      </c>
      <c r="E3155">
        <v>97</v>
      </c>
      <c r="F3155" t="s">
        <v>22</v>
      </c>
      <c r="G3155">
        <v>10335.6</v>
      </c>
      <c r="H3155">
        <v>12368</v>
      </c>
      <c r="I3155">
        <v>16</v>
      </c>
      <c r="J3155">
        <v>17</v>
      </c>
      <c r="K3155">
        <v>4</v>
      </c>
      <c r="L3155">
        <v>2</v>
      </c>
      <c r="M3155">
        <v>0</v>
      </c>
      <c r="N3155">
        <v>3</v>
      </c>
      <c r="P3155">
        <f>G3155*I3155/100</f>
        <v>1653.6960000000001</v>
      </c>
      <c r="Q3155">
        <f t="shared" si="26"/>
        <v>124027.20000000001</v>
      </c>
      <c r="R3155">
        <f>K3155/J3155</f>
        <v>0.23529411764705882</v>
      </c>
    </row>
    <row r="3156" spans="1:18" x14ac:dyDescent="0.3">
      <c r="A3156">
        <v>32</v>
      </c>
      <c r="B3156">
        <v>1045</v>
      </c>
      <c r="C3156" t="s">
        <v>14</v>
      </c>
      <c r="D3156" t="s">
        <v>18</v>
      </c>
      <c r="E3156">
        <v>32</v>
      </c>
      <c r="F3156" t="s">
        <v>16</v>
      </c>
      <c r="G3156">
        <v>11440.000000000002</v>
      </c>
      <c r="H3156">
        <v>25812</v>
      </c>
      <c r="I3156">
        <v>11</v>
      </c>
      <c r="J3156">
        <v>14</v>
      </c>
      <c r="K3156">
        <v>14</v>
      </c>
      <c r="L3156">
        <v>8</v>
      </c>
      <c r="M3156">
        <v>9</v>
      </c>
      <c r="N3156">
        <v>8</v>
      </c>
      <c r="P3156">
        <f>G3156*I3156/100</f>
        <v>1258.4000000000001</v>
      </c>
      <c r="Q3156">
        <f t="shared" si="26"/>
        <v>137280.00000000003</v>
      </c>
      <c r="R3156">
        <f>K3156/J3156</f>
        <v>1</v>
      </c>
    </row>
    <row r="3157" spans="1:18" x14ac:dyDescent="0.3">
      <c r="A3157">
        <v>30</v>
      </c>
      <c r="B3157">
        <v>829</v>
      </c>
      <c r="C3157" t="s">
        <v>17</v>
      </c>
      <c r="D3157" t="s">
        <v>18</v>
      </c>
      <c r="E3157">
        <v>88</v>
      </c>
      <c r="F3157" t="s">
        <v>21</v>
      </c>
      <c r="G3157">
        <v>9321.4000000000015</v>
      </c>
      <c r="H3157">
        <v>20925</v>
      </c>
      <c r="I3157">
        <v>22</v>
      </c>
      <c r="J3157">
        <v>12</v>
      </c>
      <c r="K3157">
        <v>11</v>
      </c>
      <c r="L3157">
        <v>8</v>
      </c>
      <c r="M3157">
        <v>5</v>
      </c>
      <c r="N3157">
        <v>8</v>
      </c>
      <c r="P3157">
        <f>G3157*I3157/100</f>
        <v>2050.7080000000005</v>
      </c>
      <c r="Q3157">
        <f t="shared" si="26"/>
        <v>111856.80000000002</v>
      </c>
      <c r="R3157">
        <f>K3157/J3157</f>
        <v>0.91666666666666663</v>
      </c>
    </row>
    <row r="3158" spans="1:18" x14ac:dyDescent="0.3">
      <c r="A3158">
        <v>27</v>
      </c>
      <c r="B3158">
        <v>1242</v>
      </c>
      <c r="C3158" t="s">
        <v>14</v>
      </c>
      <c r="D3158" t="s">
        <v>15</v>
      </c>
      <c r="E3158">
        <v>90</v>
      </c>
      <c r="F3158" t="s">
        <v>16</v>
      </c>
      <c r="G3158">
        <v>10979.1</v>
      </c>
      <c r="H3158">
        <v>12916</v>
      </c>
      <c r="I3158">
        <v>14</v>
      </c>
      <c r="J3158">
        <v>7</v>
      </c>
      <c r="K3158">
        <v>7</v>
      </c>
      <c r="L3158">
        <v>7</v>
      </c>
      <c r="M3158">
        <v>0</v>
      </c>
      <c r="N3158">
        <v>7</v>
      </c>
      <c r="P3158">
        <f>G3158*I3158/100</f>
        <v>1537.0739999999998</v>
      </c>
      <c r="Q3158">
        <f t="shared" si="26"/>
        <v>131749.20000000001</v>
      </c>
      <c r="R3158">
        <f>K3158/J3158</f>
        <v>1</v>
      </c>
    </row>
    <row r="3159" spans="1:18" x14ac:dyDescent="0.3">
      <c r="A3159">
        <v>51</v>
      </c>
      <c r="B3159">
        <v>1469</v>
      </c>
      <c r="C3159" t="s">
        <v>17</v>
      </c>
      <c r="D3159" t="s">
        <v>18</v>
      </c>
      <c r="E3159">
        <v>81</v>
      </c>
      <c r="F3159" t="s">
        <v>25</v>
      </c>
      <c r="G3159">
        <v>13739.000000000002</v>
      </c>
      <c r="H3159">
        <v>15736</v>
      </c>
      <c r="I3159">
        <v>16</v>
      </c>
      <c r="J3159">
        <v>16</v>
      </c>
      <c r="K3159">
        <v>10</v>
      </c>
      <c r="L3159">
        <v>9</v>
      </c>
      <c r="M3159">
        <v>4</v>
      </c>
      <c r="N3159">
        <v>7</v>
      </c>
      <c r="P3159">
        <f>G3159*I3159/100</f>
        <v>2198.2400000000002</v>
      </c>
      <c r="Q3159">
        <f t="shared" si="26"/>
        <v>164868.00000000003</v>
      </c>
      <c r="R3159">
        <f>K3159/J3159</f>
        <v>0.625</v>
      </c>
    </row>
    <row r="3160" spans="1:18" x14ac:dyDescent="0.3">
      <c r="A3160">
        <v>30</v>
      </c>
      <c r="B3160">
        <v>1005</v>
      </c>
      <c r="C3160" t="s">
        <v>17</v>
      </c>
      <c r="D3160" t="s">
        <v>15</v>
      </c>
      <c r="E3160">
        <v>88</v>
      </c>
      <c r="F3160" t="s">
        <v>19</v>
      </c>
      <c r="G3160">
        <v>2922.7000000000003</v>
      </c>
      <c r="H3160">
        <v>8556</v>
      </c>
      <c r="I3160">
        <v>11</v>
      </c>
      <c r="J3160">
        <v>8</v>
      </c>
      <c r="K3160">
        <v>5</v>
      </c>
      <c r="L3160">
        <v>2</v>
      </c>
      <c r="M3160">
        <v>0</v>
      </c>
      <c r="N3160">
        <v>4</v>
      </c>
      <c r="P3160">
        <f>G3160*I3160/100</f>
        <v>321.49700000000007</v>
      </c>
      <c r="Q3160">
        <f t="shared" si="26"/>
        <v>35072.400000000001</v>
      </c>
      <c r="R3160">
        <f>K3160/J3160</f>
        <v>0.625</v>
      </c>
    </row>
    <row r="3161" spans="1:18" x14ac:dyDescent="0.3">
      <c r="A3161">
        <v>41</v>
      </c>
      <c r="B3161">
        <v>896</v>
      </c>
      <c r="C3161" t="s">
        <v>14</v>
      </c>
      <c r="D3161" t="s">
        <v>15</v>
      </c>
      <c r="E3161">
        <v>75</v>
      </c>
      <c r="F3161" t="s">
        <v>23</v>
      </c>
      <c r="G3161">
        <v>14950.1</v>
      </c>
      <c r="H3161">
        <v>14674</v>
      </c>
      <c r="I3161">
        <v>18</v>
      </c>
      <c r="J3161">
        <v>16</v>
      </c>
      <c r="K3161">
        <v>1</v>
      </c>
      <c r="L3161">
        <v>0</v>
      </c>
      <c r="M3161">
        <v>0</v>
      </c>
      <c r="N3161">
        <v>0</v>
      </c>
      <c r="P3161">
        <f>G3161*I3161/100</f>
        <v>2691.018</v>
      </c>
      <c r="Q3161">
        <f t="shared" si="26"/>
        <v>179401.2</v>
      </c>
      <c r="R3161">
        <f>K3161/J3161</f>
        <v>6.25E-2</v>
      </c>
    </row>
    <row r="3162" spans="1:18" x14ac:dyDescent="0.3">
      <c r="A3162">
        <v>30</v>
      </c>
      <c r="B3162">
        <v>334</v>
      </c>
      <c r="C3162" t="s">
        <v>14</v>
      </c>
      <c r="D3162" t="s">
        <v>15</v>
      </c>
      <c r="E3162">
        <v>52</v>
      </c>
      <c r="F3162" t="s">
        <v>16</v>
      </c>
      <c r="G3162">
        <v>7365.6</v>
      </c>
      <c r="H3162">
        <v>22967</v>
      </c>
      <c r="I3162">
        <v>15</v>
      </c>
      <c r="J3162">
        <v>9</v>
      </c>
      <c r="K3162">
        <v>6</v>
      </c>
      <c r="L3162">
        <v>3</v>
      </c>
      <c r="M3162">
        <v>0</v>
      </c>
      <c r="N3162">
        <v>1</v>
      </c>
      <c r="P3162">
        <f>G3162*I3162/100</f>
        <v>1104.8399999999999</v>
      </c>
      <c r="Q3162">
        <f t="shared" si="26"/>
        <v>88387.200000000012</v>
      </c>
      <c r="R3162">
        <f>K3162/J3162</f>
        <v>0.66666666666666663</v>
      </c>
    </row>
    <row r="3163" spans="1:18" x14ac:dyDescent="0.3">
      <c r="A3163">
        <v>29</v>
      </c>
      <c r="B3163">
        <v>992</v>
      </c>
      <c r="C3163" t="s">
        <v>17</v>
      </c>
      <c r="D3163" t="s">
        <v>18</v>
      </c>
      <c r="E3163">
        <v>85</v>
      </c>
      <c r="F3163" t="s">
        <v>19</v>
      </c>
      <c r="G3163">
        <v>2263.8000000000002</v>
      </c>
      <c r="H3163">
        <v>19757</v>
      </c>
      <c r="I3163">
        <v>14</v>
      </c>
      <c r="J3163">
        <v>7</v>
      </c>
      <c r="K3163">
        <v>6</v>
      </c>
      <c r="L3163">
        <v>2</v>
      </c>
      <c r="M3163">
        <v>1</v>
      </c>
      <c r="N3163">
        <v>5</v>
      </c>
      <c r="P3163">
        <f>G3163*I3163/100</f>
        <v>316.93200000000002</v>
      </c>
      <c r="Q3163">
        <f t="shared" si="26"/>
        <v>27165.600000000002</v>
      </c>
      <c r="R3163">
        <f>K3163/J3163</f>
        <v>0.8571428571428571</v>
      </c>
    </row>
    <row r="3164" spans="1:18" x14ac:dyDescent="0.3">
      <c r="A3164">
        <v>45</v>
      </c>
      <c r="B3164">
        <v>1052</v>
      </c>
      <c r="C3164" t="s">
        <v>14</v>
      </c>
      <c r="D3164" t="s">
        <v>15</v>
      </c>
      <c r="E3164">
        <v>57</v>
      </c>
      <c r="F3164" t="s">
        <v>16</v>
      </c>
      <c r="G3164">
        <v>9751.5</v>
      </c>
      <c r="H3164">
        <v>16840</v>
      </c>
      <c r="I3164">
        <v>12</v>
      </c>
      <c r="J3164">
        <v>23</v>
      </c>
      <c r="K3164">
        <v>19</v>
      </c>
      <c r="L3164">
        <v>7</v>
      </c>
      <c r="M3164">
        <v>12</v>
      </c>
      <c r="N3164">
        <v>8</v>
      </c>
      <c r="P3164">
        <f>G3164*I3164/100</f>
        <v>1170.18</v>
      </c>
      <c r="Q3164">
        <f t="shared" si="26"/>
        <v>117018</v>
      </c>
      <c r="R3164">
        <f>K3164/J3164</f>
        <v>0.82608695652173914</v>
      </c>
    </row>
    <row r="3165" spans="1:18" x14ac:dyDescent="0.3">
      <c r="A3165">
        <v>54</v>
      </c>
      <c r="B3165">
        <v>1147</v>
      </c>
      <c r="C3165" t="s">
        <v>14</v>
      </c>
      <c r="D3165" t="s">
        <v>15</v>
      </c>
      <c r="E3165">
        <v>52</v>
      </c>
      <c r="F3165" t="s">
        <v>16</v>
      </c>
      <c r="G3165">
        <v>6534.0000000000009</v>
      </c>
      <c r="H3165">
        <v>17011</v>
      </c>
      <c r="I3165">
        <v>14</v>
      </c>
      <c r="J3165">
        <v>16</v>
      </c>
      <c r="K3165">
        <v>6</v>
      </c>
      <c r="L3165">
        <v>2</v>
      </c>
      <c r="M3165">
        <v>0</v>
      </c>
      <c r="N3165">
        <v>5</v>
      </c>
      <c r="P3165">
        <f>G3165*I3165/100</f>
        <v>914.7600000000001</v>
      </c>
      <c r="Q3165">
        <f t="shared" si="26"/>
        <v>78408.000000000015</v>
      </c>
      <c r="R3165">
        <f>K3165/J3165</f>
        <v>0.375</v>
      </c>
    </row>
    <row r="3166" spans="1:18" x14ac:dyDescent="0.3">
      <c r="A3166">
        <v>36</v>
      </c>
      <c r="B3166">
        <v>1396</v>
      </c>
      <c r="C3166" t="s">
        <v>17</v>
      </c>
      <c r="D3166" t="s">
        <v>18</v>
      </c>
      <c r="E3166">
        <v>62</v>
      </c>
      <c r="F3166" t="s">
        <v>20</v>
      </c>
      <c r="G3166">
        <v>6505.4000000000005</v>
      </c>
      <c r="H3166">
        <v>9945</v>
      </c>
      <c r="I3166">
        <v>16</v>
      </c>
      <c r="J3166">
        <v>16</v>
      </c>
      <c r="K3166">
        <v>13</v>
      </c>
      <c r="L3166">
        <v>11</v>
      </c>
      <c r="M3166">
        <v>3</v>
      </c>
      <c r="N3166">
        <v>7</v>
      </c>
      <c r="P3166">
        <f>G3166*I3166/100</f>
        <v>1040.864</v>
      </c>
      <c r="Q3166">
        <f t="shared" si="26"/>
        <v>78064.800000000003</v>
      </c>
      <c r="R3166">
        <f>K3166/J3166</f>
        <v>0.8125</v>
      </c>
    </row>
    <row r="3167" spans="1:18" x14ac:dyDescent="0.3">
      <c r="A3167">
        <v>33</v>
      </c>
      <c r="B3167">
        <v>147</v>
      </c>
      <c r="C3167" t="s">
        <v>17</v>
      </c>
      <c r="D3167" t="s">
        <v>15</v>
      </c>
      <c r="E3167">
        <v>47</v>
      </c>
      <c r="F3167" t="s">
        <v>19</v>
      </c>
      <c r="G3167">
        <v>2884.2000000000003</v>
      </c>
      <c r="H3167">
        <v>13248</v>
      </c>
      <c r="I3167">
        <v>21</v>
      </c>
      <c r="J3167">
        <v>7</v>
      </c>
      <c r="K3167">
        <v>3</v>
      </c>
      <c r="L3167">
        <v>2</v>
      </c>
      <c r="M3167">
        <v>1</v>
      </c>
      <c r="N3167">
        <v>1</v>
      </c>
      <c r="P3167">
        <f>G3167*I3167/100</f>
        <v>605.68200000000002</v>
      </c>
      <c r="Q3167">
        <f t="shared" si="26"/>
        <v>34610.400000000001</v>
      </c>
      <c r="R3167">
        <f>K3167/J3167</f>
        <v>0.42857142857142855</v>
      </c>
    </row>
    <row r="3168" spans="1:18" x14ac:dyDescent="0.3">
      <c r="A3168">
        <v>37</v>
      </c>
      <c r="B3168">
        <v>663</v>
      </c>
      <c r="C3168" t="s">
        <v>17</v>
      </c>
      <c r="D3168" t="s">
        <v>18</v>
      </c>
      <c r="E3168">
        <v>47</v>
      </c>
      <c r="F3168" t="s">
        <v>25</v>
      </c>
      <c r="G3168">
        <v>13403.500000000002</v>
      </c>
      <c r="H3168">
        <v>10056</v>
      </c>
      <c r="I3168">
        <v>14</v>
      </c>
      <c r="J3168">
        <v>10</v>
      </c>
      <c r="K3168">
        <v>10</v>
      </c>
      <c r="L3168">
        <v>8</v>
      </c>
      <c r="M3168">
        <v>0</v>
      </c>
      <c r="N3168">
        <v>7</v>
      </c>
      <c r="P3168">
        <f>G3168*I3168/100</f>
        <v>1876.4900000000002</v>
      </c>
      <c r="Q3168">
        <f t="shared" si="26"/>
        <v>160842.00000000003</v>
      </c>
      <c r="R3168">
        <f>K3168/J3168</f>
        <v>1</v>
      </c>
    </row>
    <row r="3169" spans="1:18" x14ac:dyDescent="0.3">
      <c r="A3169">
        <v>38</v>
      </c>
      <c r="B3169">
        <v>119</v>
      </c>
      <c r="C3169" t="s">
        <v>14</v>
      </c>
      <c r="D3169" t="s">
        <v>18</v>
      </c>
      <c r="E3169">
        <v>76</v>
      </c>
      <c r="F3169" t="s">
        <v>16</v>
      </c>
      <c r="G3169">
        <v>11669.900000000001</v>
      </c>
      <c r="H3169">
        <v>9647</v>
      </c>
      <c r="I3169">
        <v>12</v>
      </c>
      <c r="J3169">
        <v>17</v>
      </c>
      <c r="K3169">
        <v>16</v>
      </c>
      <c r="L3169">
        <v>10</v>
      </c>
      <c r="M3169">
        <v>5</v>
      </c>
      <c r="N3169">
        <v>13</v>
      </c>
      <c r="P3169">
        <f>G3169*I3169/100</f>
        <v>1400.3880000000001</v>
      </c>
      <c r="Q3169">
        <f t="shared" si="26"/>
        <v>140038.80000000002</v>
      </c>
      <c r="R3169">
        <f>K3169/J3169</f>
        <v>0.94117647058823528</v>
      </c>
    </row>
    <row r="3170" spans="1:18" x14ac:dyDescent="0.3">
      <c r="A3170">
        <v>31</v>
      </c>
      <c r="B3170">
        <v>979</v>
      </c>
      <c r="C3170" t="s">
        <v>17</v>
      </c>
      <c r="D3170" t="s">
        <v>18</v>
      </c>
      <c r="E3170">
        <v>90</v>
      </c>
      <c r="F3170" t="s">
        <v>21</v>
      </c>
      <c r="G3170">
        <v>4779.5</v>
      </c>
      <c r="H3170">
        <v>4381</v>
      </c>
      <c r="I3170">
        <v>12</v>
      </c>
      <c r="J3170">
        <v>6</v>
      </c>
      <c r="K3170">
        <v>5</v>
      </c>
      <c r="L3170">
        <v>4</v>
      </c>
      <c r="M3170">
        <v>1</v>
      </c>
      <c r="N3170">
        <v>4</v>
      </c>
      <c r="P3170">
        <f>G3170*I3170/100</f>
        <v>573.54</v>
      </c>
      <c r="Q3170">
        <f t="shared" si="26"/>
        <v>57354</v>
      </c>
      <c r="R3170">
        <f>K3170/J3170</f>
        <v>0.83333333333333337</v>
      </c>
    </row>
    <row r="3171" spans="1:18" x14ac:dyDescent="0.3">
      <c r="A3171">
        <v>59</v>
      </c>
      <c r="B3171">
        <v>142</v>
      </c>
      <c r="C3171" t="s">
        <v>17</v>
      </c>
      <c r="D3171" t="s">
        <v>18</v>
      </c>
      <c r="E3171">
        <v>70</v>
      </c>
      <c r="F3171" t="s">
        <v>19</v>
      </c>
      <c r="G3171">
        <v>2394.7000000000003</v>
      </c>
      <c r="H3171">
        <v>8456</v>
      </c>
      <c r="I3171">
        <v>17</v>
      </c>
      <c r="J3171">
        <v>7</v>
      </c>
      <c r="K3171">
        <v>1</v>
      </c>
      <c r="L3171">
        <v>0</v>
      </c>
      <c r="M3171">
        <v>0</v>
      </c>
      <c r="N3171">
        <v>0</v>
      </c>
      <c r="P3171">
        <f>G3171*I3171/100</f>
        <v>407.09899999999999</v>
      </c>
      <c r="Q3171">
        <f t="shared" si="26"/>
        <v>28736.400000000001</v>
      </c>
      <c r="R3171">
        <f>K3171/J3171</f>
        <v>0.14285714285714285</v>
      </c>
    </row>
    <row r="3172" spans="1:18" x14ac:dyDescent="0.3">
      <c r="A3172">
        <v>37</v>
      </c>
      <c r="B3172">
        <v>319</v>
      </c>
      <c r="C3172" t="s">
        <v>14</v>
      </c>
      <c r="D3172" t="s">
        <v>18</v>
      </c>
      <c r="E3172">
        <v>41</v>
      </c>
      <c r="F3172" t="s">
        <v>24</v>
      </c>
      <c r="G3172">
        <v>3072.3</v>
      </c>
      <c r="H3172">
        <v>2539</v>
      </c>
      <c r="I3172">
        <v>17</v>
      </c>
      <c r="J3172">
        <v>13</v>
      </c>
      <c r="K3172">
        <v>9</v>
      </c>
      <c r="L3172">
        <v>8</v>
      </c>
      <c r="M3172">
        <v>5</v>
      </c>
      <c r="N3172">
        <v>8</v>
      </c>
      <c r="P3172">
        <f>G3172*I3172/100</f>
        <v>522.29100000000005</v>
      </c>
      <c r="Q3172">
        <f t="shared" si="26"/>
        <v>36867.600000000006</v>
      </c>
      <c r="R3172">
        <f>K3172/J3172</f>
        <v>0.69230769230769229</v>
      </c>
    </row>
    <row r="3173" spans="1:18" x14ac:dyDescent="0.3">
      <c r="A3173">
        <v>29</v>
      </c>
      <c r="B3173">
        <v>1413</v>
      </c>
      <c r="C3173" t="s">
        <v>14</v>
      </c>
      <c r="D3173" t="s">
        <v>15</v>
      </c>
      <c r="E3173">
        <v>42</v>
      </c>
      <c r="F3173" t="s">
        <v>16</v>
      </c>
      <c r="G3173">
        <v>8709.8000000000011</v>
      </c>
      <c r="H3173">
        <v>6599</v>
      </c>
      <c r="I3173">
        <v>14</v>
      </c>
      <c r="J3173">
        <v>11</v>
      </c>
      <c r="K3173">
        <v>11</v>
      </c>
      <c r="L3173">
        <v>10</v>
      </c>
      <c r="M3173">
        <v>4</v>
      </c>
      <c r="N3173">
        <v>1</v>
      </c>
      <c r="P3173">
        <f>G3173*I3173/100</f>
        <v>1219.3720000000001</v>
      </c>
      <c r="Q3173">
        <f t="shared" si="26"/>
        <v>104517.6</v>
      </c>
      <c r="R3173">
        <f>K3173/J3173</f>
        <v>1</v>
      </c>
    </row>
    <row r="3174" spans="1:18" x14ac:dyDescent="0.3">
      <c r="A3174">
        <v>35</v>
      </c>
      <c r="B3174">
        <v>944</v>
      </c>
      <c r="C3174" t="s">
        <v>14</v>
      </c>
      <c r="D3174" t="s">
        <v>15</v>
      </c>
      <c r="E3174">
        <v>92</v>
      </c>
      <c r="F3174" t="s">
        <v>16</v>
      </c>
      <c r="G3174">
        <v>9667.9000000000015</v>
      </c>
      <c r="H3174">
        <v>9096</v>
      </c>
      <c r="I3174">
        <v>14</v>
      </c>
      <c r="J3174">
        <v>10</v>
      </c>
      <c r="K3174">
        <v>10</v>
      </c>
      <c r="L3174">
        <v>7</v>
      </c>
      <c r="M3174">
        <v>0</v>
      </c>
      <c r="N3174">
        <v>8</v>
      </c>
      <c r="P3174">
        <f>G3174*I3174/100</f>
        <v>1353.5060000000003</v>
      </c>
      <c r="Q3174">
        <f t="shared" si="26"/>
        <v>116014.80000000002</v>
      </c>
      <c r="R3174">
        <f>K3174/J3174</f>
        <v>1</v>
      </c>
    </row>
    <row r="3175" spans="1:18" x14ac:dyDescent="0.3">
      <c r="A3175">
        <v>29</v>
      </c>
      <c r="B3175">
        <v>896</v>
      </c>
      <c r="C3175" t="s">
        <v>17</v>
      </c>
      <c r="D3175" t="s">
        <v>18</v>
      </c>
      <c r="E3175">
        <v>86</v>
      </c>
      <c r="F3175" t="s">
        <v>19</v>
      </c>
      <c r="G3175">
        <v>2627.9</v>
      </c>
      <c r="H3175">
        <v>14961</v>
      </c>
      <c r="I3175">
        <v>13</v>
      </c>
      <c r="J3175">
        <v>4</v>
      </c>
      <c r="K3175">
        <v>4</v>
      </c>
      <c r="L3175">
        <v>3</v>
      </c>
      <c r="M3175">
        <v>0</v>
      </c>
      <c r="N3175">
        <v>1</v>
      </c>
      <c r="P3175">
        <f>G3175*I3175/100</f>
        <v>341.62700000000007</v>
      </c>
      <c r="Q3175">
        <f t="shared" si="26"/>
        <v>31534.800000000003</v>
      </c>
      <c r="R3175">
        <f>K3175/J3175</f>
        <v>1</v>
      </c>
    </row>
    <row r="3176" spans="1:18" x14ac:dyDescent="0.3">
      <c r="A3176">
        <v>52</v>
      </c>
      <c r="B3176">
        <v>1323</v>
      </c>
      <c r="C3176" t="s">
        <v>17</v>
      </c>
      <c r="D3176" t="s">
        <v>15</v>
      </c>
      <c r="E3176">
        <v>89</v>
      </c>
      <c r="F3176" t="s">
        <v>20</v>
      </c>
      <c r="G3176">
        <v>3533.2000000000003</v>
      </c>
      <c r="H3176">
        <v>3300</v>
      </c>
      <c r="I3176">
        <v>15</v>
      </c>
      <c r="J3176">
        <v>6</v>
      </c>
      <c r="K3176">
        <v>2</v>
      </c>
      <c r="L3176">
        <v>2</v>
      </c>
      <c r="M3176">
        <v>2</v>
      </c>
      <c r="N3176">
        <v>2</v>
      </c>
      <c r="P3176">
        <f>G3176*I3176/100</f>
        <v>529.98</v>
      </c>
      <c r="Q3176">
        <f t="shared" si="26"/>
        <v>42398.400000000001</v>
      </c>
      <c r="R3176">
        <f>K3176/J3176</f>
        <v>0.33333333333333331</v>
      </c>
    </row>
    <row r="3177" spans="1:18" x14ac:dyDescent="0.3">
      <c r="A3177">
        <v>42</v>
      </c>
      <c r="B3177">
        <v>532</v>
      </c>
      <c r="C3177" t="s">
        <v>17</v>
      </c>
      <c r="D3177" t="s">
        <v>18</v>
      </c>
      <c r="E3177">
        <v>58</v>
      </c>
      <c r="F3177" t="s">
        <v>23</v>
      </c>
      <c r="G3177">
        <v>21155.200000000001</v>
      </c>
      <c r="H3177">
        <v>4933</v>
      </c>
      <c r="I3177">
        <v>11</v>
      </c>
      <c r="J3177">
        <v>22</v>
      </c>
      <c r="K3177">
        <v>22</v>
      </c>
      <c r="L3177">
        <v>17</v>
      </c>
      <c r="M3177">
        <v>11</v>
      </c>
      <c r="N3177">
        <v>15</v>
      </c>
      <c r="P3177">
        <f>G3177*I3177/100</f>
        <v>2327.0720000000001</v>
      </c>
      <c r="Q3177">
        <f t="shared" si="26"/>
        <v>253862.40000000002</v>
      </c>
      <c r="R3177">
        <f>K3177/J3177</f>
        <v>1</v>
      </c>
    </row>
    <row r="3178" spans="1:18" x14ac:dyDescent="0.3">
      <c r="A3178">
        <v>59</v>
      </c>
      <c r="B3178">
        <v>818</v>
      </c>
      <c r="C3178" t="s">
        <v>26</v>
      </c>
      <c r="D3178" t="s">
        <v>18</v>
      </c>
      <c r="E3178">
        <v>52</v>
      </c>
      <c r="F3178" t="s">
        <v>26</v>
      </c>
      <c r="G3178">
        <v>2493.7000000000003</v>
      </c>
      <c r="H3178">
        <v>25657</v>
      </c>
      <c r="I3178">
        <v>17</v>
      </c>
      <c r="J3178">
        <v>7</v>
      </c>
      <c r="K3178">
        <v>2</v>
      </c>
      <c r="L3178">
        <v>2</v>
      </c>
      <c r="M3178">
        <v>2</v>
      </c>
      <c r="N3178">
        <v>2</v>
      </c>
      <c r="P3178">
        <f>G3178*I3178/100</f>
        <v>423.92900000000003</v>
      </c>
      <c r="Q3178">
        <f t="shared" si="26"/>
        <v>29924.400000000001</v>
      </c>
      <c r="R3178">
        <f>K3178/J3178</f>
        <v>0.2857142857142857</v>
      </c>
    </row>
    <row r="3179" spans="1:18" x14ac:dyDescent="0.3">
      <c r="A3179">
        <v>50</v>
      </c>
      <c r="B3179">
        <v>854</v>
      </c>
      <c r="C3179" t="s">
        <v>14</v>
      </c>
      <c r="D3179" t="s">
        <v>15</v>
      </c>
      <c r="E3179">
        <v>68</v>
      </c>
      <c r="F3179" t="s">
        <v>23</v>
      </c>
      <c r="G3179">
        <v>21468.7</v>
      </c>
      <c r="H3179">
        <v>24118</v>
      </c>
      <c r="I3179">
        <v>11</v>
      </c>
      <c r="J3179">
        <v>32</v>
      </c>
      <c r="K3179">
        <v>7</v>
      </c>
      <c r="L3179">
        <v>0</v>
      </c>
      <c r="M3179">
        <v>0</v>
      </c>
      <c r="N3179">
        <v>6</v>
      </c>
      <c r="P3179">
        <f>G3179*I3179/100</f>
        <v>2361.5570000000002</v>
      </c>
      <c r="Q3179">
        <f t="shared" si="26"/>
        <v>257624.40000000002</v>
      </c>
      <c r="R3179">
        <f>K3179/J3179</f>
        <v>0.21875</v>
      </c>
    </row>
    <row r="3180" spans="1:18" x14ac:dyDescent="0.3">
      <c r="A3180">
        <v>33</v>
      </c>
      <c r="B3180">
        <v>813</v>
      </c>
      <c r="C3180" t="s">
        <v>17</v>
      </c>
      <c r="D3180" t="s">
        <v>18</v>
      </c>
      <c r="E3180">
        <v>58</v>
      </c>
      <c r="F3180" t="s">
        <v>20</v>
      </c>
      <c r="G3180">
        <v>2679.6000000000004</v>
      </c>
      <c r="H3180">
        <v>22149</v>
      </c>
      <c r="I3180">
        <v>13</v>
      </c>
      <c r="J3180">
        <v>8</v>
      </c>
      <c r="K3180">
        <v>5</v>
      </c>
      <c r="L3180">
        <v>4</v>
      </c>
      <c r="M3180">
        <v>0</v>
      </c>
      <c r="N3180">
        <v>4</v>
      </c>
      <c r="P3180">
        <f>G3180*I3180/100</f>
        <v>348.34800000000001</v>
      </c>
      <c r="Q3180">
        <f t="shared" si="26"/>
        <v>32155.200000000004</v>
      </c>
      <c r="R3180">
        <f>K3180/J3180</f>
        <v>0.625</v>
      </c>
    </row>
    <row r="3181" spans="1:18" x14ac:dyDescent="0.3">
      <c r="A3181">
        <v>43</v>
      </c>
      <c r="B3181">
        <v>1034</v>
      </c>
      <c r="C3181" t="s">
        <v>14</v>
      </c>
      <c r="D3181" t="s">
        <v>15</v>
      </c>
      <c r="E3181">
        <v>80</v>
      </c>
      <c r="F3181" t="s">
        <v>23</v>
      </c>
      <c r="G3181">
        <v>17670.400000000001</v>
      </c>
      <c r="H3181">
        <v>7744</v>
      </c>
      <c r="I3181">
        <v>22</v>
      </c>
      <c r="J3181">
        <v>22</v>
      </c>
      <c r="K3181">
        <v>17</v>
      </c>
      <c r="L3181">
        <v>13</v>
      </c>
      <c r="M3181">
        <v>1</v>
      </c>
      <c r="N3181">
        <v>9</v>
      </c>
      <c r="P3181">
        <f>G3181*I3181/100</f>
        <v>3887.4880000000003</v>
      </c>
      <c r="Q3181">
        <f t="shared" si="26"/>
        <v>212044.80000000002</v>
      </c>
      <c r="R3181">
        <f>K3181/J3181</f>
        <v>0.77272727272727271</v>
      </c>
    </row>
    <row r="3182" spans="1:18" x14ac:dyDescent="0.3">
      <c r="A3182">
        <v>33</v>
      </c>
      <c r="B3182">
        <v>465</v>
      </c>
      <c r="C3182" t="s">
        <v>17</v>
      </c>
      <c r="D3182" t="s">
        <v>15</v>
      </c>
      <c r="E3182">
        <v>39</v>
      </c>
      <c r="F3182" t="s">
        <v>20</v>
      </c>
      <c r="G3182">
        <v>2977.7000000000003</v>
      </c>
      <c r="H3182">
        <v>21509</v>
      </c>
      <c r="I3182">
        <v>20</v>
      </c>
      <c r="J3182">
        <v>13</v>
      </c>
      <c r="K3182">
        <v>9</v>
      </c>
      <c r="L3182">
        <v>7</v>
      </c>
      <c r="M3182">
        <v>1</v>
      </c>
      <c r="N3182">
        <v>7</v>
      </c>
      <c r="P3182">
        <f>G3182*I3182/100</f>
        <v>595.54000000000008</v>
      </c>
      <c r="Q3182">
        <f t="shared" si="26"/>
        <v>35732.400000000001</v>
      </c>
      <c r="R3182">
        <f>K3182/J3182</f>
        <v>0.69230769230769229</v>
      </c>
    </row>
    <row r="3183" spans="1:18" x14ac:dyDescent="0.3">
      <c r="A3183">
        <v>52</v>
      </c>
      <c r="B3183">
        <v>771</v>
      </c>
      <c r="C3183" t="s">
        <v>14</v>
      </c>
      <c r="D3183" t="s">
        <v>18</v>
      </c>
      <c r="E3183">
        <v>79</v>
      </c>
      <c r="F3183" t="s">
        <v>23</v>
      </c>
      <c r="G3183">
        <v>20974.800000000003</v>
      </c>
      <c r="H3183">
        <v>21030</v>
      </c>
      <c r="I3183">
        <v>18</v>
      </c>
      <c r="J3183">
        <v>33</v>
      </c>
      <c r="K3183">
        <v>33</v>
      </c>
      <c r="L3183">
        <v>7</v>
      </c>
      <c r="M3183">
        <v>15</v>
      </c>
      <c r="N3183">
        <v>12</v>
      </c>
      <c r="P3183">
        <f>G3183*I3183/100</f>
        <v>3775.4640000000004</v>
      </c>
      <c r="Q3183">
        <f t="shared" si="26"/>
        <v>251697.60000000003</v>
      </c>
      <c r="R3183">
        <f>K3183/J3183</f>
        <v>1</v>
      </c>
    </row>
    <row r="3184" spans="1:18" x14ac:dyDescent="0.3">
      <c r="A3184">
        <v>32</v>
      </c>
      <c r="B3184">
        <v>1401</v>
      </c>
      <c r="C3184" t="s">
        <v>14</v>
      </c>
      <c r="D3184" t="s">
        <v>15</v>
      </c>
      <c r="E3184">
        <v>56</v>
      </c>
      <c r="F3184" t="s">
        <v>24</v>
      </c>
      <c r="G3184">
        <v>4324.1000000000004</v>
      </c>
      <c r="H3184">
        <v>20990</v>
      </c>
      <c r="I3184">
        <v>11</v>
      </c>
      <c r="J3184">
        <v>6</v>
      </c>
      <c r="K3184">
        <v>4</v>
      </c>
      <c r="L3184">
        <v>3</v>
      </c>
      <c r="M3184">
        <v>1</v>
      </c>
      <c r="N3184">
        <v>2</v>
      </c>
      <c r="P3184">
        <f>G3184*I3184/100</f>
        <v>475.65100000000007</v>
      </c>
      <c r="Q3184">
        <f t="shared" si="26"/>
        <v>51889.200000000004</v>
      </c>
      <c r="R3184">
        <f>K3184/J3184</f>
        <v>0.66666666666666663</v>
      </c>
    </row>
    <row r="3185" spans="1:18" x14ac:dyDescent="0.3">
      <c r="A3185">
        <v>32</v>
      </c>
      <c r="B3185">
        <v>515</v>
      </c>
      <c r="C3185" t="s">
        <v>17</v>
      </c>
      <c r="D3185" t="s">
        <v>18</v>
      </c>
      <c r="E3185">
        <v>62</v>
      </c>
      <c r="F3185" t="s">
        <v>20</v>
      </c>
      <c r="G3185">
        <v>4103</v>
      </c>
      <c r="H3185">
        <v>9571</v>
      </c>
      <c r="I3185">
        <v>14</v>
      </c>
      <c r="J3185">
        <v>4</v>
      </c>
      <c r="K3185">
        <v>3</v>
      </c>
      <c r="L3185">
        <v>2</v>
      </c>
      <c r="M3185">
        <v>1</v>
      </c>
      <c r="N3185">
        <v>2</v>
      </c>
      <c r="P3185">
        <f>G3185*I3185/100</f>
        <v>574.41999999999996</v>
      </c>
      <c r="Q3185">
        <f t="shared" si="26"/>
        <v>49236</v>
      </c>
      <c r="R3185">
        <f>K3185/J3185</f>
        <v>0.75</v>
      </c>
    </row>
    <row r="3186" spans="1:18" x14ac:dyDescent="0.3">
      <c r="A3186">
        <v>39</v>
      </c>
      <c r="B3186">
        <v>1431</v>
      </c>
      <c r="C3186" t="s">
        <v>17</v>
      </c>
      <c r="D3186" t="s">
        <v>15</v>
      </c>
      <c r="E3186">
        <v>96</v>
      </c>
      <c r="F3186" t="s">
        <v>20</v>
      </c>
      <c r="G3186">
        <v>2455.2000000000003</v>
      </c>
      <c r="H3186">
        <v>15417</v>
      </c>
      <c r="I3186">
        <v>14</v>
      </c>
      <c r="J3186">
        <v>7</v>
      </c>
      <c r="K3186">
        <v>3</v>
      </c>
      <c r="L3186">
        <v>2</v>
      </c>
      <c r="M3186">
        <v>1</v>
      </c>
      <c r="N3186">
        <v>2</v>
      </c>
      <c r="P3186">
        <f>G3186*I3186/100</f>
        <v>343.72800000000001</v>
      </c>
      <c r="Q3186">
        <f t="shared" si="26"/>
        <v>29462.400000000001</v>
      </c>
      <c r="R3186">
        <f>K3186/J3186</f>
        <v>0.42857142857142855</v>
      </c>
    </row>
    <row r="3187" spans="1:18" x14ac:dyDescent="0.3">
      <c r="A3187">
        <v>32</v>
      </c>
      <c r="B3187">
        <v>976</v>
      </c>
      <c r="C3187" t="s">
        <v>14</v>
      </c>
      <c r="D3187" t="s">
        <v>18</v>
      </c>
      <c r="E3187">
        <v>100</v>
      </c>
      <c r="F3187" t="s">
        <v>16</v>
      </c>
      <c r="G3187">
        <v>4911.5</v>
      </c>
      <c r="H3187">
        <v>12069</v>
      </c>
      <c r="I3187">
        <v>18</v>
      </c>
      <c r="J3187">
        <v>4</v>
      </c>
      <c r="K3187">
        <v>3</v>
      </c>
      <c r="L3187">
        <v>2</v>
      </c>
      <c r="M3187">
        <v>2</v>
      </c>
      <c r="N3187">
        <v>2</v>
      </c>
      <c r="P3187">
        <f>G3187*I3187/100</f>
        <v>884.07</v>
      </c>
      <c r="Q3187">
        <f t="shared" si="26"/>
        <v>58938</v>
      </c>
      <c r="R3187">
        <f>K3187/J3187</f>
        <v>0.75</v>
      </c>
    </row>
    <row r="3188" spans="1:18" x14ac:dyDescent="0.3">
      <c r="A3188">
        <v>41</v>
      </c>
      <c r="B3188">
        <v>1411</v>
      </c>
      <c r="C3188" t="s">
        <v>17</v>
      </c>
      <c r="D3188" t="s">
        <v>18</v>
      </c>
      <c r="E3188">
        <v>36</v>
      </c>
      <c r="F3188" t="s">
        <v>19</v>
      </c>
      <c r="G3188">
        <v>3379.2000000000003</v>
      </c>
      <c r="H3188">
        <v>19877</v>
      </c>
      <c r="I3188">
        <v>16</v>
      </c>
      <c r="J3188">
        <v>17</v>
      </c>
      <c r="K3188">
        <v>1</v>
      </c>
      <c r="L3188">
        <v>0</v>
      </c>
      <c r="M3188">
        <v>0</v>
      </c>
      <c r="N3188">
        <v>0</v>
      </c>
      <c r="P3188">
        <f>G3188*I3188/100</f>
        <v>540.67200000000003</v>
      </c>
      <c r="Q3188">
        <f t="shared" si="26"/>
        <v>40550.400000000001</v>
      </c>
      <c r="R3188">
        <f>K3188/J3188</f>
        <v>5.8823529411764705E-2</v>
      </c>
    </row>
    <row r="3189" spans="1:18" x14ac:dyDescent="0.3">
      <c r="A3189">
        <v>40</v>
      </c>
      <c r="B3189">
        <v>1300</v>
      </c>
      <c r="C3189" t="s">
        <v>17</v>
      </c>
      <c r="D3189" t="s">
        <v>18</v>
      </c>
      <c r="E3189">
        <v>62</v>
      </c>
      <c r="F3189" t="s">
        <v>19</v>
      </c>
      <c r="G3189">
        <v>3650.9</v>
      </c>
      <c r="H3189">
        <v>24447</v>
      </c>
      <c r="I3189">
        <v>17</v>
      </c>
      <c r="J3189">
        <v>9</v>
      </c>
      <c r="K3189">
        <v>9</v>
      </c>
      <c r="L3189">
        <v>8</v>
      </c>
      <c r="M3189">
        <v>4</v>
      </c>
      <c r="N3189">
        <v>7</v>
      </c>
      <c r="P3189">
        <f>G3189*I3189/100</f>
        <v>620.65300000000002</v>
      </c>
      <c r="Q3189">
        <f t="shared" si="26"/>
        <v>43810.8</v>
      </c>
      <c r="R3189">
        <f>K3189/J3189</f>
        <v>1</v>
      </c>
    </row>
    <row r="3190" spans="1:18" x14ac:dyDescent="0.3">
      <c r="A3190">
        <v>45</v>
      </c>
      <c r="B3190">
        <v>252</v>
      </c>
      <c r="C3190" t="s">
        <v>17</v>
      </c>
      <c r="D3190" t="s">
        <v>18</v>
      </c>
      <c r="E3190">
        <v>70</v>
      </c>
      <c r="F3190" t="s">
        <v>23</v>
      </c>
      <c r="G3190">
        <v>21122.2</v>
      </c>
      <c r="H3190">
        <v>15970</v>
      </c>
      <c r="I3190">
        <v>11</v>
      </c>
      <c r="J3190">
        <v>25</v>
      </c>
      <c r="K3190">
        <v>24</v>
      </c>
      <c r="L3190">
        <v>0</v>
      </c>
      <c r="M3190">
        <v>1</v>
      </c>
      <c r="N3190">
        <v>7</v>
      </c>
      <c r="P3190">
        <f>G3190*I3190/100</f>
        <v>2323.442</v>
      </c>
      <c r="Q3190">
        <f t="shared" si="26"/>
        <v>253466.40000000002</v>
      </c>
      <c r="R3190">
        <f>K3190/J3190</f>
        <v>0.96</v>
      </c>
    </row>
    <row r="3191" spans="1:18" x14ac:dyDescent="0.3">
      <c r="A3191">
        <v>31</v>
      </c>
      <c r="B3191">
        <v>1327</v>
      </c>
      <c r="C3191" t="s">
        <v>17</v>
      </c>
      <c r="D3191" t="s">
        <v>18</v>
      </c>
      <c r="E3191">
        <v>73</v>
      </c>
      <c r="F3191" t="s">
        <v>25</v>
      </c>
      <c r="G3191">
        <v>15042.500000000002</v>
      </c>
      <c r="H3191">
        <v>13523</v>
      </c>
      <c r="I3191">
        <v>12</v>
      </c>
      <c r="J3191">
        <v>9</v>
      </c>
      <c r="K3191">
        <v>2</v>
      </c>
      <c r="L3191">
        <v>2</v>
      </c>
      <c r="M3191">
        <v>2</v>
      </c>
      <c r="N3191">
        <v>2</v>
      </c>
      <c r="P3191">
        <f>G3191*I3191/100</f>
        <v>1805.1000000000004</v>
      </c>
      <c r="Q3191">
        <f t="shared" si="26"/>
        <v>180510.00000000003</v>
      </c>
      <c r="R3191">
        <f>K3191/J3191</f>
        <v>0.22222222222222221</v>
      </c>
    </row>
    <row r="3192" spans="1:18" x14ac:dyDescent="0.3">
      <c r="A3192">
        <v>33</v>
      </c>
      <c r="B3192">
        <v>832</v>
      </c>
      <c r="C3192" t="s">
        <v>17</v>
      </c>
      <c r="D3192" t="s">
        <v>15</v>
      </c>
      <c r="E3192">
        <v>63</v>
      </c>
      <c r="F3192" t="s">
        <v>19</v>
      </c>
      <c r="G3192">
        <v>3202.1000000000004</v>
      </c>
      <c r="H3192">
        <v>14776</v>
      </c>
      <c r="I3192">
        <v>13</v>
      </c>
      <c r="J3192">
        <v>2</v>
      </c>
      <c r="K3192">
        <v>2</v>
      </c>
      <c r="L3192">
        <v>2</v>
      </c>
      <c r="M3192">
        <v>0</v>
      </c>
      <c r="N3192">
        <v>2</v>
      </c>
      <c r="P3192">
        <f>G3192*I3192/100</f>
        <v>416.27300000000002</v>
      </c>
      <c r="Q3192">
        <f t="shared" si="26"/>
        <v>38425.200000000004</v>
      </c>
      <c r="R3192">
        <f>K3192/J3192</f>
        <v>1</v>
      </c>
    </row>
    <row r="3193" spans="1:18" x14ac:dyDescent="0.3">
      <c r="A3193">
        <v>34</v>
      </c>
      <c r="B3193">
        <v>470</v>
      </c>
      <c r="C3193" t="s">
        <v>17</v>
      </c>
      <c r="D3193" t="s">
        <v>18</v>
      </c>
      <c r="E3193">
        <v>84</v>
      </c>
      <c r="F3193" t="s">
        <v>21</v>
      </c>
      <c r="G3193">
        <v>6552.7000000000007</v>
      </c>
      <c r="H3193">
        <v>23687</v>
      </c>
      <c r="I3193">
        <v>13</v>
      </c>
      <c r="J3193">
        <v>13</v>
      </c>
      <c r="K3193">
        <v>11</v>
      </c>
      <c r="L3193">
        <v>9</v>
      </c>
      <c r="M3193">
        <v>5</v>
      </c>
      <c r="N3193">
        <v>9</v>
      </c>
      <c r="P3193">
        <f>G3193*I3193/100</f>
        <v>851.85100000000011</v>
      </c>
      <c r="Q3193">
        <f t="shared" si="26"/>
        <v>78632.400000000009</v>
      </c>
      <c r="R3193">
        <f>K3193/J3193</f>
        <v>0.84615384615384615</v>
      </c>
    </row>
    <row r="3194" spans="1:18" x14ac:dyDescent="0.3">
      <c r="A3194">
        <v>37</v>
      </c>
      <c r="B3194">
        <v>1017</v>
      </c>
      <c r="C3194" t="s">
        <v>17</v>
      </c>
      <c r="D3194" t="s">
        <v>15</v>
      </c>
      <c r="E3194">
        <v>83</v>
      </c>
      <c r="F3194" t="s">
        <v>19</v>
      </c>
      <c r="G3194">
        <v>4312</v>
      </c>
      <c r="H3194">
        <v>18697</v>
      </c>
      <c r="I3194">
        <v>14</v>
      </c>
      <c r="J3194">
        <v>17</v>
      </c>
      <c r="K3194">
        <v>3</v>
      </c>
      <c r="L3194">
        <v>1</v>
      </c>
      <c r="M3194">
        <v>0</v>
      </c>
      <c r="N3194">
        <v>2</v>
      </c>
      <c r="P3194">
        <f>G3194*I3194/100</f>
        <v>603.67999999999995</v>
      </c>
      <c r="Q3194">
        <f t="shared" si="26"/>
        <v>51744</v>
      </c>
      <c r="R3194">
        <f>K3194/J3194</f>
        <v>0.17647058823529413</v>
      </c>
    </row>
    <row r="3195" spans="1:18" x14ac:dyDescent="0.3">
      <c r="A3195">
        <v>45</v>
      </c>
      <c r="B3195">
        <v>1199</v>
      </c>
      <c r="C3195" t="s">
        <v>17</v>
      </c>
      <c r="D3195" t="s">
        <v>18</v>
      </c>
      <c r="E3195">
        <v>77</v>
      </c>
      <c r="F3195" t="s">
        <v>21</v>
      </c>
      <c r="G3195">
        <v>7077.4000000000005</v>
      </c>
      <c r="H3195">
        <v>5118</v>
      </c>
      <c r="I3195">
        <v>17</v>
      </c>
      <c r="J3195">
        <v>9</v>
      </c>
      <c r="K3195">
        <v>3</v>
      </c>
      <c r="L3195">
        <v>2</v>
      </c>
      <c r="M3195">
        <v>0</v>
      </c>
      <c r="N3195">
        <v>2</v>
      </c>
      <c r="P3195">
        <f>G3195*I3195/100</f>
        <v>1203.1580000000001</v>
      </c>
      <c r="Q3195">
        <f t="shared" si="26"/>
        <v>84928.8</v>
      </c>
      <c r="R3195">
        <f>K3195/J3195</f>
        <v>0.33333333333333331</v>
      </c>
    </row>
    <row r="3196" spans="1:18" x14ac:dyDescent="0.3">
      <c r="A3196">
        <v>37</v>
      </c>
      <c r="B3196">
        <v>504</v>
      </c>
      <c r="C3196" t="s">
        <v>17</v>
      </c>
      <c r="D3196" t="s">
        <v>18</v>
      </c>
      <c r="E3196">
        <v>61</v>
      </c>
      <c r="F3196" t="s">
        <v>21</v>
      </c>
      <c r="G3196">
        <v>11052.800000000001</v>
      </c>
      <c r="H3196">
        <v>22573</v>
      </c>
      <c r="I3196">
        <v>11</v>
      </c>
      <c r="J3196">
        <v>17</v>
      </c>
      <c r="K3196">
        <v>1</v>
      </c>
      <c r="L3196">
        <v>0</v>
      </c>
      <c r="M3196">
        <v>0</v>
      </c>
      <c r="N3196">
        <v>0</v>
      </c>
      <c r="P3196">
        <f>G3196*I3196/100</f>
        <v>1215.8080000000002</v>
      </c>
      <c r="Q3196">
        <f t="shared" si="26"/>
        <v>132633.60000000001</v>
      </c>
      <c r="R3196">
        <f>K3196/J3196</f>
        <v>5.8823529411764705E-2</v>
      </c>
    </row>
    <row r="3197" spans="1:18" x14ac:dyDescent="0.3">
      <c r="A3197">
        <v>39</v>
      </c>
      <c r="B3197">
        <v>505</v>
      </c>
      <c r="C3197" t="s">
        <v>17</v>
      </c>
      <c r="D3197" t="s">
        <v>15</v>
      </c>
      <c r="E3197">
        <v>64</v>
      </c>
      <c r="F3197" t="s">
        <v>22</v>
      </c>
      <c r="G3197">
        <v>12031.800000000001</v>
      </c>
      <c r="H3197">
        <v>6420</v>
      </c>
      <c r="I3197">
        <v>25</v>
      </c>
      <c r="J3197">
        <v>20</v>
      </c>
      <c r="K3197">
        <v>19</v>
      </c>
      <c r="L3197">
        <v>6</v>
      </c>
      <c r="M3197">
        <v>11</v>
      </c>
      <c r="N3197">
        <v>8</v>
      </c>
      <c r="P3197">
        <f>G3197*I3197/100</f>
        <v>3007.95</v>
      </c>
      <c r="Q3197">
        <f t="shared" si="26"/>
        <v>144381.6</v>
      </c>
      <c r="R3197">
        <f>K3197/J3197</f>
        <v>0.95</v>
      </c>
    </row>
    <row r="3198" spans="1:18" x14ac:dyDescent="0.3">
      <c r="A3198">
        <v>29</v>
      </c>
      <c r="B3198">
        <v>665</v>
      </c>
      <c r="C3198" t="s">
        <v>17</v>
      </c>
      <c r="D3198" t="s">
        <v>18</v>
      </c>
      <c r="E3198">
        <v>60</v>
      </c>
      <c r="F3198" t="s">
        <v>19</v>
      </c>
      <c r="G3198">
        <v>2574</v>
      </c>
      <c r="H3198">
        <v>22673</v>
      </c>
      <c r="I3198">
        <v>19</v>
      </c>
      <c r="J3198">
        <v>6</v>
      </c>
      <c r="K3198">
        <v>6</v>
      </c>
      <c r="L3198">
        <v>5</v>
      </c>
      <c r="M3198">
        <v>1</v>
      </c>
      <c r="N3198">
        <v>5</v>
      </c>
      <c r="P3198">
        <f>G3198*I3198/100</f>
        <v>489.06</v>
      </c>
      <c r="Q3198">
        <f t="shared" si="26"/>
        <v>30888</v>
      </c>
      <c r="R3198">
        <f>K3198/J3198</f>
        <v>1</v>
      </c>
    </row>
    <row r="3199" spans="1:18" x14ac:dyDescent="0.3">
      <c r="A3199">
        <v>42</v>
      </c>
      <c r="B3199">
        <v>916</v>
      </c>
      <c r="C3199" t="s">
        <v>17</v>
      </c>
      <c r="D3199" t="s">
        <v>15</v>
      </c>
      <c r="E3199">
        <v>82</v>
      </c>
      <c r="F3199" t="s">
        <v>19</v>
      </c>
      <c r="G3199">
        <v>7199.5000000000009</v>
      </c>
      <c r="H3199">
        <v>23016</v>
      </c>
      <c r="I3199">
        <v>13</v>
      </c>
      <c r="J3199">
        <v>10</v>
      </c>
      <c r="K3199">
        <v>3</v>
      </c>
      <c r="L3199">
        <v>2</v>
      </c>
      <c r="M3199">
        <v>0</v>
      </c>
      <c r="N3199">
        <v>2</v>
      </c>
      <c r="P3199">
        <f>G3199*I3199/100</f>
        <v>935.93500000000017</v>
      </c>
      <c r="Q3199">
        <f t="shared" si="26"/>
        <v>86394.000000000015</v>
      </c>
      <c r="R3199">
        <f>K3199/J3199</f>
        <v>0.3</v>
      </c>
    </row>
    <row r="3200" spans="1:18" x14ac:dyDescent="0.3">
      <c r="A3200">
        <v>29</v>
      </c>
      <c r="B3200">
        <v>1247</v>
      </c>
      <c r="C3200" t="s">
        <v>14</v>
      </c>
      <c r="D3200" t="s">
        <v>18</v>
      </c>
      <c r="E3200">
        <v>45</v>
      </c>
      <c r="F3200" t="s">
        <v>16</v>
      </c>
      <c r="G3200">
        <v>7624.1</v>
      </c>
      <c r="H3200">
        <v>10732</v>
      </c>
      <c r="I3200">
        <v>14</v>
      </c>
      <c r="J3200">
        <v>10</v>
      </c>
      <c r="K3200">
        <v>3</v>
      </c>
      <c r="L3200">
        <v>2</v>
      </c>
      <c r="M3200">
        <v>0</v>
      </c>
      <c r="N3200">
        <v>2</v>
      </c>
      <c r="P3200">
        <f>G3200*I3200/100</f>
        <v>1067.374</v>
      </c>
      <c r="Q3200">
        <f t="shared" si="26"/>
        <v>91489.200000000012</v>
      </c>
      <c r="R3200">
        <f>K3200/J3200</f>
        <v>0.3</v>
      </c>
    </row>
    <row r="3201" spans="1:18" x14ac:dyDescent="0.3">
      <c r="A3201">
        <v>25</v>
      </c>
      <c r="B3201">
        <v>685</v>
      </c>
      <c r="C3201" t="s">
        <v>17</v>
      </c>
      <c r="D3201" t="s">
        <v>15</v>
      </c>
      <c r="E3201">
        <v>62</v>
      </c>
      <c r="F3201" t="s">
        <v>21</v>
      </c>
      <c r="G3201">
        <v>5387.8</v>
      </c>
      <c r="H3201">
        <v>7505</v>
      </c>
      <c r="I3201">
        <v>12</v>
      </c>
      <c r="J3201">
        <v>5</v>
      </c>
      <c r="K3201">
        <v>4</v>
      </c>
      <c r="L3201">
        <v>2</v>
      </c>
      <c r="M3201">
        <v>1</v>
      </c>
      <c r="N3201">
        <v>2</v>
      </c>
      <c r="P3201">
        <f>G3201*I3201/100</f>
        <v>646.53600000000006</v>
      </c>
      <c r="Q3201">
        <f t="shared" si="26"/>
        <v>64653.600000000006</v>
      </c>
      <c r="R3201">
        <f>K3201/J3201</f>
        <v>0.8</v>
      </c>
    </row>
    <row r="3202" spans="1:18" x14ac:dyDescent="0.3">
      <c r="A3202">
        <v>42</v>
      </c>
      <c r="B3202">
        <v>269</v>
      </c>
      <c r="C3202" t="s">
        <v>17</v>
      </c>
      <c r="D3202" t="s">
        <v>15</v>
      </c>
      <c r="E3202">
        <v>56</v>
      </c>
      <c r="F3202" t="s">
        <v>20</v>
      </c>
      <c r="G3202">
        <v>2852.3</v>
      </c>
      <c r="H3202">
        <v>8007</v>
      </c>
      <c r="I3202">
        <v>11</v>
      </c>
      <c r="J3202">
        <v>10</v>
      </c>
      <c r="K3202">
        <v>9</v>
      </c>
      <c r="L3202">
        <v>6</v>
      </c>
      <c r="M3202">
        <v>7</v>
      </c>
      <c r="N3202">
        <v>8</v>
      </c>
      <c r="P3202">
        <f>G3202*I3202/100</f>
        <v>313.75300000000004</v>
      </c>
      <c r="Q3202">
        <f t="shared" si="26"/>
        <v>34227.600000000006</v>
      </c>
      <c r="R3202">
        <f>K3202/J3202</f>
        <v>0.9</v>
      </c>
    </row>
    <row r="3203" spans="1:18" x14ac:dyDescent="0.3">
      <c r="A3203">
        <v>40</v>
      </c>
      <c r="B3203">
        <v>1416</v>
      </c>
      <c r="C3203" t="s">
        <v>17</v>
      </c>
      <c r="D3203" t="s">
        <v>18</v>
      </c>
      <c r="E3203">
        <v>49</v>
      </c>
      <c r="F3203" t="s">
        <v>25</v>
      </c>
      <c r="G3203">
        <v>21379.600000000002</v>
      </c>
      <c r="H3203">
        <v>5949</v>
      </c>
      <c r="I3203">
        <v>19</v>
      </c>
      <c r="J3203">
        <v>22</v>
      </c>
      <c r="K3203">
        <v>21</v>
      </c>
      <c r="L3203">
        <v>7</v>
      </c>
      <c r="M3203">
        <v>3</v>
      </c>
      <c r="N3203">
        <v>9</v>
      </c>
      <c r="P3203">
        <f>G3203*I3203/100</f>
        <v>4062.1240000000003</v>
      </c>
      <c r="Q3203">
        <f t="shared" ref="Q3203:Q3266" si="27">G3203*12</f>
        <v>256555.2</v>
      </c>
      <c r="R3203">
        <f>K3203/J3203</f>
        <v>0.95454545454545459</v>
      </c>
    </row>
    <row r="3204" spans="1:18" x14ac:dyDescent="0.3">
      <c r="A3204">
        <v>51</v>
      </c>
      <c r="B3204">
        <v>833</v>
      </c>
      <c r="C3204" t="s">
        <v>17</v>
      </c>
      <c r="D3204" t="s">
        <v>18</v>
      </c>
      <c r="E3204">
        <v>96</v>
      </c>
      <c r="F3204" t="s">
        <v>19</v>
      </c>
      <c r="G3204">
        <v>2995.3</v>
      </c>
      <c r="H3204">
        <v>23231</v>
      </c>
      <c r="I3204">
        <v>11</v>
      </c>
      <c r="J3204">
        <v>1</v>
      </c>
      <c r="K3204">
        <v>1</v>
      </c>
      <c r="L3204">
        <v>0</v>
      </c>
      <c r="M3204">
        <v>0</v>
      </c>
      <c r="N3204">
        <v>0</v>
      </c>
      <c r="P3204">
        <f>G3204*I3204/100</f>
        <v>329.483</v>
      </c>
      <c r="Q3204">
        <f t="shared" si="27"/>
        <v>35943.600000000006</v>
      </c>
      <c r="R3204">
        <f>K3204/J3204</f>
        <v>1</v>
      </c>
    </row>
    <row r="3205" spans="1:18" x14ac:dyDescent="0.3">
      <c r="A3205">
        <v>31</v>
      </c>
      <c r="B3205">
        <v>307</v>
      </c>
      <c r="C3205" t="s">
        <v>17</v>
      </c>
      <c r="D3205" t="s">
        <v>18</v>
      </c>
      <c r="E3205">
        <v>71</v>
      </c>
      <c r="F3205" t="s">
        <v>20</v>
      </c>
      <c r="G3205">
        <v>3826.9</v>
      </c>
      <c r="H3205">
        <v>11652</v>
      </c>
      <c r="I3205">
        <v>11</v>
      </c>
      <c r="J3205">
        <v>6</v>
      </c>
      <c r="K3205">
        <v>5</v>
      </c>
      <c r="L3205">
        <v>4</v>
      </c>
      <c r="M3205">
        <v>1</v>
      </c>
      <c r="N3205">
        <v>4</v>
      </c>
      <c r="P3205">
        <f>G3205*I3205/100</f>
        <v>420.959</v>
      </c>
      <c r="Q3205">
        <f t="shared" si="27"/>
        <v>45922.8</v>
      </c>
      <c r="R3205">
        <f>K3205/J3205</f>
        <v>0.83333333333333337</v>
      </c>
    </row>
    <row r="3206" spans="1:18" x14ac:dyDescent="0.3">
      <c r="A3206">
        <v>32</v>
      </c>
      <c r="B3206">
        <v>1311</v>
      </c>
      <c r="C3206" t="s">
        <v>17</v>
      </c>
      <c r="D3206" t="s">
        <v>18</v>
      </c>
      <c r="E3206">
        <v>100</v>
      </c>
      <c r="F3206" t="s">
        <v>20</v>
      </c>
      <c r="G3206">
        <v>3073.4</v>
      </c>
      <c r="H3206">
        <v>26062</v>
      </c>
      <c r="I3206">
        <v>20</v>
      </c>
      <c r="J3206">
        <v>5</v>
      </c>
      <c r="K3206">
        <v>5</v>
      </c>
      <c r="L3206">
        <v>1</v>
      </c>
      <c r="M3206">
        <v>0</v>
      </c>
      <c r="N3206">
        <v>3</v>
      </c>
      <c r="P3206">
        <f>G3206*I3206/100</f>
        <v>614.67999999999995</v>
      </c>
      <c r="Q3206">
        <f t="shared" si="27"/>
        <v>36880.800000000003</v>
      </c>
      <c r="R3206">
        <f>K3206/J3206</f>
        <v>1</v>
      </c>
    </row>
    <row r="3207" spans="1:18" x14ac:dyDescent="0.3">
      <c r="A3207">
        <v>38</v>
      </c>
      <c r="B3207">
        <v>1327</v>
      </c>
      <c r="C3207" t="s">
        <v>14</v>
      </c>
      <c r="D3207" t="s">
        <v>18</v>
      </c>
      <c r="E3207">
        <v>39</v>
      </c>
      <c r="F3207" t="s">
        <v>16</v>
      </c>
      <c r="G3207">
        <v>5773.9000000000005</v>
      </c>
      <c r="H3207">
        <v>19682</v>
      </c>
      <c r="I3207">
        <v>18</v>
      </c>
      <c r="J3207">
        <v>13</v>
      </c>
      <c r="K3207">
        <v>8</v>
      </c>
      <c r="L3207">
        <v>7</v>
      </c>
      <c r="M3207">
        <v>7</v>
      </c>
      <c r="N3207">
        <v>5</v>
      </c>
      <c r="P3207">
        <f>G3207*I3207/100</f>
        <v>1039.3020000000001</v>
      </c>
      <c r="Q3207">
        <f t="shared" si="27"/>
        <v>69286.8</v>
      </c>
      <c r="R3207">
        <f>K3207/J3207</f>
        <v>0.61538461538461542</v>
      </c>
    </row>
    <row r="3208" spans="1:18" x14ac:dyDescent="0.3">
      <c r="A3208">
        <v>32</v>
      </c>
      <c r="B3208">
        <v>128</v>
      </c>
      <c r="C3208" t="s">
        <v>17</v>
      </c>
      <c r="D3208" t="s">
        <v>18</v>
      </c>
      <c r="E3208">
        <v>84</v>
      </c>
      <c r="F3208" t="s">
        <v>20</v>
      </c>
      <c r="G3208">
        <v>2393.6000000000004</v>
      </c>
      <c r="H3208">
        <v>19737</v>
      </c>
      <c r="I3208">
        <v>13</v>
      </c>
      <c r="J3208">
        <v>9</v>
      </c>
      <c r="K3208">
        <v>6</v>
      </c>
      <c r="L3208">
        <v>2</v>
      </c>
      <c r="M3208">
        <v>0</v>
      </c>
      <c r="N3208">
        <v>4</v>
      </c>
      <c r="P3208">
        <f>G3208*I3208/100</f>
        <v>311.16800000000001</v>
      </c>
      <c r="Q3208">
        <f t="shared" si="27"/>
        <v>28723.200000000004</v>
      </c>
      <c r="R3208">
        <f>K3208/J3208</f>
        <v>0.66666666666666663</v>
      </c>
    </row>
    <row r="3209" spans="1:18" x14ac:dyDescent="0.3">
      <c r="A3209">
        <v>46</v>
      </c>
      <c r="B3209">
        <v>488</v>
      </c>
      <c r="C3209" t="s">
        <v>14</v>
      </c>
      <c r="D3209" t="s">
        <v>15</v>
      </c>
      <c r="E3209">
        <v>75</v>
      </c>
      <c r="F3209" t="s">
        <v>23</v>
      </c>
      <c r="G3209">
        <v>18559.2</v>
      </c>
      <c r="H3209">
        <v>14977</v>
      </c>
      <c r="I3209">
        <v>12</v>
      </c>
      <c r="J3209">
        <v>28</v>
      </c>
      <c r="K3209">
        <v>7</v>
      </c>
      <c r="L3209">
        <v>7</v>
      </c>
      <c r="M3209">
        <v>7</v>
      </c>
      <c r="N3209">
        <v>7</v>
      </c>
      <c r="P3209">
        <f>G3209*I3209/100</f>
        <v>2227.1040000000003</v>
      </c>
      <c r="Q3209">
        <f t="shared" si="27"/>
        <v>222710.40000000002</v>
      </c>
      <c r="R3209">
        <f>K3209/J3209</f>
        <v>0.25</v>
      </c>
    </row>
    <row r="3210" spans="1:18" x14ac:dyDescent="0.3">
      <c r="A3210">
        <v>28</v>
      </c>
      <c r="B3210">
        <v>529</v>
      </c>
      <c r="C3210" t="s">
        <v>17</v>
      </c>
      <c r="D3210" t="s">
        <v>18</v>
      </c>
      <c r="E3210">
        <v>79</v>
      </c>
      <c r="F3210" t="s">
        <v>20</v>
      </c>
      <c r="G3210">
        <v>3833.5000000000005</v>
      </c>
      <c r="H3210">
        <v>14935</v>
      </c>
      <c r="I3210">
        <v>11</v>
      </c>
      <c r="J3210">
        <v>5</v>
      </c>
      <c r="K3210">
        <v>0</v>
      </c>
      <c r="L3210">
        <v>0</v>
      </c>
      <c r="M3210">
        <v>0</v>
      </c>
      <c r="N3210">
        <v>0</v>
      </c>
      <c r="P3210">
        <f>G3210*I3210/100</f>
        <v>421.68500000000006</v>
      </c>
      <c r="Q3210">
        <f t="shared" si="27"/>
        <v>46002.000000000007</v>
      </c>
      <c r="R3210">
        <f>K3210/J3210</f>
        <v>0</v>
      </c>
    </row>
    <row r="3211" spans="1:18" x14ac:dyDescent="0.3">
      <c r="A3211">
        <v>29</v>
      </c>
      <c r="B3211">
        <v>1210</v>
      </c>
      <c r="C3211" t="s">
        <v>14</v>
      </c>
      <c r="D3211" t="s">
        <v>18</v>
      </c>
      <c r="E3211">
        <v>78</v>
      </c>
      <c r="F3211" t="s">
        <v>16</v>
      </c>
      <c r="G3211">
        <v>7308.4000000000005</v>
      </c>
      <c r="H3211">
        <v>3687</v>
      </c>
      <c r="I3211">
        <v>19</v>
      </c>
      <c r="J3211">
        <v>10</v>
      </c>
      <c r="K3211">
        <v>0</v>
      </c>
      <c r="L3211">
        <v>0</v>
      </c>
      <c r="M3211">
        <v>0</v>
      </c>
      <c r="N3211">
        <v>0</v>
      </c>
      <c r="P3211">
        <f>G3211*I3211/100</f>
        <v>1388.596</v>
      </c>
      <c r="Q3211">
        <f t="shared" si="27"/>
        <v>87700.800000000003</v>
      </c>
      <c r="R3211">
        <f>K3211/J3211</f>
        <v>0</v>
      </c>
    </row>
    <row r="3212" spans="1:18" x14ac:dyDescent="0.3">
      <c r="A3212">
        <v>31</v>
      </c>
      <c r="B3212">
        <v>1463</v>
      </c>
      <c r="C3212" t="s">
        <v>17</v>
      </c>
      <c r="D3212" t="s">
        <v>18</v>
      </c>
      <c r="E3212">
        <v>64</v>
      </c>
      <c r="F3212" t="s">
        <v>22</v>
      </c>
      <c r="G3212">
        <v>6140.2000000000007</v>
      </c>
      <c r="H3212">
        <v>14408</v>
      </c>
      <c r="I3212">
        <v>21</v>
      </c>
      <c r="J3212">
        <v>10</v>
      </c>
      <c r="K3212">
        <v>9</v>
      </c>
      <c r="L3212">
        <v>0</v>
      </c>
      <c r="M3212">
        <v>7</v>
      </c>
      <c r="N3212">
        <v>8</v>
      </c>
      <c r="P3212">
        <f>G3212*I3212/100</f>
        <v>1289.442</v>
      </c>
      <c r="Q3212">
        <f t="shared" si="27"/>
        <v>73682.400000000009</v>
      </c>
      <c r="R3212">
        <f>K3212/J3212</f>
        <v>0.9</v>
      </c>
    </row>
    <row r="3213" spans="1:18" x14ac:dyDescent="0.3">
      <c r="A3213">
        <v>25</v>
      </c>
      <c r="B3213">
        <v>675</v>
      </c>
      <c r="C3213" t="s">
        <v>17</v>
      </c>
      <c r="D3213" t="s">
        <v>18</v>
      </c>
      <c r="E3213">
        <v>85</v>
      </c>
      <c r="F3213" t="s">
        <v>22</v>
      </c>
      <c r="G3213">
        <v>4400</v>
      </c>
      <c r="H3213">
        <v>18384</v>
      </c>
      <c r="I3213">
        <v>12</v>
      </c>
      <c r="J3213">
        <v>6</v>
      </c>
      <c r="K3213">
        <v>6</v>
      </c>
      <c r="L3213">
        <v>3</v>
      </c>
      <c r="M3213">
        <v>1</v>
      </c>
      <c r="N3213">
        <v>5</v>
      </c>
      <c r="P3213">
        <f>G3213*I3213/100</f>
        <v>528</v>
      </c>
      <c r="Q3213">
        <f t="shared" si="27"/>
        <v>52800</v>
      </c>
      <c r="R3213">
        <f>K3213/J3213</f>
        <v>1</v>
      </c>
    </row>
    <row r="3214" spans="1:18" x14ac:dyDescent="0.3">
      <c r="A3214">
        <v>45</v>
      </c>
      <c r="B3214">
        <v>1385</v>
      </c>
      <c r="C3214" t="s">
        <v>17</v>
      </c>
      <c r="D3214" t="s">
        <v>18</v>
      </c>
      <c r="E3214">
        <v>79</v>
      </c>
      <c r="F3214" t="s">
        <v>22</v>
      </c>
      <c r="G3214">
        <v>14845.6</v>
      </c>
      <c r="H3214">
        <v>7501</v>
      </c>
      <c r="I3214">
        <v>14</v>
      </c>
      <c r="J3214">
        <v>21</v>
      </c>
      <c r="K3214">
        <v>20</v>
      </c>
      <c r="L3214">
        <v>7</v>
      </c>
      <c r="M3214">
        <v>4</v>
      </c>
      <c r="N3214">
        <v>10</v>
      </c>
      <c r="P3214">
        <f>G3214*I3214/100</f>
        <v>2078.384</v>
      </c>
      <c r="Q3214">
        <f t="shared" si="27"/>
        <v>178147.20000000001</v>
      </c>
      <c r="R3214">
        <f>K3214/J3214</f>
        <v>0.95238095238095233</v>
      </c>
    </row>
    <row r="3215" spans="1:18" x14ac:dyDescent="0.3">
      <c r="A3215">
        <v>36</v>
      </c>
      <c r="B3215">
        <v>1403</v>
      </c>
      <c r="C3215" t="s">
        <v>17</v>
      </c>
      <c r="D3215" t="s">
        <v>18</v>
      </c>
      <c r="E3215">
        <v>47</v>
      </c>
      <c r="F3215" t="s">
        <v>20</v>
      </c>
      <c r="G3215">
        <v>3531.0000000000005</v>
      </c>
      <c r="H3215">
        <v>20251</v>
      </c>
      <c r="I3215">
        <v>11</v>
      </c>
      <c r="J3215">
        <v>16</v>
      </c>
      <c r="K3215">
        <v>15</v>
      </c>
      <c r="L3215">
        <v>13</v>
      </c>
      <c r="M3215">
        <v>10</v>
      </c>
      <c r="N3215">
        <v>11</v>
      </c>
      <c r="P3215">
        <f>G3215*I3215/100</f>
        <v>388.41000000000008</v>
      </c>
      <c r="Q3215">
        <f t="shared" si="27"/>
        <v>42372.000000000007</v>
      </c>
      <c r="R3215">
        <f>K3215/J3215</f>
        <v>0.9375</v>
      </c>
    </row>
    <row r="3216" spans="1:18" x14ac:dyDescent="0.3">
      <c r="A3216">
        <v>55</v>
      </c>
      <c r="B3216">
        <v>452</v>
      </c>
      <c r="C3216" t="s">
        <v>17</v>
      </c>
      <c r="D3216" t="s">
        <v>18</v>
      </c>
      <c r="E3216">
        <v>81</v>
      </c>
      <c r="F3216" t="s">
        <v>23</v>
      </c>
      <c r="G3216">
        <v>20949.5</v>
      </c>
      <c r="H3216">
        <v>18938</v>
      </c>
      <c r="I3216">
        <v>14</v>
      </c>
      <c r="J3216">
        <v>37</v>
      </c>
      <c r="K3216">
        <v>36</v>
      </c>
      <c r="L3216">
        <v>10</v>
      </c>
      <c r="M3216">
        <v>4</v>
      </c>
      <c r="N3216">
        <v>13</v>
      </c>
      <c r="P3216">
        <f>G3216*I3216/100</f>
        <v>2932.93</v>
      </c>
      <c r="Q3216">
        <f t="shared" si="27"/>
        <v>251394</v>
      </c>
      <c r="R3216">
        <f>K3216/J3216</f>
        <v>0.97297297297297303</v>
      </c>
    </row>
    <row r="3217" spans="1:18" x14ac:dyDescent="0.3">
      <c r="A3217">
        <v>47</v>
      </c>
      <c r="B3217">
        <v>666</v>
      </c>
      <c r="C3217" t="s">
        <v>17</v>
      </c>
      <c r="D3217" t="s">
        <v>18</v>
      </c>
      <c r="E3217">
        <v>88</v>
      </c>
      <c r="F3217" t="s">
        <v>23</v>
      </c>
      <c r="G3217">
        <v>13033.900000000001</v>
      </c>
      <c r="H3217">
        <v>10268</v>
      </c>
      <c r="I3217">
        <v>12</v>
      </c>
      <c r="J3217">
        <v>10</v>
      </c>
      <c r="K3217">
        <v>10</v>
      </c>
      <c r="L3217">
        <v>7</v>
      </c>
      <c r="M3217">
        <v>9</v>
      </c>
      <c r="N3217">
        <v>9</v>
      </c>
      <c r="P3217">
        <f>G3217*I3217/100</f>
        <v>1564.0680000000002</v>
      </c>
      <c r="Q3217">
        <f t="shared" si="27"/>
        <v>156406.80000000002</v>
      </c>
      <c r="R3217">
        <f>K3217/J3217</f>
        <v>1</v>
      </c>
    </row>
    <row r="3218" spans="1:18" x14ac:dyDescent="0.3">
      <c r="A3218">
        <v>28</v>
      </c>
      <c r="B3218">
        <v>1158</v>
      </c>
      <c r="C3218" t="s">
        <v>17</v>
      </c>
      <c r="D3218" t="s">
        <v>18</v>
      </c>
      <c r="E3218">
        <v>94</v>
      </c>
      <c r="F3218" t="s">
        <v>19</v>
      </c>
      <c r="G3218">
        <v>2277</v>
      </c>
      <c r="H3218">
        <v>2613</v>
      </c>
      <c r="I3218">
        <v>23</v>
      </c>
      <c r="J3218">
        <v>5</v>
      </c>
      <c r="K3218">
        <v>5</v>
      </c>
      <c r="L3218">
        <v>2</v>
      </c>
      <c r="M3218">
        <v>0</v>
      </c>
      <c r="N3218">
        <v>4</v>
      </c>
      <c r="P3218">
        <f>G3218*I3218/100</f>
        <v>523.71</v>
      </c>
      <c r="Q3218">
        <f t="shared" si="27"/>
        <v>27324</v>
      </c>
      <c r="R3218">
        <f>K3218/J3218</f>
        <v>1</v>
      </c>
    </row>
    <row r="3219" spans="1:18" x14ac:dyDescent="0.3">
      <c r="A3219">
        <v>37</v>
      </c>
      <c r="B3219">
        <v>228</v>
      </c>
      <c r="C3219" t="s">
        <v>14</v>
      </c>
      <c r="D3219" t="s">
        <v>18</v>
      </c>
      <c r="E3219">
        <v>98</v>
      </c>
      <c r="F3219" t="s">
        <v>16</v>
      </c>
      <c r="G3219">
        <v>7152.2000000000007</v>
      </c>
      <c r="H3219">
        <v>22825</v>
      </c>
      <c r="I3219">
        <v>14</v>
      </c>
      <c r="J3219">
        <v>7</v>
      </c>
      <c r="K3219">
        <v>5</v>
      </c>
      <c r="L3219">
        <v>4</v>
      </c>
      <c r="M3219">
        <v>0</v>
      </c>
      <c r="N3219">
        <v>1</v>
      </c>
      <c r="P3219">
        <f>G3219*I3219/100</f>
        <v>1001.3080000000002</v>
      </c>
      <c r="Q3219">
        <f t="shared" si="27"/>
        <v>85826.400000000009</v>
      </c>
      <c r="R3219">
        <f>K3219/J3219</f>
        <v>0.7142857142857143</v>
      </c>
    </row>
    <row r="3220" spans="1:18" x14ac:dyDescent="0.3">
      <c r="A3220">
        <v>21</v>
      </c>
      <c r="B3220">
        <v>996</v>
      </c>
      <c r="C3220" t="s">
        <v>17</v>
      </c>
      <c r="D3220" t="s">
        <v>18</v>
      </c>
      <c r="E3220">
        <v>100</v>
      </c>
      <c r="F3220" t="s">
        <v>19</v>
      </c>
      <c r="G3220">
        <v>3553.0000000000005</v>
      </c>
      <c r="H3220">
        <v>10531</v>
      </c>
      <c r="I3220">
        <v>17</v>
      </c>
      <c r="J3220">
        <v>3</v>
      </c>
      <c r="K3220">
        <v>3</v>
      </c>
      <c r="L3220">
        <v>2</v>
      </c>
      <c r="M3220">
        <v>1</v>
      </c>
      <c r="N3220">
        <v>0</v>
      </c>
      <c r="P3220">
        <f>G3220*I3220/100</f>
        <v>604.0100000000001</v>
      </c>
      <c r="Q3220">
        <f t="shared" si="27"/>
        <v>42636.000000000007</v>
      </c>
      <c r="R3220">
        <f>K3220/J3220</f>
        <v>1</v>
      </c>
    </row>
    <row r="3221" spans="1:18" x14ac:dyDescent="0.3">
      <c r="A3221">
        <v>37</v>
      </c>
      <c r="B3221">
        <v>728</v>
      </c>
      <c r="C3221" t="s">
        <v>17</v>
      </c>
      <c r="D3221" t="s">
        <v>15</v>
      </c>
      <c r="E3221">
        <v>80</v>
      </c>
      <c r="F3221" t="s">
        <v>25</v>
      </c>
      <c r="G3221">
        <v>14963.300000000001</v>
      </c>
      <c r="H3221">
        <v>11677</v>
      </c>
      <c r="I3221">
        <v>18</v>
      </c>
      <c r="J3221">
        <v>15</v>
      </c>
      <c r="K3221">
        <v>5</v>
      </c>
      <c r="L3221">
        <v>2</v>
      </c>
      <c r="M3221">
        <v>0</v>
      </c>
      <c r="N3221">
        <v>2</v>
      </c>
      <c r="P3221">
        <f>G3221*I3221/100</f>
        <v>2693.3940000000002</v>
      </c>
      <c r="Q3221">
        <f t="shared" si="27"/>
        <v>179559.6</v>
      </c>
      <c r="R3221">
        <f>K3221/J3221</f>
        <v>0.33333333333333331</v>
      </c>
    </row>
    <row r="3222" spans="1:18" x14ac:dyDescent="0.3">
      <c r="A3222">
        <v>35</v>
      </c>
      <c r="B3222">
        <v>1315</v>
      </c>
      <c r="C3222" t="s">
        <v>17</v>
      </c>
      <c r="D3222" t="s">
        <v>15</v>
      </c>
      <c r="E3222">
        <v>71</v>
      </c>
      <c r="F3222" t="s">
        <v>23</v>
      </c>
      <c r="G3222">
        <v>13195.6</v>
      </c>
      <c r="H3222">
        <v>19100</v>
      </c>
      <c r="I3222">
        <v>18</v>
      </c>
      <c r="J3222">
        <v>10</v>
      </c>
      <c r="K3222">
        <v>7</v>
      </c>
      <c r="L3222">
        <v>7</v>
      </c>
      <c r="M3222">
        <v>6</v>
      </c>
      <c r="N3222">
        <v>2</v>
      </c>
      <c r="P3222">
        <f>G3222*I3222/100</f>
        <v>2375.2080000000001</v>
      </c>
      <c r="Q3222">
        <f t="shared" si="27"/>
        <v>158347.20000000001</v>
      </c>
      <c r="R3222">
        <f>K3222/J3222</f>
        <v>0.7</v>
      </c>
    </row>
    <row r="3223" spans="1:18" x14ac:dyDescent="0.3">
      <c r="A3223">
        <v>38</v>
      </c>
      <c r="B3223">
        <v>322</v>
      </c>
      <c r="C3223" t="s">
        <v>14</v>
      </c>
      <c r="D3223" t="s">
        <v>15</v>
      </c>
      <c r="E3223">
        <v>44</v>
      </c>
      <c r="F3223" t="s">
        <v>16</v>
      </c>
      <c r="G3223">
        <v>6165.5000000000009</v>
      </c>
      <c r="H3223">
        <v>19191</v>
      </c>
      <c r="I3223">
        <v>24</v>
      </c>
      <c r="J3223">
        <v>8</v>
      </c>
      <c r="K3223">
        <v>8</v>
      </c>
      <c r="L3223">
        <v>0</v>
      </c>
      <c r="M3223">
        <v>7</v>
      </c>
      <c r="N3223">
        <v>7</v>
      </c>
      <c r="P3223">
        <f>G3223*I3223/100</f>
        <v>1479.7200000000003</v>
      </c>
      <c r="Q3223">
        <f t="shared" si="27"/>
        <v>73986.000000000015</v>
      </c>
      <c r="R3223">
        <f>K3223/J3223</f>
        <v>1</v>
      </c>
    </row>
    <row r="3224" spans="1:18" x14ac:dyDescent="0.3">
      <c r="A3224">
        <v>26</v>
      </c>
      <c r="B3224">
        <v>1479</v>
      </c>
      <c r="C3224" t="s">
        <v>17</v>
      </c>
      <c r="D3224" t="s">
        <v>15</v>
      </c>
      <c r="E3224">
        <v>84</v>
      </c>
      <c r="F3224" t="s">
        <v>21</v>
      </c>
      <c r="G3224">
        <v>7036.7000000000007</v>
      </c>
      <c r="H3224">
        <v>26767</v>
      </c>
      <c r="I3224">
        <v>20</v>
      </c>
      <c r="J3224">
        <v>6</v>
      </c>
      <c r="K3224">
        <v>6</v>
      </c>
      <c r="L3224">
        <v>5</v>
      </c>
      <c r="M3224">
        <v>1</v>
      </c>
      <c r="N3224">
        <v>4</v>
      </c>
      <c r="P3224">
        <f>G3224*I3224/100</f>
        <v>1407.34</v>
      </c>
      <c r="Q3224">
        <f t="shared" si="27"/>
        <v>84440.400000000009</v>
      </c>
      <c r="R3224">
        <f>K3224/J3224</f>
        <v>1</v>
      </c>
    </row>
    <row r="3225" spans="1:18" x14ac:dyDescent="0.3">
      <c r="A3225">
        <v>50</v>
      </c>
      <c r="B3225">
        <v>797</v>
      </c>
      <c r="C3225" t="s">
        <v>17</v>
      </c>
      <c r="D3225" t="s">
        <v>18</v>
      </c>
      <c r="E3225">
        <v>96</v>
      </c>
      <c r="F3225" t="s">
        <v>25</v>
      </c>
      <c r="G3225">
        <v>21058.400000000001</v>
      </c>
      <c r="H3225">
        <v>15815</v>
      </c>
      <c r="I3225">
        <v>14</v>
      </c>
      <c r="J3225">
        <v>28</v>
      </c>
      <c r="K3225">
        <v>10</v>
      </c>
      <c r="L3225">
        <v>4</v>
      </c>
      <c r="M3225">
        <v>1</v>
      </c>
      <c r="N3225">
        <v>6</v>
      </c>
      <c r="P3225">
        <f>G3225*I3225/100</f>
        <v>2948.1760000000004</v>
      </c>
      <c r="Q3225">
        <f t="shared" si="27"/>
        <v>252700.80000000002</v>
      </c>
      <c r="R3225">
        <f>K3225/J3225</f>
        <v>0.35714285714285715</v>
      </c>
    </row>
    <row r="3226" spans="1:18" x14ac:dyDescent="0.3">
      <c r="A3226">
        <v>53</v>
      </c>
      <c r="B3226">
        <v>1070</v>
      </c>
      <c r="C3226" t="s">
        <v>17</v>
      </c>
      <c r="D3226" t="s">
        <v>18</v>
      </c>
      <c r="E3226">
        <v>45</v>
      </c>
      <c r="F3226" t="s">
        <v>25</v>
      </c>
      <c r="G3226">
        <v>19342.400000000001</v>
      </c>
      <c r="H3226">
        <v>21016</v>
      </c>
      <c r="I3226">
        <v>16</v>
      </c>
      <c r="J3226">
        <v>21</v>
      </c>
      <c r="K3226">
        <v>5</v>
      </c>
      <c r="L3226">
        <v>3</v>
      </c>
      <c r="M3226">
        <v>1</v>
      </c>
      <c r="N3226">
        <v>3</v>
      </c>
      <c r="P3226">
        <f>G3226*I3226/100</f>
        <v>3094.7840000000001</v>
      </c>
      <c r="Q3226">
        <f t="shared" si="27"/>
        <v>232108.80000000002</v>
      </c>
      <c r="R3226">
        <f>K3226/J3226</f>
        <v>0.23809523809523808</v>
      </c>
    </row>
    <row r="3227" spans="1:18" x14ac:dyDescent="0.3">
      <c r="A3227">
        <v>42</v>
      </c>
      <c r="B3227">
        <v>635</v>
      </c>
      <c r="C3227" t="s">
        <v>14</v>
      </c>
      <c r="D3227" t="s">
        <v>18</v>
      </c>
      <c r="E3227">
        <v>99</v>
      </c>
      <c r="F3227" t="s">
        <v>16</v>
      </c>
      <c r="G3227">
        <v>5397.7000000000007</v>
      </c>
      <c r="H3227">
        <v>24532</v>
      </c>
      <c r="I3227">
        <v>25</v>
      </c>
      <c r="J3227">
        <v>20</v>
      </c>
      <c r="K3227">
        <v>20</v>
      </c>
      <c r="L3227">
        <v>16</v>
      </c>
      <c r="M3227">
        <v>11</v>
      </c>
      <c r="N3227">
        <v>6</v>
      </c>
      <c r="P3227">
        <f>G3227*I3227/100</f>
        <v>1349.4250000000002</v>
      </c>
      <c r="Q3227">
        <f t="shared" si="27"/>
        <v>64772.400000000009</v>
      </c>
      <c r="R3227">
        <f>K3227/J3227</f>
        <v>1</v>
      </c>
    </row>
    <row r="3228" spans="1:18" x14ac:dyDescent="0.3">
      <c r="A3228">
        <v>29</v>
      </c>
      <c r="B3228">
        <v>442</v>
      </c>
      <c r="C3228" t="s">
        <v>14</v>
      </c>
      <c r="D3228" t="s">
        <v>18</v>
      </c>
      <c r="E3228">
        <v>44</v>
      </c>
      <c r="F3228" t="s">
        <v>16</v>
      </c>
      <c r="G3228">
        <v>5009.4000000000005</v>
      </c>
      <c r="H3228">
        <v>20260</v>
      </c>
      <c r="I3228">
        <v>18</v>
      </c>
      <c r="J3228">
        <v>10</v>
      </c>
      <c r="K3228">
        <v>10</v>
      </c>
      <c r="L3228">
        <v>7</v>
      </c>
      <c r="M3228">
        <v>0</v>
      </c>
      <c r="N3228">
        <v>9</v>
      </c>
      <c r="P3228">
        <f>G3228*I3228/100</f>
        <v>901.69200000000012</v>
      </c>
      <c r="Q3228">
        <f t="shared" si="27"/>
        <v>60112.800000000003</v>
      </c>
      <c r="R3228">
        <f>K3228/J3228</f>
        <v>1</v>
      </c>
    </row>
    <row r="3229" spans="1:18" x14ac:dyDescent="0.3">
      <c r="A3229">
        <v>55</v>
      </c>
      <c r="B3229">
        <v>147</v>
      </c>
      <c r="C3229" t="s">
        <v>17</v>
      </c>
      <c r="D3229" t="s">
        <v>18</v>
      </c>
      <c r="E3229">
        <v>37</v>
      </c>
      <c r="F3229" t="s">
        <v>20</v>
      </c>
      <c r="G3229">
        <v>5956.5000000000009</v>
      </c>
      <c r="H3229">
        <v>15972</v>
      </c>
      <c r="I3229">
        <v>19</v>
      </c>
      <c r="J3229">
        <v>12</v>
      </c>
      <c r="K3229">
        <v>10</v>
      </c>
      <c r="L3229">
        <v>7</v>
      </c>
      <c r="M3229">
        <v>0</v>
      </c>
      <c r="N3229">
        <v>8</v>
      </c>
      <c r="P3229">
        <f>G3229*I3229/100</f>
        <v>1131.7350000000001</v>
      </c>
      <c r="Q3229">
        <f t="shared" si="27"/>
        <v>71478.000000000015</v>
      </c>
      <c r="R3229">
        <f>K3229/J3229</f>
        <v>0.83333333333333337</v>
      </c>
    </row>
    <row r="3230" spans="1:18" x14ac:dyDescent="0.3">
      <c r="A3230">
        <v>26</v>
      </c>
      <c r="B3230">
        <v>496</v>
      </c>
      <c r="C3230" t="s">
        <v>17</v>
      </c>
      <c r="D3230" t="s">
        <v>18</v>
      </c>
      <c r="E3230">
        <v>60</v>
      </c>
      <c r="F3230" t="s">
        <v>22</v>
      </c>
      <c r="G3230">
        <v>5215.1000000000004</v>
      </c>
      <c r="H3230">
        <v>22722</v>
      </c>
      <c r="I3230">
        <v>13</v>
      </c>
      <c r="J3230">
        <v>5</v>
      </c>
      <c r="K3230">
        <v>5</v>
      </c>
      <c r="L3230">
        <v>3</v>
      </c>
      <c r="M3230">
        <v>3</v>
      </c>
      <c r="N3230">
        <v>3</v>
      </c>
      <c r="P3230">
        <f>G3230*I3230/100</f>
        <v>677.96300000000008</v>
      </c>
      <c r="Q3230">
        <f t="shared" si="27"/>
        <v>62581.200000000004</v>
      </c>
      <c r="R3230">
        <f>K3230/J3230</f>
        <v>1</v>
      </c>
    </row>
    <row r="3231" spans="1:18" x14ac:dyDescent="0.3">
      <c r="A3231">
        <v>37</v>
      </c>
      <c r="B3231">
        <v>1372</v>
      </c>
      <c r="C3231" t="s">
        <v>17</v>
      </c>
      <c r="D3231" t="s">
        <v>15</v>
      </c>
      <c r="E3231">
        <v>42</v>
      </c>
      <c r="F3231" t="s">
        <v>19</v>
      </c>
      <c r="G3231">
        <v>2326.5</v>
      </c>
      <c r="H3231">
        <v>15881</v>
      </c>
      <c r="I3231">
        <v>12</v>
      </c>
      <c r="J3231">
        <v>17</v>
      </c>
      <c r="K3231">
        <v>17</v>
      </c>
      <c r="L3231">
        <v>12</v>
      </c>
      <c r="M3231">
        <v>5</v>
      </c>
      <c r="N3231">
        <v>7</v>
      </c>
      <c r="P3231">
        <f>G3231*I3231/100</f>
        <v>279.18</v>
      </c>
      <c r="Q3231">
        <f t="shared" si="27"/>
        <v>27918</v>
      </c>
      <c r="R3231">
        <f>K3231/J3231</f>
        <v>1</v>
      </c>
    </row>
    <row r="3232" spans="1:18" x14ac:dyDescent="0.3">
      <c r="A3232">
        <v>44</v>
      </c>
      <c r="B3232">
        <v>920</v>
      </c>
      <c r="C3232" t="s">
        <v>17</v>
      </c>
      <c r="D3232" t="s">
        <v>18</v>
      </c>
      <c r="E3232">
        <v>43</v>
      </c>
      <c r="F3232" t="s">
        <v>20</v>
      </c>
      <c r="G3232">
        <v>3477.1000000000004</v>
      </c>
      <c r="H3232">
        <v>19920</v>
      </c>
      <c r="I3232">
        <v>22</v>
      </c>
      <c r="J3232">
        <v>19</v>
      </c>
      <c r="K3232">
        <v>1</v>
      </c>
      <c r="L3232">
        <v>0</v>
      </c>
      <c r="M3232">
        <v>0</v>
      </c>
      <c r="N3232">
        <v>0</v>
      </c>
      <c r="P3232">
        <f>G3232*I3232/100</f>
        <v>764.9620000000001</v>
      </c>
      <c r="Q3232">
        <f t="shared" si="27"/>
        <v>41725.200000000004</v>
      </c>
      <c r="R3232">
        <f>K3232/J3232</f>
        <v>5.2631578947368418E-2</v>
      </c>
    </row>
    <row r="3233" spans="1:18" x14ac:dyDescent="0.3">
      <c r="A3233">
        <v>38</v>
      </c>
      <c r="B3233">
        <v>688</v>
      </c>
      <c r="C3233" t="s">
        <v>17</v>
      </c>
      <c r="D3233" t="s">
        <v>18</v>
      </c>
      <c r="E3233">
        <v>82</v>
      </c>
      <c r="F3233" t="s">
        <v>22</v>
      </c>
      <c r="G3233">
        <v>6319.5000000000009</v>
      </c>
      <c r="H3233">
        <v>18899</v>
      </c>
      <c r="I3233">
        <v>14</v>
      </c>
      <c r="J3233">
        <v>10</v>
      </c>
      <c r="K3233">
        <v>2</v>
      </c>
      <c r="L3233">
        <v>2</v>
      </c>
      <c r="M3233">
        <v>1</v>
      </c>
      <c r="N3233">
        <v>2</v>
      </c>
      <c r="P3233">
        <f>G3233*I3233/100</f>
        <v>884.73000000000013</v>
      </c>
      <c r="Q3233">
        <f t="shared" si="27"/>
        <v>75834.000000000015</v>
      </c>
      <c r="R3233">
        <f>K3233/J3233</f>
        <v>0.2</v>
      </c>
    </row>
    <row r="3234" spans="1:18" x14ac:dyDescent="0.3">
      <c r="A3234">
        <v>26</v>
      </c>
      <c r="B3234">
        <v>1449</v>
      </c>
      <c r="C3234" t="s">
        <v>17</v>
      </c>
      <c r="D3234" t="s">
        <v>18</v>
      </c>
      <c r="E3234">
        <v>45</v>
      </c>
      <c r="F3234" t="s">
        <v>20</v>
      </c>
      <c r="G3234">
        <v>2610.3000000000002</v>
      </c>
      <c r="H3234">
        <v>14180</v>
      </c>
      <c r="I3234">
        <v>13</v>
      </c>
      <c r="J3234">
        <v>5</v>
      </c>
      <c r="K3234">
        <v>3</v>
      </c>
      <c r="L3234">
        <v>2</v>
      </c>
      <c r="M3234">
        <v>0</v>
      </c>
      <c r="N3234">
        <v>2</v>
      </c>
      <c r="P3234">
        <f>G3234*I3234/100</f>
        <v>339.339</v>
      </c>
      <c r="Q3234">
        <f t="shared" si="27"/>
        <v>31323.600000000002</v>
      </c>
      <c r="R3234">
        <f>K3234/J3234</f>
        <v>0.6</v>
      </c>
    </row>
    <row r="3235" spans="1:18" x14ac:dyDescent="0.3">
      <c r="A3235">
        <v>28</v>
      </c>
      <c r="B3235">
        <v>1117</v>
      </c>
      <c r="C3235" t="s">
        <v>17</v>
      </c>
      <c r="D3235" t="s">
        <v>15</v>
      </c>
      <c r="E3235">
        <v>66</v>
      </c>
      <c r="F3235" t="s">
        <v>19</v>
      </c>
      <c r="G3235">
        <v>3641.0000000000005</v>
      </c>
      <c r="H3235">
        <v>4488</v>
      </c>
      <c r="I3235">
        <v>21</v>
      </c>
      <c r="J3235">
        <v>5</v>
      </c>
      <c r="K3235">
        <v>5</v>
      </c>
      <c r="L3235">
        <v>3</v>
      </c>
      <c r="M3235">
        <v>0</v>
      </c>
      <c r="N3235">
        <v>2</v>
      </c>
      <c r="P3235">
        <f>G3235*I3235/100</f>
        <v>764.61000000000013</v>
      </c>
      <c r="Q3235">
        <f t="shared" si="27"/>
        <v>43692.000000000007</v>
      </c>
      <c r="R3235">
        <f>K3235/J3235</f>
        <v>1</v>
      </c>
    </row>
    <row r="3236" spans="1:18" x14ac:dyDescent="0.3">
      <c r="A3236">
        <v>49</v>
      </c>
      <c r="B3236">
        <v>636</v>
      </c>
      <c r="C3236" t="s">
        <v>17</v>
      </c>
      <c r="D3236" t="s">
        <v>15</v>
      </c>
      <c r="E3236">
        <v>35</v>
      </c>
      <c r="F3236" t="s">
        <v>25</v>
      </c>
      <c r="G3236">
        <v>20531.5</v>
      </c>
      <c r="H3236">
        <v>25594</v>
      </c>
      <c r="I3236">
        <v>11</v>
      </c>
      <c r="J3236">
        <v>22</v>
      </c>
      <c r="K3236">
        <v>3</v>
      </c>
      <c r="L3236">
        <v>2</v>
      </c>
      <c r="M3236">
        <v>1</v>
      </c>
      <c r="N3236">
        <v>2</v>
      </c>
      <c r="P3236">
        <f>G3236*I3236/100</f>
        <v>2258.4650000000001</v>
      </c>
      <c r="Q3236">
        <f t="shared" si="27"/>
        <v>246378</v>
      </c>
      <c r="R3236">
        <f>K3236/J3236</f>
        <v>0.13636363636363635</v>
      </c>
    </row>
    <row r="3237" spans="1:18" x14ac:dyDescent="0.3">
      <c r="A3237">
        <v>36</v>
      </c>
      <c r="B3237">
        <v>506</v>
      </c>
      <c r="C3237" t="s">
        <v>17</v>
      </c>
      <c r="D3237" t="s">
        <v>18</v>
      </c>
      <c r="E3237">
        <v>30</v>
      </c>
      <c r="F3237" t="s">
        <v>19</v>
      </c>
      <c r="G3237">
        <v>4933.5</v>
      </c>
      <c r="H3237">
        <v>26285</v>
      </c>
      <c r="I3237">
        <v>12</v>
      </c>
      <c r="J3237">
        <v>10</v>
      </c>
      <c r="K3237">
        <v>8</v>
      </c>
      <c r="L3237">
        <v>0</v>
      </c>
      <c r="M3237">
        <v>7</v>
      </c>
      <c r="N3237">
        <v>7</v>
      </c>
      <c r="P3237">
        <f>G3237*I3237/100</f>
        <v>592.02</v>
      </c>
      <c r="Q3237">
        <f t="shared" si="27"/>
        <v>59202</v>
      </c>
      <c r="R3237">
        <f>K3237/J3237</f>
        <v>0.8</v>
      </c>
    </row>
    <row r="3238" spans="1:18" x14ac:dyDescent="0.3">
      <c r="A3238">
        <v>31</v>
      </c>
      <c r="B3238">
        <v>444</v>
      </c>
      <c r="C3238" t="s">
        <v>14</v>
      </c>
      <c r="D3238" t="s">
        <v>15</v>
      </c>
      <c r="E3238">
        <v>84</v>
      </c>
      <c r="F3238" t="s">
        <v>24</v>
      </c>
      <c r="G3238">
        <v>3067.9</v>
      </c>
      <c r="H3238">
        <v>3909</v>
      </c>
      <c r="I3238">
        <v>11</v>
      </c>
      <c r="J3238">
        <v>2</v>
      </c>
      <c r="K3238">
        <v>2</v>
      </c>
      <c r="L3238">
        <v>2</v>
      </c>
      <c r="M3238">
        <v>2</v>
      </c>
      <c r="N3238">
        <v>2</v>
      </c>
      <c r="P3238">
        <f>G3238*I3238/100</f>
        <v>337.46899999999999</v>
      </c>
      <c r="Q3238">
        <f t="shared" si="27"/>
        <v>36814.800000000003</v>
      </c>
      <c r="R3238">
        <f>K3238/J3238</f>
        <v>1</v>
      </c>
    </row>
    <row r="3239" spans="1:18" x14ac:dyDescent="0.3">
      <c r="A3239">
        <v>26</v>
      </c>
      <c r="B3239">
        <v>950</v>
      </c>
      <c r="C3239" t="s">
        <v>14</v>
      </c>
      <c r="D3239" t="s">
        <v>18</v>
      </c>
      <c r="E3239">
        <v>48</v>
      </c>
      <c r="F3239" t="s">
        <v>16</v>
      </c>
      <c r="G3239">
        <v>6410.8</v>
      </c>
      <c r="H3239">
        <v>8450</v>
      </c>
      <c r="I3239">
        <v>12</v>
      </c>
      <c r="J3239">
        <v>8</v>
      </c>
      <c r="K3239">
        <v>8</v>
      </c>
      <c r="L3239">
        <v>7</v>
      </c>
      <c r="M3239">
        <v>7</v>
      </c>
      <c r="N3239">
        <v>4</v>
      </c>
      <c r="P3239">
        <f>G3239*I3239/100</f>
        <v>769.29600000000005</v>
      </c>
      <c r="Q3239">
        <f t="shared" si="27"/>
        <v>76929.600000000006</v>
      </c>
      <c r="R3239">
        <f>K3239/J3239</f>
        <v>1</v>
      </c>
    </row>
    <row r="3240" spans="1:18" x14ac:dyDescent="0.3">
      <c r="A3240">
        <v>37</v>
      </c>
      <c r="B3240">
        <v>889</v>
      </c>
      <c r="C3240" t="s">
        <v>17</v>
      </c>
      <c r="D3240" t="s">
        <v>18</v>
      </c>
      <c r="E3240">
        <v>53</v>
      </c>
      <c r="F3240" t="s">
        <v>19</v>
      </c>
      <c r="G3240">
        <v>2558.6000000000004</v>
      </c>
      <c r="H3240">
        <v>11411</v>
      </c>
      <c r="I3240">
        <v>12</v>
      </c>
      <c r="J3240">
        <v>4</v>
      </c>
      <c r="K3240">
        <v>4</v>
      </c>
      <c r="L3240">
        <v>2</v>
      </c>
      <c r="M3240">
        <v>1</v>
      </c>
      <c r="N3240">
        <v>2</v>
      </c>
      <c r="P3240">
        <f>G3240*I3240/100</f>
        <v>307.03200000000004</v>
      </c>
      <c r="Q3240">
        <f t="shared" si="27"/>
        <v>30703.200000000004</v>
      </c>
      <c r="R3240">
        <f>K3240/J3240</f>
        <v>1</v>
      </c>
    </row>
    <row r="3241" spans="1:18" x14ac:dyDescent="0.3">
      <c r="A3241">
        <v>42</v>
      </c>
      <c r="B3241">
        <v>555</v>
      </c>
      <c r="C3241" t="s">
        <v>14</v>
      </c>
      <c r="D3241" t="s">
        <v>15</v>
      </c>
      <c r="E3241">
        <v>77</v>
      </c>
      <c r="F3241" t="s">
        <v>16</v>
      </c>
      <c r="G3241">
        <v>14877.500000000002</v>
      </c>
      <c r="H3241">
        <v>14864</v>
      </c>
      <c r="I3241">
        <v>14</v>
      </c>
      <c r="J3241">
        <v>23</v>
      </c>
      <c r="K3241">
        <v>20</v>
      </c>
      <c r="L3241">
        <v>4</v>
      </c>
      <c r="M3241">
        <v>4</v>
      </c>
      <c r="N3241">
        <v>8</v>
      </c>
      <c r="P3241">
        <f>G3241*I3241/100</f>
        <v>2082.8500000000004</v>
      </c>
      <c r="Q3241">
        <f t="shared" si="27"/>
        <v>178530.00000000003</v>
      </c>
      <c r="R3241">
        <f>K3241/J3241</f>
        <v>0.86956521739130432</v>
      </c>
    </row>
    <row r="3242" spans="1:18" x14ac:dyDescent="0.3">
      <c r="A3242">
        <v>18</v>
      </c>
      <c r="B3242">
        <v>230</v>
      </c>
      <c r="C3242" t="s">
        <v>17</v>
      </c>
      <c r="D3242" t="s">
        <v>18</v>
      </c>
      <c r="E3242">
        <v>54</v>
      </c>
      <c r="F3242" t="s">
        <v>20</v>
      </c>
      <c r="G3242">
        <v>1562.0000000000002</v>
      </c>
      <c r="H3242">
        <v>25233</v>
      </c>
      <c r="I3242">
        <v>13</v>
      </c>
      <c r="J3242">
        <v>0</v>
      </c>
      <c r="K3242">
        <v>0</v>
      </c>
      <c r="L3242">
        <v>0</v>
      </c>
      <c r="M3242">
        <v>0</v>
      </c>
      <c r="N3242">
        <v>0</v>
      </c>
      <c r="P3242">
        <f>G3242*I3242/100</f>
        <v>203.06000000000003</v>
      </c>
      <c r="Q3242">
        <f t="shared" si="27"/>
        <v>18744.000000000004</v>
      </c>
      <c r="R3242" t="e">
        <f>K3242/J3242</f>
        <v>#DIV/0!</v>
      </c>
    </row>
    <row r="3243" spans="1:18" x14ac:dyDescent="0.3">
      <c r="A3243">
        <v>35</v>
      </c>
      <c r="B3243">
        <v>1232</v>
      </c>
      <c r="C3243" t="s">
        <v>14</v>
      </c>
      <c r="D3243" t="s">
        <v>18</v>
      </c>
      <c r="E3243">
        <v>96</v>
      </c>
      <c r="F3243" t="s">
        <v>16</v>
      </c>
      <c r="G3243">
        <v>8822</v>
      </c>
      <c r="H3243">
        <v>5100</v>
      </c>
      <c r="I3243">
        <v>15</v>
      </c>
      <c r="J3243">
        <v>12</v>
      </c>
      <c r="K3243">
        <v>11</v>
      </c>
      <c r="L3243">
        <v>9</v>
      </c>
      <c r="M3243">
        <v>6</v>
      </c>
      <c r="N3243">
        <v>9</v>
      </c>
      <c r="P3243">
        <f>G3243*I3243/100</f>
        <v>1323.3</v>
      </c>
      <c r="Q3243">
        <f t="shared" si="27"/>
        <v>105864</v>
      </c>
      <c r="R3243">
        <f>K3243/J3243</f>
        <v>0.91666666666666663</v>
      </c>
    </row>
    <row r="3244" spans="1:18" x14ac:dyDescent="0.3">
      <c r="A3244">
        <v>36</v>
      </c>
      <c r="B3244">
        <v>566</v>
      </c>
      <c r="C3244" t="s">
        <v>17</v>
      </c>
      <c r="D3244" t="s">
        <v>18</v>
      </c>
      <c r="E3244">
        <v>81</v>
      </c>
      <c r="F3244" t="s">
        <v>20</v>
      </c>
      <c r="G3244">
        <v>4056.8</v>
      </c>
      <c r="H3244">
        <v>7122</v>
      </c>
      <c r="I3244">
        <v>18</v>
      </c>
      <c r="J3244">
        <v>4</v>
      </c>
      <c r="K3244">
        <v>1</v>
      </c>
      <c r="L3244">
        <v>0</v>
      </c>
      <c r="M3244">
        <v>0</v>
      </c>
      <c r="N3244">
        <v>0</v>
      </c>
      <c r="P3244">
        <f>G3244*I3244/100</f>
        <v>730.22400000000005</v>
      </c>
      <c r="Q3244">
        <f t="shared" si="27"/>
        <v>48681.600000000006</v>
      </c>
      <c r="R3244">
        <f>K3244/J3244</f>
        <v>0.25</v>
      </c>
    </row>
    <row r="3245" spans="1:18" x14ac:dyDescent="0.3">
      <c r="A3245">
        <v>51</v>
      </c>
      <c r="B3245">
        <v>1302</v>
      </c>
      <c r="C3245" t="s">
        <v>17</v>
      </c>
      <c r="D3245" t="s">
        <v>18</v>
      </c>
      <c r="E3245">
        <v>84</v>
      </c>
      <c r="F3245" t="s">
        <v>21</v>
      </c>
      <c r="G3245">
        <v>6030.2000000000007</v>
      </c>
      <c r="H3245">
        <v>16321</v>
      </c>
      <c r="I3245">
        <v>18</v>
      </c>
      <c r="J3245">
        <v>13</v>
      </c>
      <c r="K3245">
        <v>4</v>
      </c>
      <c r="L3245">
        <v>1</v>
      </c>
      <c r="M3245">
        <v>1</v>
      </c>
      <c r="N3245">
        <v>2</v>
      </c>
      <c r="P3245">
        <f>G3245*I3245/100</f>
        <v>1085.4360000000001</v>
      </c>
      <c r="Q3245">
        <f t="shared" si="27"/>
        <v>72362.400000000009</v>
      </c>
      <c r="R3245">
        <f>K3245/J3245</f>
        <v>0.30769230769230771</v>
      </c>
    </row>
    <row r="3246" spans="1:18" x14ac:dyDescent="0.3">
      <c r="A3246">
        <v>41</v>
      </c>
      <c r="B3246">
        <v>334</v>
      </c>
      <c r="C3246" t="s">
        <v>14</v>
      </c>
      <c r="D3246" t="s">
        <v>18</v>
      </c>
      <c r="E3246">
        <v>88</v>
      </c>
      <c r="F3246" t="s">
        <v>23</v>
      </c>
      <c r="G3246">
        <v>17616.5</v>
      </c>
      <c r="H3246">
        <v>15896</v>
      </c>
      <c r="I3246">
        <v>19</v>
      </c>
      <c r="J3246">
        <v>22</v>
      </c>
      <c r="K3246">
        <v>22</v>
      </c>
      <c r="L3246">
        <v>10</v>
      </c>
      <c r="M3246">
        <v>0</v>
      </c>
      <c r="N3246">
        <v>4</v>
      </c>
      <c r="P3246">
        <f>G3246*I3246/100</f>
        <v>3347.1350000000002</v>
      </c>
      <c r="Q3246">
        <f t="shared" si="27"/>
        <v>211398</v>
      </c>
      <c r="R3246">
        <f>K3246/J3246</f>
        <v>1</v>
      </c>
    </row>
    <row r="3247" spans="1:18" x14ac:dyDescent="0.3">
      <c r="A3247">
        <v>18</v>
      </c>
      <c r="B3247">
        <v>812</v>
      </c>
      <c r="C3247" t="s">
        <v>14</v>
      </c>
      <c r="D3247" t="s">
        <v>15</v>
      </c>
      <c r="E3247">
        <v>69</v>
      </c>
      <c r="F3247" t="s">
        <v>24</v>
      </c>
      <c r="G3247">
        <v>1320</v>
      </c>
      <c r="H3247">
        <v>9724</v>
      </c>
      <c r="I3247">
        <v>12</v>
      </c>
      <c r="J3247">
        <v>0</v>
      </c>
      <c r="K3247">
        <v>0</v>
      </c>
      <c r="L3247">
        <v>0</v>
      </c>
      <c r="M3247">
        <v>0</v>
      </c>
      <c r="N3247">
        <v>0</v>
      </c>
      <c r="P3247">
        <f>G3247*I3247/100</f>
        <v>158.4</v>
      </c>
      <c r="Q3247">
        <f t="shared" si="27"/>
        <v>15840</v>
      </c>
      <c r="R3247" t="e">
        <f>K3247/J3247</f>
        <v>#DIV/0!</v>
      </c>
    </row>
    <row r="3248" spans="1:18" x14ac:dyDescent="0.3">
      <c r="A3248">
        <v>28</v>
      </c>
      <c r="B3248">
        <v>1476</v>
      </c>
      <c r="C3248" t="s">
        <v>17</v>
      </c>
      <c r="D3248" t="s">
        <v>18</v>
      </c>
      <c r="E3248">
        <v>68</v>
      </c>
      <c r="F3248" t="s">
        <v>22</v>
      </c>
      <c r="G3248">
        <v>6227.1</v>
      </c>
      <c r="H3248">
        <v>4824</v>
      </c>
      <c r="I3248">
        <v>19</v>
      </c>
      <c r="J3248">
        <v>9</v>
      </c>
      <c r="K3248">
        <v>8</v>
      </c>
      <c r="L3248">
        <v>3</v>
      </c>
      <c r="M3248">
        <v>0</v>
      </c>
      <c r="N3248">
        <v>7</v>
      </c>
      <c r="P3248">
        <f>G3248*I3248/100</f>
        <v>1183.1490000000001</v>
      </c>
      <c r="Q3248">
        <f t="shared" si="27"/>
        <v>74725.200000000012</v>
      </c>
      <c r="R3248">
        <f>K3248/J3248</f>
        <v>0.88888888888888884</v>
      </c>
    </row>
    <row r="3249" spans="1:18" x14ac:dyDescent="0.3">
      <c r="A3249">
        <v>31</v>
      </c>
      <c r="B3249">
        <v>218</v>
      </c>
      <c r="C3249" t="s">
        <v>14</v>
      </c>
      <c r="D3249" t="s">
        <v>18</v>
      </c>
      <c r="E3249">
        <v>100</v>
      </c>
      <c r="F3249" t="s">
        <v>16</v>
      </c>
      <c r="G3249">
        <v>7621.9000000000005</v>
      </c>
      <c r="H3249">
        <v>12241</v>
      </c>
      <c r="I3249">
        <v>11</v>
      </c>
      <c r="J3249">
        <v>10</v>
      </c>
      <c r="K3249">
        <v>8</v>
      </c>
      <c r="L3249">
        <v>7</v>
      </c>
      <c r="M3249">
        <v>7</v>
      </c>
      <c r="N3249">
        <v>7</v>
      </c>
      <c r="P3249">
        <f>G3249*I3249/100</f>
        <v>838.40900000000011</v>
      </c>
      <c r="Q3249">
        <f t="shared" si="27"/>
        <v>91462.8</v>
      </c>
      <c r="R3249">
        <f>K3249/J3249</f>
        <v>0.8</v>
      </c>
    </row>
    <row r="3250" spans="1:18" x14ac:dyDescent="0.3">
      <c r="A3250">
        <v>39</v>
      </c>
      <c r="B3250">
        <v>1132</v>
      </c>
      <c r="C3250" t="s">
        <v>17</v>
      </c>
      <c r="D3250" t="s">
        <v>18</v>
      </c>
      <c r="E3250">
        <v>48</v>
      </c>
      <c r="F3250" t="s">
        <v>22</v>
      </c>
      <c r="G3250">
        <v>10574.300000000001</v>
      </c>
      <c r="H3250">
        <v>10942</v>
      </c>
      <c r="I3250">
        <v>17</v>
      </c>
      <c r="J3250">
        <v>19</v>
      </c>
      <c r="K3250">
        <v>18</v>
      </c>
      <c r="L3250">
        <v>10</v>
      </c>
      <c r="M3250">
        <v>3</v>
      </c>
      <c r="N3250">
        <v>7</v>
      </c>
      <c r="P3250">
        <f>G3250*I3250/100</f>
        <v>1797.6310000000001</v>
      </c>
      <c r="Q3250">
        <f t="shared" si="27"/>
        <v>126891.6</v>
      </c>
      <c r="R3250">
        <f>K3250/J3250</f>
        <v>0.94736842105263153</v>
      </c>
    </row>
    <row r="3251" spans="1:18" x14ac:dyDescent="0.3">
      <c r="A3251">
        <v>36</v>
      </c>
      <c r="B3251">
        <v>1105</v>
      </c>
      <c r="C3251" t="s">
        <v>17</v>
      </c>
      <c r="D3251" t="s">
        <v>15</v>
      </c>
      <c r="E3251">
        <v>47</v>
      </c>
      <c r="F3251" t="s">
        <v>20</v>
      </c>
      <c r="G3251">
        <v>6241.4000000000005</v>
      </c>
      <c r="H3251">
        <v>6927</v>
      </c>
      <c r="I3251">
        <v>15</v>
      </c>
      <c r="J3251">
        <v>11</v>
      </c>
      <c r="K3251">
        <v>9</v>
      </c>
      <c r="L3251">
        <v>8</v>
      </c>
      <c r="M3251">
        <v>0</v>
      </c>
      <c r="N3251">
        <v>8</v>
      </c>
      <c r="P3251">
        <f>G3251*I3251/100</f>
        <v>936.21000000000015</v>
      </c>
      <c r="Q3251">
        <f t="shared" si="27"/>
        <v>74896.800000000003</v>
      </c>
      <c r="R3251">
        <f>K3251/J3251</f>
        <v>0.81818181818181823</v>
      </c>
    </row>
    <row r="3252" spans="1:18" x14ac:dyDescent="0.3">
      <c r="A3252">
        <v>32</v>
      </c>
      <c r="B3252">
        <v>906</v>
      </c>
      <c r="C3252" t="s">
        <v>14</v>
      </c>
      <c r="D3252" t="s">
        <v>18</v>
      </c>
      <c r="E3252">
        <v>91</v>
      </c>
      <c r="F3252" t="s">
        <v>16</v>
      </c>
      <c r="G3252">
        <v>6032.4000000000005</v>
      </c>
      <c r="H3252">
        <v>16985</v>
      </c>
      <c r="I3252">
        <v>14</v>
      </c>
      <c r="J3252">
        <v>13</v>
      </c>
      <c r="K3252">
        <v>13</v>
      </c>
      <c r="L3252">
        <v>8</v>
      </c>
      <c r="M3252">
        <v>4</v>
      </c>
      <c r="N3252">
        <v>8</v>
      </c>
      <c r="P3252">
        <f>G3252*I3252/100</f>
        <v>844.53600000000006</v>
      </c>
      <c r="Q3252">
        <f t="shared" si="27"/>
        <v>72388.800000000003</v>
      </c>
      <c r="R3252">
        <f>K3252/J3252</f>
        <v>1</v>
      </c>
    </row>
    <row r="3253" spans="1:18" x14ac:dyDescent="0.3">
      <c r="A3253">
        <v>38</v>
      </c>
      <c r="B3253">
        <v>849</v>
      </c>
      <c r="C3253" t="s">
        <v>17</v>
      </c>
      <c r="D3253" t="s">
        <v>15</v>
      </c>
      <c r="E3253">
        <v>81</v>
      </c>
      <c r="F3253" t="s">
        <v>25</v>
      </c>
      <c r="G3253">
        <v>13267.1</v>
      </c>
      <c r="H3253">
        <v>26707</v>
      </c>
      <c r="I3253">
        <v>17</v>
      </c>
      <c r="J3253">
        <v>19</v>
      </c>
      <c r="K3253">
        <v>10</v>
      </c>
      <c r="L3253">
        <v>8</v>
      </c>
      <c r="M3253">
        <v>0</v>
      </c>
      <c r="N3253">
        <v>1</v>
      </c>
      <c r="P3253">
        <f>G3253*I3253/100</f>
        <v>2255.4070000000002</v>
      </c>
      <c r="Q3253">
        <f t="shared" si="27"/>
        <v>159205.20000000001</v>
      </c>
      <c r="R3253">
        <f>K3253/J3253</f>
        <v>0.52631578947368418</v>
      </c>
    </row>
    <row r="3254" spans="1:18" x14ac:dyDescent="0.3">
      <c r="A3254">
        <v>58</v>
      </c>
      <c r="B3254">
        <v>390</v>
      </c>
      <c r="C3254" t="s">
        <v>17</v>
      </c>
      <c r="D3254" t="s">
        <v>18</v>
      </c>
      <c r="E3254">
        <v>32</v>
      </c>
      <c r="F3254" t="s">
        <v>22</v>
      </c>
      <c r="G3254">
        <v>6226.0000000000009</v>
      </c>
      <c r="H3254">
        <v>17056</v>
      </c>
      <c r="I3254">
        <v>13</v>
      </c>
      <c r="J3254">
        <v>12</v>
      </c>
      <c r="K3254">
        <v>5</v>
      </c>
      <c r="L3254">
        <v>3</v>
      </c>
      <c r="M3254">
        <v>1</v>
      </c>
      <c r="N3254">
        <v>2</v>
      </c>
      <c r="P3254">
        <f>G3254*I3254/100</f>
        <v>809.38000000000011</v>
      </c>
      <c r="Q3254">
        <f t="shared" si="27"/>
        <v>74712.000000000015</v>
      </c>
      <c r="R3254">
        <f>K3254/J3254</f>
        <v>0.41666666666666669</v>
      </c>
    </row>
    <row r="3255" spans="1:18" x14ac:dyDescent="0.3">
      <c r="A3255">
        <v>31</v>
      </c>
      <c r="B3255">
        <v>691</v>
      </c>
      <c r="C3255" t="s">
        <v>17</v>
      </c>
      <c r="D3255" t="s">
        <v>18</v>
      </c>
      <c r="E3255">
        <v>86</v>
      </c>
      <c r="F3255" t="s">
        <v>19</v>
      </c>
      <c r="G3255">
        <v>5303.1</v>
      </c>
      <c r="H3255">
        <v>10077</v>
      </c>
      <c r="I3255">
        <v>12</v>
      </c>
      <c r="J3255">
        <v>6</v>
      </c>
      <c r="K3255">
        <v>5</v>
      </c>
      <c r="L3255">
        <v>2</v>
      </c>
      <c r="M3255">
        <v>0</v>
      </c>
      <c r="N3255">
        <v>3</v>
      </c>
      <c r="P3255">
        <f>G3255*I3255/100</f>
        <v>636.37200000000007</v>
      </c>
      <c r="Q3255">
        <f t="shared" si="27"/>
        <v>63637.200000000004</v>
      </c>
      <c r="R3255">
        <f>K3255/J3255</f>
        <v>0.83333333333333337</v>
      </c>
    </row>
    <row r="3256" spans="1:18" x14ac:dyDescent="0.3">
      <c r="A3256">
        <v>31</v>
      </c>
      <c r="B3256">
        <v>106</v>
      </c>
      <c r="C3256" t="s">
        <v>26</v>
      </c>
      <c r="D3256" t="s">
        <v>18</v>
      </c>
      <c r="E3256">
        <v>62</v>
      </c>
      <c r="F3256" t="s">
        <v>26</v>
      </c>
      <c r="G3256">
        <v>7051.0000000000009</v>
      </c>
      <c r="H3256">
        <v>17822</v>
      </c>
      <c r="I3256">
        <v>12</v>
      </c>
      <c r="J3256">
        <v>9</v>
      </c>
      <c r="K3256">
        <v>2</v>
      </c>
      <c r="L3256">
        <v>2</v>
      </c>
      <c r="M3256">
        <v>1</v>
      </c>
      <c r="N3256">
        <v>0</v>
      </c>
      <c r="P3256">
        <f>G3256*I3256/100</f>
        <v>846.12000000000012</v>
      </c>
      <c r="Q3256">
        <f t="shared" si="27"/>
        <v>84612.000000000015</v>
      </c>
      <c r="R3256">
        <f>K3256/J3256</f>
        <v>0.22222222222222221</v>
      </c>
    </row>
    <row r="3257" spans="1:18" x14ac:dyDescent="0.3">
      <c r="A3257">
        <v>45</v>
      </c>
      <c r="B3257">
        <v>1249</v>
      </c>
      <c r="C3257" t="s">
        <v>17</v>
      </c>
      <c r="D3257" t="s">
        <v>18</v>
      </c>
      <c r="E3257">
        <v>97</v>
      </c>
      <c r="F3257" t="s">
        <v>20</v>
      </c>
      <c r="G3257">
        <v>5731.0000000000009</v>
      </c>
      <c r="H3257">
        <v>20308</v>
      </c>
      <c r="I3257">
        <v>18</v>
      </c>
      <c r="J3257">
        <v>24</v>
      </c>
      <c r="K3257">
        <v>24</v>
      </c>
      <c r="L3257">
        <v>9</v>
      </c>
      <c r="M3257">
        <v>9</v>
      </c>
      <c r="N3257">
        <v>11</v>
      </c>
      <c r="P3257">
        <f>G3257*I3257/100</f>
        <v>1031.5800000000002</v>
      </c>
      <c r="Q3257">
        <f t="shared" si="27"/>
        <v>68772.000000000015</v>
      </c>
      <c r="R3257">
        <f>K3257/J3257</f>
        <v>1</v>
      </c>
    </row>
    <row r="3258" spans="1:18" x14ac:dyDescent="0.3">
      <c r="A3258">
        <v>31</v>
      </c>
      <c r="B3258">
        <v>192</v>
      </c>
      <c r="C3258" t="s">
        <v>17</v>
      </c>
      <c r="D3258" t="s">
        <v>18</v>
      </c>
      <c r="E3258">
        <v>32</v>
      </c>
      <c r="F3258" t="s">
        <v>19</v>
      </c>
      <c r="G3258">
        <v>2964.5000000000005</v>
      </c>
      <c r="H3258">
        <v>7747</v>
      </c>
      <c r="I3258">
        <v>18</v>
      </c>
      <c r="J3258">
        <v>3</v>
      </c>
      <c r="K3258">
        <v>2</v>
      </c>
      <c r="L3258">
        <v>2</v>
      </c>
      <c r="M3258">
        <v>2</v>
      </c>
      <c r="N3258">
        <v>2</v>
      </c>
      <c r="P3258">
        <f>G3258*I3258/100</f>
        <v>533.61000000000013</v>
      </c>
      <c r="Q3258">
        <f t="shared" si="27"/>
        <v>35574.000000000007</v>
      </c>
      <c r="R3258">
        <f>K3258/J3258</f>
        <v>0.66666666666666663</v>
      </c>
    </row>
    <row r="3259" spans="1:18" x14ac:dyDescent="0.3">
      <c r="A3259">
        <v>33</v>
      </c>
      <c r="B3259">
        <v>553</v>
      </c>
      <c r="C3259" t="s">
        <v>17</v>
      </c>
      <c r="D3259" t="s">
        <v>15</v>
      </c>
      <c r="E3259">
        <v>74</v>
      </c>
      <c r="F3259" t="s">
        <v>23</v>
      </c>
      <c r="G3259">
        <v>13065.800000000001</v>
      </c>
      <c r="H3259">
        <v>23364</v>
      </c>
      <c r="I3259">
        <v>11</v>
      </c>
      <c r="J3259">
        <v>12</v>
      </c>
      <c r="K3259">
        <v>10</v>
      </c>
      <c r="L3259">
        <v>6</v>
      </c>
      <c r="M3259">
        <v>8</v>
      </c>
      <c r="N3259">
        <v>8</v>
      </c>
      <c r="P3259">
        <f>G3259*I3259/100</f>
        <v>1437.2380000000003</v>
      </c>
      <c r="Q3259">
        <f t="shared" si="27"/>
        <v>156789.6</v>
      </c>
      <c r="R3259">
        <f>K3259/J3259</f>
        <v>0.83333333333333337</v>
      </c>
    </row>
    <row r="3260" spans="1:18" x14ac:dyDescent="0.3">
      <c r="A3260">
        <v>39</v>
      </c>
      <c r="B3260">
        <v>117</v>
      </c>
      <c r="C3260" t="s">
        <v>17</v>
      </c>
      <c r="D3260" t="s">
        <v>18</v>
      </c>
      <c r="E3260">
        <v>99</v>
      </c>
      <c r="F3260" t="s">
        <v>23</v>
      </c>
      <c r="G3260">
        <v>18774.800000000003</v>
      </c>
      <c r="H3260">
        <v>5355</v>
      </c>
      <c r="I3260">
        <v>14</v>
      </c>
      <c r="J3260">
        <v>21</v>
      </c>
      <c r="K3260">
        <v>21</v>
      </c>
      <c r="L3260">
        <v>9</v>
      </c>
      <c r="M3260">
        <v>11</v>
      </c>
      <c r="N3260">
        <v>10</v>
      </c>
      <c r="P3260">
        <f>G3260*I3260/100</f>
        <v>2628.4720000000007</v>
      </c>
      <c r="Q3260">
        <f t="shared" si="27"/>
        <v>225297.60000000003</v>
      </c>
      <c r="R3260">
        <f>K3260/J3260</f>
        <v>1</v>
      </c>
    </row>
    <row r="3261" spans="1:18" x14ac:dyDescent="0.3">
      <c r="A3261">
        <v>43</v>
      </c>
      <c r="B3261">
        <v>185</v>
      </c>
      <c r="C3261" t="s">
        <v>17</v>
      </c>
      <c r="D3261" t="s">
        <v>15</v>
      </c>
      <c r="E3261">
        <v>33</v>
      </c>
      <c r="F3261" t="s">
        <v>20</v>
      </c>
      <c r="G3261">
        <v>2700.5</v>
      </c>
      <c r="H3261">
        <v>10675</v>
      </c>
      <c r="I3261">
        <v>19</v>
      </c>
      <c r="J3261">
        <v>9</v>
      </c>
      <c r="K3261">
        <v>8</v>
      </c>
      <c r="L3261">
        <v>7</v>
      </c>
      <c r="M3261">
        <v>1</v>
      </c>
      <c r="N3261">
        <v>7</v>
      </c>
      <c r="P3261">
        <f>G3261*I3261/100</f>
        <v>513.09500000000003</v>
      </c>
      <c r="Q3261">
        <f t="shared" si="27"/>
        <v>32406</v>
      </c>
      <c r="R3261">
        <f>K3261/J3261</f>
        <v>0.88888888888888884</v>
      </c>
    </row>
    <row r="3262" spans="1:18" x14ac:dyDescent="0.3">
      <c r="A3262">
        <v>49</v>
      </c>
      <c r="B3262">
        <v>1091</v>
      </c>
      <c r="C3262" t="s">
        <v>17</v>
      </c>
      <c r="D3262" t="s">
        <v>15</v>
      </c>
      <c r="E3262">
        <v>90</v>
      </c>
      <c r="F3262" t="s">
        <v>22</v>
      </c>
      <c r="G3262">
        <v>15360.400000000001</v>
      </c>
      <c r="H3262">
        <v>17810</v>
      </c>
      <c r="I3262">
        <v>12</v>
      </c>
      <c r="J3262">
        <v>25</v>
      </c>
      <c r="K3262">
        <v>7</v>
      </c>
      <c r="L3262">
        <v>1</v>
      </c>
      <c r="M3262">
        <v>0</v>
      </c>
      <c r="N3262">
        <v>7</v>
      </c>
      <c r="P3262">
        <f>G3262*I3262/100</f>
        <v>1843.2480000000003</v>
      </c>
      <c r="Q3262">
        <f t="shared" si="27"/>
        <v>184324.80000000002</v>
      </c>
      <c r="R3262">
        <f>K3262/J3262</f>
        <v>0.28000000000000003</v>
      </c>
    </row>
    <row r="3263" spans="1:18" x14ac:dyDescent="0.3">
      <c r="A3263">
        <v>52</v>
      </c>
      <c r="B3263">
        <v>723</v>
      </c>
      <c r="C3263" t="s">
        <v>17</v>
      </c>
      <c r="D3263" t="s">
        <v>18</v>
      </c>
      <c r="E3263">
        <v>85</v>
      </c>
      <c r="F3263" t="s">
        <v>19</v>
      </c>
      <c r="G3263">
        <v>5435.1</v>
      </c>
      <c r="H3263">
        <v>17747</v>
      </c>
      <c r="I3263">
        <v>15</v>
      </c>
      <c r="J3263">
        <v>11</v>
      </c>
      <c r="K3263">
        <v>8</v>
      </c>
      <c r="L3263">
        <v>2</v>
      </c>
      <c r="M3263">
        <v>7</v>
      </c>
      <c r="N3263">
        <v>7</v>
      </c>
      <c r="P3263">
        <f>G3263*I3263/100</f>
        <v>815.26499999999999</v>
      </c>
      <c r="Q3263">
        <f t="shared" si="27"/>
        <v>65221.200000000004</v>
      </c>
      <c r="R3263">
        <f>K3263/J3263</f>
        <v>0.72727272727272729</v>
      </c>
    </row>
    <row r="3264" spans="1:18" x14ac:dyDescent="0.3">
      <c r="A3264">
        <v>27</v>
      </c>
      <c r="B3264">
        <v>1220</v>
      </c>
      <c r="C3264" t="s">
        <v>17</v>
      </c>
      <c r="D3264" t="s">
        <v>15</v>
      </c>
      <c r="E3264">
        <v>85</v>
      </c>
      <c r="F3264" t="s">
        <v>19</v>
      </c>
      <c r="G3264">
        <v>2725.8</v>
      </c>
      <c r="H3264">
        <v>20938</v>
      </c>
      <c r="I3264">
        <v>12</v>
      </c>
      <c r="J3264">
        <v>4</v>
      </c>
      <c r="K3264">
        <v>4</v>
      </c>
      <c r="L3264">
        <v>3</v>
      </c>
      <c r="M3264">
        <v>1</v>
      </c>
      <c r="N3264">
        <v>2</v>
      </c>
      <c r="P3264">
        <f>G3264*I3264/100</f>
        <v>327.096</v>
      </c>
      <c r="Q3264">
        <f t="shared" si="27"/>
        <v>32709.600000000002</v>
      </c>
      <c r="R3264">
        <f>K3264/J3264</f>
        <v>1</v>
      </c>
    </row>
    <row r="3265" spans="1:18" x14ac:dyDescent="0.3">
      <c r="A3265">
        <v>32</v>
      </c>
      <c r="B3265">
        <v>588</v>
      </c>
      <c r="C3265" t="s">
        <v>14</v>
      </c>
      <c r="D3265" t="s">
        <v>15</v>
      </c>
      <c r="E3265">
        <v>65</v>
      </c>
      <c r="F3265" t="s">
        <v>16</v>
      </c>
      <c r="G3265">
        <v>5750.8</v>
      </c>
      <c r="H3265">
        <v>24624</v>
      </c>
      <c r="I3265">
        <v>11</v>
      </c>
      <c r="J3265">
        <v>13</v>
      </c>
      <c r="K3265">
        <v>13</v>
      </c>
      <c r="L3265">
        <v>12</v>
      </c>
      <c r="M3265">
        <v>11</v>
      </c>
      <c r="N3265">
        <v>9</v>
      </c>
      <c r="P3265">
        <f>G3265*I3265/100</f>
        <v>632.58800000000008</v>
      </c>
      <c r="Q3265">
        <f t="shared" si="27"/>
        <v>69009.600000000006</v>
      </c>
      <c r="R3265">
        <f>K3265/J3265</f>
        <v>1</v>
      </c>
    </row>
    <row r="3266" spans="1:18" x14ac:dyDescent="0.3">
      <c r="A3266">
        <v>27</v>
      </c>
      <c r="B3266">
        <v>1377</v>
      </c>
      <c r="C3266" t="s">
        <v>14</v>
      </c>
      <c r="D3266" t="s">
        <v>18</v>
      </c>
      <c r="E3266">
        <v>74</v>
      </c>
      <c r="F3266" t="s">
        <v>16</v>
      </c>
      <c r="G3266">
        <v>4925.8</v>
      </c>
      <c r="H3266">
        <v>5242</v>
      </c>
      <c r="I3266">
        <v>11</v>
      </c>
      <c r="J3266">
        <v>5</v>
      </c>
      <c r="K3266">
        <v>5</v>
      </c>
      <c r="L3266">
        <v>4</v>
      </c>
      <c r="M3266">
        <v>0</v>
      </c>
      <c r="N3266">
        <v>4</v>
      </c>
      <c r="P3266">
        <f>G3266*I3266/100</f>
        <v>541.83800000000008</v>
      </c>
      <c r="Q3266">
        <f t="shared" si="27"/>
        <v>59109.600000000006</v>
      </c>
      <c r="R3266">
        <f>K3266/J3266</f>
        <v>1</v>
      </c>
    </row>
    <row r="3267" spans="1:18" x14ac:dyDescent="0.3">
      <c r="A3267">
        <v>31</v>
      </c>
      <c r="B3267">
        <v>691</v>
      </c>
      <c r="C3267" t="s">
        <v>14</v>
      </c>
      <c r="D3267" t="s">
        <v>18</v>
      </c>
      <c r="E3267">
        <v>73</v>
      </c>
      <c r="F3267" t="s">
        <v>16</v>
      </c>
      <c r="G3267">
        <v>8301.7000000000007</v>
      </c>
      <c r="H3267">
        <v>7143</v>
      </c>
      <c r="I3267">
        <v>12</v>
      </c>
      <c r="J3267">
        <v>13</v>
      </c>
      <c r="K3267">
        <v>7</v>
      </c>
      <c r="L3267">
        <v>7</v>
      </c>
      <c r="M3267">
        <v>1</v>
      </c>
      <c r="N3267">
        <v>7</v>
      </c>
      <c r="P3267">
        <f>G3267*I3267/100</f>
        <v>996.20400000000006</v>
      </c>
      <c r="Q3267">
        <f t="shared" ref="Q3267:Q3330" si="28">G3267*12</f>
        <v>99620.400000000009</v>
      </c>
      <c r="R3267">
        <f>K3267/J3267</f>
        <v>0.53846153846153844</v>
      </c>
    </row>
    <row r="3268" spans="1:18" x14ac:dyDescent="0.3">
      <c r="A3268">
        <v>32</v>
      </c>
      <c r="B3268">
        <v>1018</v>
      </c>
      <c r="C3268" t="s">
        <v>17</v>
      </c>
      <c r="D3268" t="s">
        <v>15</v>
      </c>
      <c r="E3268">
        <v>74</v>
      </c>
      <c r="F3268" t="s">
        <v>19</v>
      </c>
      <c r="G3268">
        <v>5560.5</v>
      </c>
      <c r="H3268">
        <v>10557</v>
      </c>
      <c r="I3268">
        <v>16</v>
      </c>
      <c r="J3268">
        <v>10</v>
      </c>
      <c r="K3268">
        <v>7</v>
      </c>
      <c r="L3268">
        <v>7</v>
      </c>
      <c r="M3268">
        <v>0</v>
      </c>
      <c r="N3268">
        <v>7</v>
      </c>
      <c r="P3268">
        <f>G3268*I3268/100</f>
        <v>889.68</v>
      </c>
      <c r="Q3268">
        <f t="shared" si="28"/>
        <v>66726</v>
      </c>
      <c r="R3268">
        <f>K3268/J3268</f>
        <v>0.7</v>
      </c>
    </row>
    <row r="3269" spans="1:18" x14ac:dyDescent="0.3">
      <c r="A3269">
        <v>28</v>
      </c>
      <c r="B3269">
        <v>1157</v>
      </c>
      <c r="C3269" t="s">
        <v>17</v>
      </c>
      <c r="D3269" t="s">
        <v>18</v>
      </c>
      <c r="E3269">
        <v>84</v>
      </c>
      <c r="F3269" t="s">
        <v>19</v>
      </c>
      <c r="G3269">
        <v>3810.4</v>
      </c>
      <c r="H3269">
        <v>24737</v>
      </c>
      <c r="I3269">
        <v>13</v>
      </c>
      <c r="J3269">
        <v>5</v>
      </c>
      <c r="K3269">
        <v>3</v>
      </c>
      <c r="L3269">
        <v>2</v>
      </c>
      <c r="M3269">
        <v>2</v>
      </c>
      <c r="N3269">
        <v>2</v>
      </c>
      <c r="P3269">
        <f>G3269*I3269/100</f>
        <v>495.35200000000003</v>
      </c>
      <c r="Q3269">
        <f t="shared" si="28"/>
        <v>45724.800000000003</v>
      </c>
      <c r="R3269">
        <f>K3269/J3269</f>
        <v>0.6</v>
      </c>
    </row>
    <row r="3270" spans="1:18" x14ac:dyDescent="0.3">
      <c r="A3270">
        <v>30</v>
      </c>
      <c r="B3270">
        <v>1275</v>
      </c>
      <c r="C3270" t="s">
        <v>17</v>
      </c>
      <c r="D3270" t="s">
        <v>15</v>
      </c>
      <c r="E3270">
        <v>64</v>
      </c>
      <c r="F3270" t="s">
        <v>19</v>
      </c>
      <c r="G3270">
        <v>6352.5000000000009</v>
      </c>
      <c r="H3270">
        <v>11934</v>
      </c>
      <c r="I3270">
        <v>13</v>
      </c>
      <c r="J3270">
        <v>11</v>
      </c>
      <c r="K3270">
        <v>10</v>
      </c>
      <c r="L3270">
        <v>8</v>
      </c>
      <c r="M3270">
        <v>1</v>
      </c>
      <c r="N3270">
        <v>9</v>
      </c>
      <c r="P3270">
        <f>G3270*I3270/100</f>
        <v>825.82500000000016</v>
      </c>
      <c r="Q3270">
        <f t="shared" si="28"/>
        <v>76230.000000000015</v>
      </c>
      <c r="R3270">
        <f>K3270/J3270</f>
        <v>0.90909090909090906</v>
      </c>
    </row>
    <row r="3271" spans="1:18" x14ac:dyDescent="0.3">
      <c r="A3271">
        <v>31</v>
      </c>
      <c r="B3271">
        <v>798</v>
      </c>
      <c r="C3271" t="s">
        <v>17</v>
      </c>
      <c r="D3271" t="s">
        <v>15</v>
      </c>
      <c r="E3271">
        <v>48</v>
      </c>
      <c r="F3271" t="s">
        <v>21</v>
      </c>
      <c r="G3271">
        <v>9837.3000000000011</v>
      </c>
      <c r="H3271">
        <v>14034</v>
      </c>
      <c r="I3271">
        <v>24</v>
      </c>
      <c r="J3271">
        <v>10</v>
      </c>
      <c r="K3271">
        <v>10</v>
      </c>
      <c r="L3271">
        <v>9</v>
      </c>
      <c r="M3271">
        <v>8</v>
      </c>
      <c r="N3271">
        <v>9</v>
      </c>
      <c r="P3271">
        <f>G3271*I3271/100</f>
        <v>2360.9520000000002</v>
      </c>
      <c r="Q3271">
        <f t="shared" si="28"/>
        <v>118047.6</v>
      </c>
      <c r="R3271">
        <f>K3271/J3271</f>
        <v>1</v>
      </c>
    </row>
    <row r="3272" spans="1:18" x14ac:dyDescent="0.3">
      <c r="A3272">
        <v>39</v>
      </c>
      <c r="B3272">
        <v>672</v>
      </c>
      <c r="C3272" t="s">
        <v>17</v>
      </c>
      <c r="D3272" t="s">
        <v>18</v>
      </c>
      <c r="E3272">
        <v>54</v>
      </c>
      <c r="F3272" t="s">
        <v>23</v>
      </c>
      <c r="G3272">
        <v>21199.200000000001</v>
      </c>
      <c r="H3272">
        <v>21141</v>
      </c>
      <c r="I3272">
        <v>15</v>
      </c>
      <c r="J3272">
        <v>21</v>
      </c>
      <c r="K3272">
        <v>21</v>
      </c>
      <c r="L3272">
        <v>9</v>
      </c>
      <c r="M3272">
        <v>13</v>
      </c>
      <c r="N3272">
        <v>3</v>
      </c>
      <c r="P3272">
        <f>G3272*I3272/100</f>
        <v>3179.88</v>
      </c>
      <c r="Q3272">
        <f t="shared" si="28"/>
        <v>254390.40000000002</v>
      </c>
      <c r="R3272">
        <f>K3272/J3272</f>
        <v>1</v>
      </c>
    </row>
    <row r="3273" spans="1:18" x14ac:dyDescent="0.3">
      <c r="A3273">
        <v>39</v>
      </c>
      <c r="B3273">
        <v>1162</v>
      </c>
      <c r="C3273" t="s">
        <v>14</v>
      </c>
      <c r="D3273" t="s">
        <v>15</v>
      </c>
      <c r="E3273">
        <v>41</v>
      </c>
      <c r="F3273" t="s">
        <v>16</v>
      </c>
      <c r="G3273">
        <v>5761.8</v>
      </c>
      <c r="H3273">
        <v>17778</v>
      </c>
      <c r="I3273">
        <v>18</v>
      </c>
      <c r="J3273">
        <v>12</v>
      </c>
      <c r="K3273">
        <v>1</v>
      </c>
      <c r="L3273">
        <v>0</v>
      </c>
      <c r="M3273">
        <v>0</v>
      </c>
      <c r="N3273">
        <v>0</v>
      </c>
      <c r="P3273">
        <f>G3273*I3273/100</f>
        <v>1037.124</v>
      </c>
      <c r="Q3273">
        <f t="shared" si="28"/>
        <v>69141.600000000006</v>
      </c>
      <c r="R3273">
        <f>K3273/J3273</f>
        <v>8.3333333333333329E-2</v>
      </c>
    </row>
    <row r="3274" spans="1:18" x14ac:dyDescent="0.3">
      <c r="A3274">
        <v>33</v>
      </c>
      <c r="B3274">
        <v>508</v>
      </c>
      <c r="C3274" t="s">
        <v>14</v>
      </c>
      <c r="D3274" t="s">
        <v>18</v>
      </c>
      <c r="E3274">
        <v>46</v>
      </c>
      <c r="F3274" t="s">
        <v>16</v>
      </c>
      <c r="G3274">
        <v>5150.2000000000007</v>
      </c>
      <c r="H3274">
        <v>4317</v>
      </c>
      <c r="I3274">
        <v>14</v>
      </c>
      <c r="J3274">
        <v>9</v>
      </c>
      <c r="K3274">
        <v>7</v>
      </c>
      <c r="L3274">
        <v>7</v>
      </c>
      <c r="M3274">
        <v>0</v>
      </c>
      <c r="N3274">
        <v>1</v>
      </c>
      <c r="P3274">
        <f>G3274*I3274/100</f>
        <v>721.02800000000013</v>
      </c>
      <c r="Q3274">
        <f t="shared" si="28"/>
        <v>61802.400000000009</v>
      </c>
      <c r="R3274">
        <f>K3274/J3274</f>
        <v>0.77777777777777779</v>
      </c>
    </row>
    <row r="3275" spans="1:18" x14ac:dyDescent="0.3">
      <c r="A3275">
        <v>47</v>
      </c>
      <c r="B3275">
        <v>1482</v>
      </c>
      <c r="C3275" t="s">
        <v>17</v>
      </c>
      <c r="D3275" t="s">
        <v>18</v>
      </c>
      <c r="E3275">
        <v>42</v>
      </c>
      <c r="F3275" t="s">
        <v>25</v>
      </c>
      <c r="G3275">
        <v>20130</v>
      </c>
      <c r="H3275">
        <v>16375</v>
      </c>
      <c r="I3275">
        <v>11</v>
      </c>
      <c r="J3275">
        <v>21</v>
      </c>
      <c r="K3275">
        <v>3</v>
      </c>
      <c r="L3275">
        <v>2</v>
      </c>
      <c r="M3275">
        <v>1</v>
      </c>
      <c r="N3275">
        <v>1</v>
      </c>
      <c r="P3275">
        <f>G3275*I3275/100</f>
        <v>2214.3000000000002</v>
      </c>
      <c r="Q3275">
        <f t="shared" si="28"/>
        <v>241560</v>
      </c>
      <c r="R3275">
        <f>K3275/J3275</f>
        <v>0.14285714285714285</v>
      </c>
    </row>
    <row r="3276" spans="1:18" x14ac:dyDescent="0.3">
      <c r="A3276">
        <v>43</v>
      </c>
      <c r="B3276">
        <v>559</v>
      </c>
      <c r="C3276" t="s">
        <v>17</v>
      </c>
      <c r="D3276" t="s">
        <v>15</v>
      </c>
      <c r="E3276">
        <v>82</v>
      </c>
      <c r="F3276" t="s">
        <v>20</v>
      </c>
      <c r="G3276">
        <v>5782.7000000000007</v>
      </c>
      <c r="H3276">
        <v>6227</v>
      </c>
      <c r="I3276">
        <v>11</v>
      </c>
      <c r="J3276">
        <v>9</v>
      </c>
      <c r="K3276">
        <v>9</v>
      </c>
      <c r="L3276">
        <v>7</v>
      </c>
      <c r="M3276">
        <v>0</v>
      </c>
      <c r="N3276">
        <v>0</v>
      </c>
      <c r="P3276">
        <f>G3276*I3276/100</f>
        <v>636.09700000000009</v>
      </c>
      <c r="Q3276">
        <f t="shared" si="28"/>
        <v>69392.400000000009</v>
      </c>
      <c r="R3276">
        <f>K3276/J3276</f>
        <v>1</v>
      </c>
    </row>
    <row r="3277" spans="1:18" x14ac:dyDescent="0.3">
      <c r="A3277">
        <v>27</v>
      </c>
      <c r="B3277">
        <v>210</v>
      </c>
      <c r="C3277" t="s">
        <v>14</v>
      </c>
      <c r="D3277" t="s">
        <v>18</v>
      </c>
      <c r="E3277">
        <v>73</v>
      </c>
      <c r="F3277" t="s">
        <v>16</v>
      </c>
      <c r="G3277">
        <v>6983.9000000000005</v>
      </c>
      <c r="H3277">
        <v>22107</v>
      </c>
      <c r="I3277">
        <v>13</v>
      </c>
      <c r="J3277">
        <v>6</v>
      </c>
      <c r="K3277">
        <v>5</v>
      </c>
      <c r="L3277">
        <v>4</v>
      </c>
      <c r="M3277">
        <v>1</v>
      </c>
      <c r="N3277">
        <v>4</v>
      </c>
      <c r="P3277">
        <f>G3277*I3277/100</f>
        <v>907.90700000000015</v>
      </c>
      <c r="Q3277">
        <f t="shared" si="28"/>
        <v>83806.8</v>
      </c>
      <c r="R3277">
        <f>K3277/J3277</f>
        <v>0.83333333333333337</v>
      </c>
    </row>
    <row r="3278" spans="1:18" x14ac:dyDescent="0.3">
      <c r="A3278">
        <v>54</v>
      </c>
      <c r="B3278">
        <v>928</v>
      </c>
      <c r="C3278" t="s">
        <v>17</v>
      </c>
      <c r="D3278" t="s">
        <v>15</v>
      </c>
      <c r="E3278">
        <v>31</v>
      </c>
      <c r="F3278" t="s">
        <v>19</v>
      </c>
      <c r="G3278">
        <v>5355.9000000000005</v>
      </c>
      <c r="H3278">
        <v>16885</v>
      </c>
      <c r="I3278">
        <v>12</v>
      </c>
      <c r="J3278">
        <v>20</v>
      </c>
      <c r="K3278">
        <v>4</v>
      </c>
      <c r="L3278">
        <v>3</v>
      </c>
      <c r="M3278">
        <v>0</v>
      </c>
      <c r="N3278">
        <v>3</v>
      </c>
      <c r="P3278">
        <f>G3278*I3278/100</f>
        <v>642.70800000000008</v>
      </c>
      <c r="Q3278">
        <f t="shared" si="28"/>
        <v>64270.8</v>
      </c>
      <c r="R3278">
        <f>K3278/J3278</f>
        <v>0.2</v>
      </c>
    </row>
    <row r="3279" spans="1:18" x14ac:dyDescent="0.3">
      <c r="A3279">
        <v>43</v>
      </c>
      <c r="B3279">
        <v>1001</v>
      </c>
      <c r="C3279" t="s">
        <v>17</v>
      </c>
      <c r="D3279" t="s">
        <v>15</v>
      </c>
      <c r="E3279">
        <v>43</v>
      </c>
      <c r="F3279" t="s">
        <v>22</v>
      </c>
      <c r="G3279">
        <v>10983.5</v>
      </c>
      <c r="H3279">
        <v>9262</v>
      </c>
      <c r="I3279">
        <v>16</v>
      </c>
      <c r="J3279">
        <v>10</v>
      </c>
      <c r="K3279">
        <v>1</v>
      </c>
      <c r="L3279">
        <v>0</v>
      </c>
      <c r="M3279">
        <v>0</v>
      </c>
      <c r="N3279">
        <v>0</v>
      </c>
      <c r="P3279">
        <f>G3279*I3279/100</f>
        <v>1757.36</v>
      </c>
      <c r="Q3279">
        <f t="shared" si="28"/>
        <v>131802</v>
      </c>
      <c r="R3279">
        <f>K3279/J3279</f>
        <v>0.1</v>
      </c>
    </row>
    <row r="3280" spans="1:18" x14ac:dyDescent="0.3">
      <c r="A3280">
        <v>45</v>
      </c>
      <c r="B3280">
        <v>549</v>
      </c>
      <c r="C3280" t="s">
        <v>17</v>
      </c>
      <c r="D3280" t="s">
        <v>18</v>
      </c>
      <c r="E3280">
        <v>75</v>
      </c>
      <c r="F3280" t="s">
        <v>19</v>
      </c>
      <c r="G3280">
        <v>4066.7000000000003</v>
      </c>
      <c r="H3280">
        <v>9278</v>
      </c>
      <c r="I3280">
        <v>14</v>
      </c>
      <c r="J3280">
        <v>12</v>
      </c>
      <c r="K3280">
        <v>10</v>
      </c>
      <c r="L3280">
        <v>9</v>
      </c>
      <c r="M3280">
        <v>9</v>
      </c>
      <c r="N3280">
        <v>8</v>
      </c>
      <c r="P3280">
        <f>G3280*I3280/100</f>
        <v>569.33800000000008</v>
      </c>
      <c r="Q3280">
        <f t="shared" si="28"/>
        <v>48800.4</v>
      </c>
      <c r="R3280">
        <f>K3280/J3280</f>
        <v>0.83333333333333337</v>
      </c>
    </row>
    <row r="3281" spans="1:18" x14ac:dyDescent="0.3">
      <c r="A3281">
        <v>40</v>
      </c>
      <c r="B3281">
        <v>1124</v>
      </c>
      <c r="C3281" t="s">
        <v>14</v>
      </c>
      <c r="D3281" t="s">
        <v>18</v>
      </c>
      <c r="E3281">
        <v>57</v>
      </c>
      <c r="F3281" t="s">
        <v>16</v>
      </c>
      <c r="G3281">
        <v>8202.7000000000007</v>
      </c>
      <c r="H3281">
        <v>13273</v>
      </c>
      <c r="I3281">
        <v>22</v>
      </c>
      <c r="J3281">
        <v>6</v>
      </c>
      <c r="K3281">
        <v>4</v>
      </c>
      <c r="L3281">
        <v>3</v>
      </c>
      <c r="M3281">
        <v>0</v>
      </c>
      <c r="N3281">
        <v>2</v>
      </c>
      <c r="P3281">
        <f>G3281*I3281/100</f>
        <v>1804.5940000000003</v>
      </c>
      <c r="Q3281">
        <f t="shared" si="28"/>
        <v>98432.400000000009</v>
      </c>
      <c r="R3281">
        <f>K3281/J3281</f>
        <v>0.66666666666666663</v>
      </c>
    </row>
    <row r="3282" spans="1:18" x14ac:dyDescent="0.3">
      <c r="A3282">
        <v>29</v>
      </c>
      <c r="B3282">
        <v>318</v>
      </c>
      <c r="C3282" t="s">
        <v>17</v>
      </c>
      <c r="D3282" t="s">
        <v>18</v>
      </c>
      <c r="E3282">
        <v>77</v>
      </c>
      <c r="F3282" t="s">
        <v>20</v>
      </c>
      <c r="G3282">
        <v>2330.9</v>
      </c>
      <c r="H3282">
        <v>4759</v>
      </c>
      <c r="I3282">
        <v>11</v>
      </c>
      <c r="J3282">
        <v>7</v>
      </c>
      <c r="K3282">
        <v>7</v>
      </c>
      <c r="L3282">
        <v>7</v>
      </c>
      <c r="M3282">
        <v>0</v>
      </c>
      <c r="N3282">
        <v>7</v>
      </c>
      <c r="P3282">
        <f>G3282*I3282/100</f>
        <v>256.399</v>
      </c>
      <c r="Q3282">
        <f t="shared" si="28"/>
        <v>27970.800000000003</v>
      </c>
      <c r="R3282">
        <f>K3282/J3282</f>
        <v>1</v>
      </c>
    </row>
    <row r="3283" spans="1:18" x14ac:dyDescent="0.3">
      <c r="A3283">
        <v>29</v>
      </c>
      <c r="B3283">
        <v>738</v>
      </c>
      <c r="C3283" t="s">
        <v>17</v>
      </c>
      <c r="D3283" t="s">
        <v>18</v>
      </c>
      <c r="E3283">
        <v>30</v>
      </c>
      <c r="F3283" t="s">
        <v>20</v>
      </c>
      <c r="G3283">
        <v>4381.3</v>
      </c>
      <c r="H3283">
        <v>7621</v>
      </c>
      <c r="I3283">
        <v>17</v>
      </c>
      <c r="J3283">
        <v>4</v>
      </c>
      <c r="K3283">
        <v>3</v>
      </c>
      <c r="L3283">
        <v>2</v>
      </c>
      <c r="M3283">
        <v>2</v>
      </c>
      <c r="N3283">
        <v>2</v>
      </c>
      <c r="P3283">
        <f>G3283*I3283/100</f>
        <v>744.82100000000003</v>
      </c>
      <c r="Q3283">
        <f t="shared" si="28"/>
        <v>52575.600000000006</v>
      </c>
      <c r="R3283">
        <f>K3283/J3283</f>
        <v>0.75</v>
      </c>
    </row>
    <row r="3284" spans="1:18" x14ac:dyDescent="0.3">
      <c r="A3284">
        <v>30</v>
      </c>
      <c r="B3284">
        <v>570</v>
      </c>
      <c r="C3284" t="s">
        <v>14</v>
      </c>
      <c r="D3284" t="s">
        <v>15</v>
      </c>
      <c r="E3284">
        <v>30</v>
      </c>
      <c r="F3284" t="s">
        <v>16</v>
      </c>
      <c r="G3284">
        <v>6729.8</v>
      </c>
      <c r="H3284">
        <v>5431</v>
      </c>
      <c r="I3284">
        <v>13</v>
      </c>
      <c r="J3284">
        <v>10</v>
      </c>
      <c r="K3284">
        <v>10</v>
      </c>
      <c r="L3284">
        <v>9</v>
      </c>
      <c r="M3284">
        <v>1</v>
      </c>
      <c r="N3284">
        <v>2</v>
      </c>
      <c r="P3284">
        <f>G3284*I3284/100</f>
        <v>874.87400000000014</v>
      </c>
      <c r="Q3284">
        <f t="shared" si="28"/>
        <v>80757.600000000006</v>
      </c>
      <c r="R3284">
        <f>K3284/J3284</f>
        <v>1</v>
      </c>
    </row>
    <row r="3285" spans="1:18" x14ac:dyDescent="0.3">
      <c r="A3285">
        <v>27</v>
      </c>
      <c r="B3285">
        <v>1130</v>
      </c>
      <c r="C3285" t="s">
        <v>14</v>
      </c>
      <c r="D3285" t="s">
        <v>15</v>
      </c>
      <c r="E3285">
        <v>56</v>
      </c>
      <c r="F3285" t="s">
        <v>16</v>
      </c>
      <c r="G3285">
        <v>6835.4000000000005</v>
      </c>
      <c r="H3285">
        <v>3415</v>
      </c>
      <c r="I3285">
        <v>18</v>
      </c>
      <c r="J3285">
        <v>8</v>
      </c>
      <c r="K3285">
        <v>8</v>
      </c>
      <c r="L3285">
        <v>7</v>
      </c>
      <c r="M3285">
        <v>0</v>
      </c>
      <c r="N3285">
        <v>7</v>
      </c>
      <c r="P3285">
        <f>G3285*I3285/100</f>
        <v>1230.3720000000001</v>
      </c>
      <c r="Q3285">
        <f t="shared" si="28"/>
        <v>82024.800000000003</v>
      </c>
      <c r="R3285">
        <f>K3285/J3285</f>
        <v>1</v>
      </c>
    </row>
    <row r="3286" spans="1:18" x14ac:dyDescent="0.3">
      <c r="A3286">
        <v>37</v>
      </c>
      <c r="B3286">
        <v>1192</v>
      </c>
      <c r="C3286" t="s">
        <v>17</v>
      </c>
      <c r="D3286" t="s">
        <v>18</v>
      </c>
      <c r="E3286">
        <v>61</v>
      </c>
      <c r="F3286" t="s">
        <v>21</v>
      </c>
      <c r="G3286">
        <v>6981.7000000000007</v>
      </c>
      <c r="H3286">
        <v>23177</v>
      </c>
      <c r="I3286">
        <v>16</v>
      </c>
      <c r="J3286">
        <v>8</v>
      </c>
      <c r="K3286">
        <v>6</v>
      </c>
      <c r="L3286">
        <v>2</v>
      </c>
      <c r="M3286">
        <v>0</v>
      </c>
      <c r="N3286">
        <v>4</v>
      </c>
      <c r="P3286">
        <f>G3286*I3286/100</f>
        <v>1117.0720000000001</v>
      </c>
      <c r="Q3286">
        <f t="shared" si="28"/>
        <v>83780.400000000009</v>
      </c>
      <c r="R3286">
        <f>K3286/J3286</f>
        <v>0.75</v>
      </c>
    </row>
    <row r="3287" spans="1:18" x14ac:dyDescent="0.3">
      <c r="A3287">
        <v>38</v>
      </c>
      <c r="B3287">
        <v>343</v>
      </c>
      <c r="C3287" t="s">
        <v>17</v>
      </c>
      <c r="D3287" t="s">
        <v>18</v>
      </c>
      <c r="E3287">
        <v>92</v>
      </c>
      <c r="F3287" t="s">
        <v>25</v>
      </c>
      <c r="G3287">
        <v>12661.000000000002</v>
      </c>
      <c r="H3287">
        <v>15682</v>
      </c>
      <c r="I3287">
        <v>14</v>
      </c>
      <c r="J3287">
        <v>12</v>
      </c>
      <c r="K3287">
        <v>11</v>
      </c>
      <c r="L3287">
        <v>10</v>
      </c>
      <c r="M3287">
        <v>2</v>
      </c>
      <c r="N3287">
        <v>9</v>
      </c>
      <c r="P3287">
        <f>G3287*I3287/100</f>
        <v>1772.5400000000002</v>
      </c>
      <c r="Q3287">
        <f t="shared" si="28"/>
        <v>151932.00000000003</v>
      </c>
      <c r="R3287">
        <f>K3287/J3287</f>
        <v>0.91666666666666663</v>
      </c>
    </row>
    <row r="3288" spans="1:18" x14ac:dyDescent="0.3">
      <c r="A3288">
        <v>31</v>
      </c>
      <c r="B3288">
        <v>1232</v>
      </c>
      <c r="C3288" t="s">
        <v>17</v>
      </c>
      <c r="D3288" t="s">
        <v>15</v>
      </c>
      <c r="E3288">
        <v>39</v>
      </c>
      <c r="F3288" t="s">
        <v>21</v>
      </c>
      <c r="G3288">
        <v>7857.3</v>
      </c>
      <c r="H3288">
        <v>25713</v>
      </c>
      <c r="I3288">
        <v>14</v>
      </c>
      <c r="J3288">
        <v>11</v>
      </c>
      <c r="K3288">
        <v>11</v>
      </c>
      <c r="L3288">
        <v>9</v>
      </c>
      <c r="M3288">
        <v>4</v>
      </c>
      <c r="N3288">
        <v>10</v>
      </c>
      <c r="P3288">
        <f>G3288*I3288/100</f>
        <v>1100.0219999999999</v>
      </c>
      <c r="Q3288">
        <f t="shared" si="28"/>
        <v>94287.6</v>
      </c>
      <c r="R3288">
        <f>K3288/J3288</f>
        <v>1</v>
      </c>
    </row>
    <row r="3289" spans="1:18" x14ac:dyDescent="0.3">
      <c r="A3289">
        <v>29</v>
      </c>
      <c r="B3289">
        <v>144</v>
      </c>
      <c r="C3289" t="s">
        <v>14</v>
      </c>
      <c r="D3289" t="s">
        <v>15</v>
      </c>
      <c r="E3289">
        <v>39</v>
      </c>
      <c r="F3289" t="s">
        <v>16</v>
      </c>
      <c r="G3289">
        <v>9094.8000000000011</v>
      </c>
      <c r="H3289">
        <v>11866</v>
      </c>
      <c r="I3289">
        <v>14</v>
      </c>
      <c r="J3289">
        <v>7</v>
      </c>
      <c r="K3289">
        <v>7</v>
      </c>
      <c r="L3289">
        <v>7</v>
      </c>
      <c r="M3289">
        <v>1</v>
      </c>
      <c r="N3289">
        <v>7</v>
      </c>
      <c r="P3289">
        <f>G3289*I3289/100</f>
        <v>1273.2720000000002</v>
      </c>
      <c r="Q3289">
        <f t="shared" si="28"/>
        <v>109137.60000000001</v>
      </c>
      <c r="R3289">
        <f>K3289/J3289</f>
        <v>1</v>
      </c>
    </row>
    <row r="3290" spans="1:18" x14ac:dyDescent="0.3">
      <c r="A3290">
        <v>35</v>
      </c>
      <c r="B3290">
        <v>1296</v>
      </c>
      <c r="C3290" t="s">
        <v>17</v>
      </c>
      <c r="D3290" t="s">
        <v>18</v>
      </c>
      <c r="E3290">
        <v>62</v>
      </c>
      <c r="F3290" t="s">
        <v>21</v>
      </c>
      <c r="G3290">
        <v>8904.5</v>
      </c>
      <c r="H3290">
        <v>18264</v>
      </c>
      <c r="I3290">
        <v>13</v>
      </c>
      <c r="J3290">
        <v>17</v>
      </c>
      <c r="K3290">
        <v>16</v>
      </c>
      <c r="L3290">
        <v>6</v>
      </c>
      <c r="M3290">
        <v>0</v>
      </c>
      <c r="N3290">
        <v>13</v>
      </c>
      <c r="P3290">
        <f>G3290*I3290/100</f>
        <v>1157.585</v>
      </c>
      <c r="Q3290">
        <f t="shared" si="28"/>
        <v>106854</v>
      </c>
      <c r="R3290">
        <f>K3290/J3290</f>
        <v>0.94117647058823528</v>
      </c>
    </row>
    <row r="3291" spans="1:18" x14ac:dyDescent="0.3">
      <c r="A3291">
        <v>23</v>
      </c>
      <c r="B3291">
        <v>1309</v>
      </c>
      <c r="C3291" t="s">
        <v>17</v>
      </c>
      <c r="D3291" t="s">
        <v>18</v>
      </c>
      <c r="E3291">
        <v>83</v>
      </c>
      <c r="F3291" t="s">
        <v>19</v>
      </c>
      <c r="G3291">
        <v>3194.4</v>
      </c>
      <c r="H3291">
        <v>16092</v>
      </c>
      <c r="I3291">
        <v>12</v>
      </c>
      <c r="J3291">
        <v>4</v>
      </c>
      <c r="K3291">
        <v>4</v>
      </c>
      <c r="L3291">
        <v>2</v>
      </c>
      <c r="M3291">
        <v>0</v>
      </c>
      <c r="N3291">
        <v>2</v>
      </c>
      <c r="P3291">
        <f>G3291*I3291/100</f>
        <v>383.32800000000003</v>
      </c>
      <c r="Q3291">
        <f t="shared" si="28"/>
        <v>38332.800000000003</v>
      </c>
      <c r="R3291">
        <f>K3291/J3291</f>
        <v>1</v>
      </c>
    </row>
    <row r="3292" spans="1:18" x14ac:dyDescent="0.3">
      <c r="A3292">
        <v>41</v>
      </c>
      <c r="B3292">
        <v>483</v>
      </c>
      <c r="C3292" t="s">
        <v>17</v>
      </c>
      <c r="D3292" t="s">
        <v>18</v>
      </c>
      <c r="E3292">
        <v>95</v>
      </c>
      <c r="F3292" t="s">
        <v>21</v>
      </c>
      <c r="G3292">
        <v>6635.2000000000007</v>
      </c>
      <c r="H3292">
        <v>10110</v>
      </c>
      <c r="I3292">
        <v>15</v>
      </c>
      <c r="J3292">
        <v>8</v>
      </c>
      <c r="K3292">
        <v>5</v>
      </c>
      <c r="L3292">
        <v>4</v>
      </c>
      <c r="M3292">
        <v>1</v>
      </c>
      <c r="N3292">
        <v>2</v>
      </c>
      <c r="P3292">
        <f>G3292*I3292/100</f>
        <v>995.2800000000002</v>
      </c>
      <c r="Q3292">
        <f t="shared" si="28"/>
        <v>79622.400000000009</v>
      </c>
      <c r="R3292">
        <f>K3292/J3292</f>
        <v>0.625</v>
      </c>
    </row>
    <row r="3293" spans="1:18" x14ac:dyDescent="0.3">
      <c r="A3293">
        <v>47</v>
      </c>
      <c r="B3293">
        <v>1309</v>
      </c>
      <c r="C3293" t="s">
        <v>14</v>
      </c>
      <c r="D3293" t="s">
        <v>18</v>
      </c>
      <c r="E3293">
        <v>99</v>
      </c>
      <c r="F3293" t="s">
        <v>24</v>
      </c>
      <c r="G3293">
        <v>3273.6000000000004</v>
      </c>
      <c r="H3293">
        <v>25751</v>
      </c>
      <c r="I3293">
        <v>19</v>
      </c>
      <c r="J3293">
        <v>5</v>
      </c>
      <c r="K3293">
        <v>0</v>
      </c>
      <c r="L3293">
        <v>0</v>
      </c>
      <c r="M3293">
        <v>0</v>
      </c>
      <c r="N3293">
        <v>0</v>
      </c>
      <c r="P3293">
        <f>G3293*I3293/100</f>
        <v>621.98400000000004</v>
      </c>
      <c r="Q3293">
        <f t="shared" si="28"/>
        <v>39283.200000000004</v>
      </c>
      <c r="R3293">
        <f>K3293/J3293</f>
        <v>0</v>
      </c>
    </row>
    <row r="3294" spans="1:18" x14ac:dyDescent="0.3">
      <c r="A3294">
        <v>42</v>
      </c>
      <c r="B3294">
        <v>810</v>
      </c>
      <c r="C3294" t="s">
        <v>17</v>
      </c>
      <c r="D3294" t="s">
        <v>15</v>
      </c>
      <c r="E3294">
        <v>44</v>
      </c>
      <c r="F3294" t="s">
        <v>25</v>
      </c>
      <c r="G3294">
        <v>17591.2</v>
      </c>
      <c r="H3294">
        <v>15901</v>
      </c>
      <c r="I3294">
        <v>14</v>
      </c>
      <c r="J3294">
        <v>16</v>
      </c>
      <c r="K3294">
        <v>1</v>
      </c>
      <c r="L3294">
        <v>0</v>
      </c>
      <c r="M3294">
        <v>0</v>
      </c>
      <c r="N3294">
        <v>0</v>
      </c>
      <c r="P3294">
        <f>G3294*I3294/100</f>
        <v>2462.768</v>
      </c>
      <c r="Q3294">
        <f t="shared" si="28"/>
        <v>211094.40000000002</v>
      </c>
      <c r="R3294">
        <f>K3294/J3294</f>
        <v>6.25E-2</v>
      </c>
    </row>
    <row r="3295" spans="1:18" x14ac:dyDescent="0.3">
      <c r="A3295">
        <v>29</v>
      </c>
      <c r="B3295">
        <v>746</v>
      </c>
      <c r="C3295" t="s">
        <v>14</v>
      </c>
      <c r="D3295" t="s">
        <v>18</v>
      </c>
      <c r="E3295">
        <v>61</v>
      </c>
      <c r="F3295" t="s">
        <v>16</v>
      </c>
      <c r="G3295">
        <v>5113.9000000000005</v>
      </c>
      <c r="H3295">
        <v>16928</v>
      </c>
      <c r="I3295">
        <v>14</v>
      </c>
      <c r="J3295">
        <v>4</v>
      </c>
      <c r="K3295">
        <v>4</v>
      </c>
      <c r="L3295">
        <v>3</v>
      </c>
      <c r="M3295">
        <v>0</v>
      </c>
      <c r="N3295">
        <v>2</v>
      </c>
      <c r="P3295">
        <f>G3295*I3295/100</f>
        <v>715.94600000000003</v>
      </c>
      <c r="Q3295">
        <f t="shared" si="28"/>
        <v>61366.8</v>
      </c>
      <c r="R3295">
        <f>K3295/J3295</f>
        <v>1</v>
      </c>
    </row>
    <row r="3296" spans="1:18" x14ac:dyDescent="0.3">
      <c r="A3296">
        <v>42</v>
      </c>
      <c r="B3296">
        <v>544</v>
      </c>
      <c r="C3296" t="s">
        <v>26</v>
      </c>
      <c r="D3296" t="s">
        <v>18</v>
      </c>
      <c r="E3296">
        <v>52</v>
      </c>
      <c r="F3296" t="s">
        <v>26</v>
      </c>
      <c r="G3296">
        <v>2965.6000000000004</v>
      </c>
      <c r="H3296">
        <v>24017</v>
      </c>
      <c r="I3296">
        <v>11</v>
      </c>
      <c r="J3296">
        <v>4</v>
      </c>
      <c r="K3296">
        <v>3</v>
      </c>
      <c r="L3296">
        <v>2</v>
      </c>
      <c r="M3296">
        <v>1</v>
      </c>
      <c r="N3296">
        <v>0</v>
      </c>
      <c r="P3296">
        <f>G3296*I3296/100</f>
        <v>326.21600000000007</v>
      </c>
      <c r="Q3296">
        <f t="shared" si="28"/>
        <v>35587.200000000004</v>
      </c>
      <c r="R3296">
        <f>K3296/J3296</f>
        <v>0.75</v>
      </c>
    </row>
    <row r="3297" spans="1:18" x14ac:dyDescent="0.3">
      <c r="A3297">
        <v>32</v>
      </c>
      <c r="B3297">
        <v>1062</v>
      </c>
      <c r="C3297" t="s">
        <v>17</v>
      </c>
      <c r="D3297" t="s">
        <v>15</v>
      </c>
      <c r="E3297">
        <v>75</v>
      </c>
      <c r="F3297" t="s">
        <v>20</v>
      </c>
      <c r="G3297">
        <v>2607</v>
      </c>
      <c r="H3297">
        <v>3956</v>
      </c>
      <c r="I3297">
        <v>13</v>
      </c>
      <c r="J3297">
        <v>8</v>
      </c>
      <c r="K3297">
        <v>8</v>
      </c>
      <c r="L3297">
        <v>0</v>
      </c>
      <c r="M3297">
        <v>0</v>
      </c>
      <c r="N3297">
        <v>7</v>
      </c>
      <c r="P3297">
        <f>G3297*I3297/100</f>
        <v>338.91</v>
      </c>
      <c r="Q3297">
        <f t="shared" si="28"/>
        <v>31284</v>
      </c>
      <c r="R3297">
        <f>K3297/J3297</f>
        <v>1</v>
      </c>
    </row>
    <row r="3298" spans="1:18" x14ac:dyDescent="0.3">
      <c r="A3298">
        <v>48</v>
      </c>
      <c r="B3298">
        <v>530</v>
      </c>
      <c r="C3298" t="s">
        <v>14</v>
      </c>
      <c r="D3298" t="s">
        <v>15</v>
      </c>
      <c r="E3298">
        <v>91</v>
      </c>
      <c r="F3298" t="s">
        <v>23</v>
      </c>
      <c r="G3298">
        <v>13754.400000000001</v>
      </c>
      <c r="H3298">
        <v>23978</v>
      </c>
      <c r="I3298">
        <v>21</v>
      </c>
      <c r="J3298">
        <v>15</v>
      </c>
      <c r="K3298">
        <v>0</v>
      </c>
      <c r="L3298">
        <v>0</v>
      </c>
      <c r="M3298">
        <v>0</v>
      </c>
      <c r="N3298">
        <v>0</v>
      </c>
      <c r="P3298">
        <f>G3298*I3298/100</f>
        <v>2888.4240000000004</v>
      </c>
      <c r="Q3298">
        <f t="shared" si="28"/>
        <v>165052.80000000002</v>
      </c>
      <c r="R3298">
        <f>K3298/J3298</f>
        <v>0</v>
      </c>
    </row>
    <row r="3299" spans="1:18" x14ac:dyDescent="0.3">
      <c r="A3299">
        <v>37</v>
      </c>
      <c r="B3299">
        <v>1319</v>
      </c>
      <c r="C3299" t="s">
        <v>17</v>
      </c>
      <c r="D3299" t="s">
        <v>18</v>
      </c>
      <c r="E3299">
        <v>51</v>
      </c>
      <c r="F3299" t="s">
        <v>19</v>
      </c>
      <c r="G3299">
        <v>6571.4000000000005</v>
      </c>
      <c r="H3299">
        <v>17001</v>
      </c>
      <c r="I3299">
        <v>13</v>
      </c>
      <c r="J3299">
        <v>13</v>
      </c>
      <c r="K3299">
        <v>7</v>
      </c>
      <c r="L3299">
        <v>7</v>
      </c>
      <c r="M3299">
        <v>6</v>
      </c>
      <c r="N3299">
        <v>7</v>
      </c>
      <c r="P3299">
        <f>G3299*I3299/100</f>
        <v>854.28200000000015</v>
      </c>
      <c r="Q3299">
        <f t="shared" si="28"/>
        <v>78856.800000000003</v>
      </c>
      <c r="R3299">
        <f>K3299/J3299</f>
        <v>0.53846153846153844</v>
      </c>
    </row>
    <row r="3300" spans="1:18" x14ac:dyDescent="0.3">
      <c r="A3300">
        <v>30</v>
      </c>
      <c r="B3300">
        <v>641</v>
      </c>
      <c r="C3300" t="s">
        <v>14</v>
      </c>
      <c r="D3300" t="s">
        <v>15</v>
      </c>
      <c r="E3300">
        <v>85</v>
      </c>
      <c r="F3300" t="s">
        <v>16</v>
      </c>
      <c r="G3300">
        <v>5209.6000000000004</v>
      </c>
      <c r="H3300">
        <v>6069</v>
      </c>
      <c r="I3300">
        <v>12</v>
      </c>
      <c r="J3300">
        <v>4</v>
      </c>
      <c r="K3300">
        <v>2</v>
      </c>
      <c r="L3300">
        <v>2</v>
      </c>
      <c r="M3300">
        <v>2</v>
      </c>
      <c r="N3300">
        <v>2</v>
      </c>
      <c r="P3300">
        <f>G3300*I3300/100</f>
        <v>625.15200000000004</v>
      </c>
      <c r="Q3300">
        <f t="shared" si="28"/>
        <v>62515.200000000004</v>
      </c>
      <c r="R3300">
        <f>K3300/J3300</f>
        <v>0.5</v>
      </c>
    </row>
    <row r="3301" spans="1:18" x14ac:dyDescent="0.3">
      <c r="A3301">
        <v>26</v>
      </c>
      <c r="B3301">
        <v>933</v>
      </c>
      <c r="C3301" t="s">
        <v>14</v>
      </c>
      <c r="D3301" t="s">
        <v>18</v>
      </c>
      <c r="E3301">
        <v>57</v>
      </c>
      <c r="F3301" t="s">
        <v>16</v>
      </c>
      <c r="G3301">
        <v>5825.6</v>
      </c>
      <c r="H3301">
        <v>20156</v>
      </c>
      <c r="I3301">
        <v>17</v>
      </c>
      <c r="J3301">
        <v>8</v>
      </c>
      <c r="K3301">
        <v>8</v>
      </c>
      <c r="L3301">
        <v>7</v>
      </c>
      <c r="M3301">
        <v>7</v>
      </c>
      <c r="N3301">
        <v>7</v>
      </c>
      <c r="P3301">
        <f>G3301*I3301/100</f>
        <v>990.35200000000009</v>
      </c>
      <c r="Q3301">
        <f t="shared" si="28"/>
        <v>69907.200000000012</v>
      </c>
      <c r="R3301">
        <f>K3301/J3301</f>
        <v>1</v>
      </c>
    </row>
    <row r="3302" spans="1:18" x14ac:dyDescent="0.3">
      <c r="A3302">
        <v>42</v>
      </c>
      <c r="B3302">
        <v>1332</v>
      </c>
      <c r="C3302" t="s">
        <v>17</v>
      </c>
      <c r="D3302" t="s">
        <v>18</v>
      </c>
      <c r="E3302">
        <v>98</v>
      </c>
      <c r="F3302" t="s">
        <v>22</v>
      </c>
      <c r="G3302">
        <v>7459.1</v>
      </c>
      <c r="H3302">
        <v>17078</v>
      </c>
      <c r="I3302">
        <v>23</v>
      </c>
      <c r="J3302">
        <v>14</v>
      </c>
      <c r="K3302">
        <v>1</v>
      </c>
      <c r="L3302">
        <v>0</v>
      </c>
      <c r="M3302">
        <v>0</v>
      </c>
      <c r="N3302">
        <v>0</v>
      </c>
      <c r="P3302">
        <f>G3302*I3302/100</f>
        <v>1715.5930000000001</v>
      </c>
      <c r="Q3302">
        <f t="shared" si="28"/>
        <v>89509.200000000012</v>
      </c>
      <c r="R3302">
        <f>K3302/J3302</f>
        <v>7.1428571428571425E-2</v>
      </c>
    </row>
    <row r="3303" spans="1:18" x14ac:dyDescent="0.3">
      <c r="A3303">
        <v>21</v>
      </c>
      <c r="B3303">
        <v>756</v>
      </c>
      <c r="C3303" t="s">
        <v>14</v>
      </c>
      <c r="D3303" t="s">
        <v>15</v>
      </c>
      <c r="E3303">
        <v>99</v>
      </c>
      <c r="F3303" t="s">
        <v>24</v>
      </c>
      <c r="G3303">
        <v>2391.4</v>
      </c>
      <c r="H3303">
        <v>9150</v>
      </c>
      <c r="I3303">
        <v>11</v>
      </c>
      <c r="J3303">
        <v>3</v>
      </c>
      <c r="K3303">
        <v>3</v>
      </c>
      <c r="L3303">
        <v>2</v>
      </c>
      <c r="M3303">
        <v>1</v>
      </c>
      <c r="N3303">
        <v>2</v>
      </c>
      <c r="P3303">
        <f>G3303*I3303/100</f>
        <v>263.05400000000003</v>
      </c>
      <c r="Q3303">
        <f t="shared" si="28"/>
        <v>28696.800000000003</v>
      </c>
      <c r="R3303">
        <f>K3303/J3303</f>
        <v>1</v>
      </c>
    </row>
    <row r="3304" spans="1:18" x14ac:dyDescent="0.3">
      <c r="A3304">
        <v>36</v>
      </c>
      <c r="B3304">
        <v>845</v>
      </c>
      <c r="C3304" t="s">
        <v>14</v>
      </c>
      <c r="D3304" t="s">
        <v>15</v>
      </c>
      <c r="E3304">
        <v>45</v>
      </c>
      <c r="F3304" t="s">
        <v>16</v>
      </c>
      <c r="G3304">
        <v>7318.3</v>
      </c>
      <c r="H3304">
        <v>15276</v>
      </c>
      <c r="I3304">
        <v>15</v>
      </c>
      <c r="J3304">
        <v>7</v>
      </c>
      <c r="K3304">
        <v>1</v>
      </c>
      <c r="L3304">
        <v>0</v>
      </c>
      <c r="M3304">
        <v>0</v>
      </c>
      <c r="N3304">
        <v>0</v>
      </c>
      <c r="P3304">
        <f>G3304*I3304/100</f>
        <v>1097.7449999999999</v>
      </c>
      <c r="Q3304">
        <f t="shared" si="28"/>
        <v>87819.6</v>
      </c>
      <c r="R3304">
        <f>K3304/J3304</f>
        <v>0.14285714285714285</v>
      </c>
    </row>
    <row r="3305" spans="1:18" x14ac:dyDescent="0.3">
      <c r="A3305">
        <v>36</v>
      </c>
      <c r="B3305">
        <v>541</v>
      </c>
      <c r="C3305" t="s">
        <v>14</v>
      </c>
      <c r="D3305" t="s">
        <v>18</v>
      </c>
      <c r="E3305">
        <v>48</v>
      </c>
      <c r="F3305" t="s">
        <v>16</v>
      </c>
      <c r="G3305">
        <v>10668.900000000001</v>
      </c>
      <c r="H3305">
        <v>7246</v>
      </c>
      <c r="I3305">
        <v>11</v>
      </c>
      <c r="J3305">
        <v>16</v>
      </c>
      <c r="K3305">
        <v>13</v>
      </c>
      <c r="L3305">
        <v>9</v>
      </c>
      <c r="M3305">
        <v>1</v>
      </c>
      <c r="N3305">
        <v>12</v>
      </c>
      <c r="P3305">
        <f>G3305*I3305/100</f>
        <v>1173.5790000000002</v>
      </c>
      <c r="Q3305">
        <f t="shared" si="28"/>
        <v>128026.80000000002</v>
      </c>
      <c r="R3305">
        <f>K3305/J3305</f>
        <v>0.8125</v>
      </c>
    </row>
    <row r="3306" spans="1:18" x14ac:dyDescent="0.3">
      <c r="A3306">
        <v>57</v>
      </c>
      <c r="B3306">
        <v>593</v>
      </c>
      <c r="C3306" t="s">
        <v>17</v>
      </c>
      <c r="D3306" t="s">
        <v>18</v>
      </c>
      <c r="E3306">
        <v>88</v>
      </c>
      <c r="F3306" t="s">
        <v>22</v>
      </c>
      <c r="G3306">
        <v>7430.5000000000009</v>
      </c>
      <c r="H3306">
        <v>2967</v>
      </c>
      <c r="I3306">
        <v>11</v>
      </c>
      <c r="J3306">
        <v>15</v>
      </c>
      <c r="K3306">
        <v>3</v>
      </c>
      <c r="L3306">
        <v>2</v>
      </c>
      <c r="M3306">
        <v>1</v>
      </c>
      <c r="N3306">
        <v>2</v>
      </c>
      <c r="P3306">
        <f>G3306*I3306/100</f>
        <v>817.35500000000013</v>
      </c>
      <c r="Q3306">
        <f t="shared" si="28"/>
        <v>89166.000000000015</v>
      </c>
      <c r="R3306">
        <f>K3306/J3306</f>
        <v>0.2</v>
      </c>
    </row>
    <row r="3307" spans="1:18" x14ac:dyDescent="0.3">
      <c r="A3307">
        <v>40</v>
      </c>
      <c r="B3307">
        <v>1171</v>
      </c>
      <c r="C3307" t="s">
        <v>17</v>
      </c>
      <c r="D3307" t="s">
        <v>15</v>
      </c>
      <c r="E3307">
        <v>46</v>
      </c>
      <c r="F3307" t="s">
        <v>20</v>
      </c>
      <c r="G3307">
        <v>2434.3000000000002</v>
      </c>
      <c r="H3307">
        <v>22495</v>
      </c>
      <c r="I3307">
        <v>13</v>
      </c>
      <c r="J3307">
        <v>10</v>
      </c>
      <c r="K3307">
        <v>7</v>
      </c>
      <c r="L3307">
        <v>7</v>
      </c>
      <c r="M3307">
        <v>1</v>
      </c>
      <c r="N3307">
        <v>7</v>
      </c>
      <c r="P3307">
        <f>G3307*I3307/100</f>
        <v>316.459</v>
      </c>
      <c r="Q3307">
        <f t="shared" si="28"/>
        <v>29211.600000000002</v>
      </c>
      <c r="R3307">
        <f>K3307/J3307</f>
        <v>0.7</v>
      </c>
    </row>
    <row r="3308" spans="1:18" x14ac:dyDescent="0.3">
      <c r="A3308">
        <v>21</v>
      </c>
      <c r="B3308">
        <v>895</v>
      </c>
      <c r="C3308" t="s">
        <v>14</v>
      </c>
      <c r="D3308" t="s">
        <v>18</v>
      </c>
      <c r="E3308">
        <v>39</v>
      </c>
      <c r="F3308" t="s">
        <v>24</v>
      </c>
      <c r="G3308">
        <v>2871.0000000000005</v>
      </c>
      <c r="H3308">
        <v>2851</v>
      </c>
      <c r="I3308">
        <v>24</v>
      </c>
      <c r="J3308">
        <v>3</v>
      </c>
      <c r="K3308">
        <v>3</v>
      </c>
      <c r="L3308">
        <v>2</v>
      </c>
      <c r="M3308">
        <v>2</v>
      </c>
      <c r="N3308">
        <v>2</v>
      </c>
      <c r="P3308">
        <f>G3308*I3308/100</f>
        <v>689.04000000000019</v>
      </c>
      <c r="Q3308">
        <f t="shared" si="28"/>
        <v>34452.000000000007</v>
      </c>
      <c r="R3308">
        <f>K3308/J3308</f>
        <v>1</v>
      </c>
    </row>
    <row r="3309" spans="1:18" x14ac:dyDescent="0.3">
      <c r="A3309">
        <v>33</v>
      </c>
      <c r="B3309">
        <v>350</v>
      </c>
      <c r="C3309" t="s">
        <v>14</v>
      </c>
      <c r="D3309" t="s">
        <v>15</v>
      </c>
      <c r="E3309">
        <v>34</v>
      </c>
      <c r="F3309" t="s">
        <v>24</v>
      </c>
      <c r="G3309">
        <v>3136.1000000000004</v>
      </c>
      <c r="H3309">
        <v>9150</v>
      </c>
      <c r="I3309">
        <v>13</v>
      </c>
      <c r="J3309">
        <v>1</v>
      </c>
      <c r="K3309">
        <v>1</v>
      </c>
      <c r="L3309">
        <v>0</v>
      </c>
      <c r="M3309">
        <v>0</v>
      </c>
      <c r="N3309">
        <v>0</v>
      </c>
      <c r="P3309">
        <f>G3309*I3309/100</f>
        <v>407.69300000000004</v>
      </c>
      <c r="Q3309">
        <f t="shared" si="28"/>
        <v>37633.200000000004</v>
      </c>
      <c r="R3309">
        <f>K3309/J3309</f>
        <v>1</v>
      </c>
    </row>
    <row r="3310" spans="1:18" x14ac:dyDescent="0.3">
      <c r="A3310">
        <v>37</v>
      </c>
      <c r="B3310">
        <v>921</v>
      </c>
      <c r="C3310" t="s">
        <v>17</v>
      </c>
      <c r="D3310" t="s">
        <v>15</v>
      </c>
      <c r="E3310">
        <v>98</v>
      </c>
      <c r="F3310" t="s">
        <v>20</v>
      </c>
      <c r="G3310">
        <v>3797.2000000000003</v>
      </c>
      <c r="H3310">
        <v>17663</v>
      </c>
      <c r="I3310">
        <v>20</v>
      </c>
      <c r="J3310">
        <v>17</v>
      </c>
      <c r="K3310">
        <v>5</v>
      </c>
      <c r="L3310">
        <v>4</v>
      </c>
      <c r="M3310">
        <v>0</v>
      </c>
      <c r="N3310">
        <v>3</v>
      </c>
      <c r="P3310">
        <f>G3310*I3310/100</f>
        <v>759.44</v>
      </c>
      <c r="Q3310">
        <f t="shared" si="28"/>
        <v>45566.400000000001</v>
      </c>
      <c r="R3310">
        <f>K3310/J3310</f>
        <v>0.29411764705882354</v>
      </c>
    </row>
    <row r="3311" spans="1:18" x14ac:dyDescent="0.3">
      <c r="A3311">
        <v>46</v>
      </c>
      <c r="B3311">
        <v>1144</v>
      </c>
      <c r="C3311" t="s">
        <v>17</v>
      </c>
      <c r="D3311" t="s">
        <v>15</v>
      </c>
      <c r="E3311">
        <v>30</v>
      </c>
      <c r="F3311" t="s">
        <v>21</v>
      </c>
      <c r="G3311">
        <v>5783.8</v>
      </c>
      <c r="H3311">
        <v>16044</v>
      </c>
      <c r="I3311">
        <v>14</v>
      </c>
      <c r="J3311">
        <v>7</v>
      </c>
      <c r="K3311">
        <v>1</v>
      </c>
      <c r="L3311">
        <v>0</v>
      </c>
      <c r="M3311">
        <v>0</v>
      </c>
      <c r="N3311">
        <v>0</v>
      </c>
      <c r="P3311">
        <f>G3311*I3311/100</f>
        <v>809.73199999999997</v>
      </c>
      <c r="Q3311">
        <f t="shared" si="28"/>
        <v>69405.600000000006</v>
      </c>
      <c r="R3311">
        <f>K3311/J3311</f>
        <v>0.14285714285714285</v>
      </c>
    </row>
    <row r="3312" spans="1:18" x14ac:dyDescent="0.3">
      <c r="A3312">
        <v>41</v>
      </c>
      <c r="B3312">
        <v>143</v>
      </c>
      <c r="C3312" t="s">
        <v>14</v>
      </c>
      <c r="D3312" t="s">
        <v>18</v>
      </c>
      <c r="E3312">
        <v>56</v>
      </c>
      <c r="F3312" t="s">
        <v>16</v>
      </c>
      <c r="G3312">
        <v>10290.5</v>
      </c>
      <c r="H3312">
        <v>9558</v>
      </c>
      <c r="I3312">
        <v>18</v>
      </c>
      <c r="J3312">
        <v>8</v>
      </c>
      <c r="K3312">
        <v>8</v>
      </c>
      <c r="L3312">
        <v>7</v>
      </c>
      <c r="M3312">
        <v>7</v>
      </c>
      <c r="N3312">
        <v>7</v>
      </c>
      <c r="P3312">
        <f>G3312*I3312/100</f>
        <v>1852.29</v>
      </c>
      <c r="Q3312">
        <f t="shared" si="28"/>
        <v>123486</v>
      </c>
      <c r="R3312">
        <f>K3312/J3312</f>
        <v>1</v>
      </c>
    </row>
    <row r="3313" spans="1:18" x14ac:dyDescent="0.3">
      <c r="A3313">
        <v>50</v>
      </c>
      <c r="B3313">
        <v>1046</v>
      </c>
      <c r="C3313" t="s">
        <v>17</v>
      </c>
      <c r="D3313" t="s">
        <v>18</v>
      </c>
      <c r="E3313">
        <v>100</v>
      </c>
      <c r="F3313" t="s">
        <v>22</v>
      </c>
      <c r="G3313">
        <v>11545.6</v>
      </c>
      <c r="H3313">
        <v>2755</v>
      </c>
      <c r="I3313">
        <v>15</v>
      </c>
      <c r="J3313">
        <v>20</v>
      </c>
      <c r="K3313">
        <v>4</v>
      </c>
      <c r="L3313">
        <v>3</v>
      </c>
      <c r="M3313">
        <v>1</v>
      </c>
      <c r="N3313">
        <v>3</v>
      </c>
      <c r="P3313">
        <f>G3313*I3313/100</f>
        <v>1731.84</v>
      </c>
      <c r="Q3313">
        <f t="shared" si="28"/>
        <v>138547.20000000001</v>
      </c>
      <c r="R3313">
        <f>K3313/J3313</f>
        <v>0.2</v>
      </c>
    </row>
    <row r="3314" spans="1:18" x14ac:dyDescent="0.3">
      <c r="A3314">
        <v>40</v>
      </c>
      <c r="B3314">
        <v>575</v>
      </c>
      <c r="C3314" t="s">
        <v>14</v>
      </c>
      <c r="D3314" t="s">
        <v>18</v>
      </c>
      <c r="E3314">
        <v>68</v>
      </c>
      <c r="F3314" t="s">
        <v>16</v>
      </c>
      <c r="G3314">
        <v>7018.0000000000009</v>
      </c>
      <c r="H3314">
        <v>6110</v>
      </c>
      <c r="I3314">
        <v>12</v>
      </c>
      <c r="J3314">
        <v>8</v>
      </c>
      <c r="K3314">
        <v>6</v>
      </c>
      <c r="L3314">
        <v>4</v>
      </c>
      <c r="M3314">
        <v>1</v>
      </c>
      <c r="N3314">
        <v>0</v>
      </c>
      <c r="P3314">
        <f>G3314*I3314/100</f>
        <v>842.1600000000002</v>
      </c>
      <c r="Q3314">
        <f t="shared" si="28"/>
        <v>84216.000000000015</v>
      </c>
      <c r="R3314">
        <f>K3314/J3314</f>
        <v>0.75</v>
      </c>
    </row>
    <row r="3315" spans="1:18" x14ac:dyDescent="0.3">
      <c r="A3315">
        <v>31</v>
      </c>
      <c r="B3315">
        <v>408</v>
      </c>
      <c r="C3315" t="s">
        <v>17</v>
      </c>
      <c r="D3315" t="s">
        <v>18</v>
      </c>
      <c r="E3315">
        <v>42</v>
      </c>
      <c r="F3315" t="s">
        <v>19</v>
      </c>
      <c r="G3315">
        <v>2922.7000000000003</v>
      </c>
      <c r="H3315">
        <v>7551</v>
      </c>
      <c r="I3315">
        <v>16</v>
      </c>
      <c r="J3315">
        <v>3</v>
      </c>
      <c r="K3315">
        <v>2</v>
      </c>
      <c r="L3315">
        <v>2</v>
      </c>
      <c r="M3315">
        <v>2</v>
      </c>
      <c r="N3315">
        <v>2</v>
      </c>
      <c r="P3315">
        <f>G3315*I3315/100</f>
        <v>467.63200000000006</v>
      </c>
      <c r="Q3315">
        <f t="shared" si="28"/>
        <v>35072.400000000001</v>
      </c>
      <c r="R3315">
        <f>K3315/J3315</f>
        <v>0.66666666666666663</v>
      </c>
    </row>
    <row r="3316" spans="1:18" x14ac:dyDescent="0.3">
      <c r="A3316">
        <v>21</v>
      </c>
      <c r="B3316">
        <v>156</v>
      </c>
      <c r="C3316" t="s">
        <v>14</v>
      </c>
      <c r="D3316" t="s">
        <v>15</v>
      </c>
      <c r="E3316">
        <v>90</v>
      </c>
      <c r="F3316" t="s">
        <v>24</v>
      </c>
      <c r="G3316">
        <v>2987.6000000000004</v>
      </c>
      <c r="H3316">
        <v>25422</v>
      </c>
      <c r="I3316">
        <v>15</v>
      </c>
      <c r="J3316">
        <v>1</v>
      </c>
      <c r="K3316">
        <v>1</v>
      </c>
      <c r="L3316">
        <v>0</v>
      </c>
      <c r="M3316">
        <v>0</v>
      </c>
      <c r="N3316">
        <v>0</v>
      </c>
      <c r="P3316">
        <f>G3316*I3316/100</f>
        <v>448.1400000000001</v>
      </c>
      <c r="Q3316">
        <f t="shared" si="28"/>
        <v>35851.200000000004</v>
      </c>
      <c r="R3316">
        <f>K3316/J3316</f>
        <v>1</v>
      </c>
    </row>
    <row r="3317" spans="1:18" x14ac:dyDescent="0.3">
      <c r="A3317">
        <v>29</v>
      </c>
      <c r="B3317">
        <v>1283</v>
      </c>
      <c r="C3317" t="s">
        <v>17</v>
      </c>
      <c r="D3317" t="s">
        <v>18</v>
      </c>
      <c r="E3317">
        <v>54</v>
      </c>
      <c r="F3317" t="s">
        <v>19</v>
      </c>
      <c r="G3317">
        <v>2421.1000000000004</v>
      </c>
      <c r="H3317">
        <v>18168</v>
      </c>
      <c r="I3317">
        <v>16</v>
      </c>
      <c r="J3317">
        <v>6</v>
      </c>
      <c r="K3317">
        <v>3</v>
      </c>
      <c r="L3317">
        <v>2</v>
      </c>
      <c r="M3317">
        <v>1</v>
      </c>
      <c r="N3317">
        <v>2</v>
      </c>
      <c r="P3317">
        <f>G3317*I3317/100</f>
        <v>387.37600000000003</v>
      </c>
      <c r="Q3317">
        <f t="shared" si="28"/>
        <v>29053.200000000004</v>
      </c>
      <c r="R3317">
        <f>K3317/J3317</f>
        <v>0.5</v>
      </c>
    </row>
    <row r="3318" spans="1:18" x14ac:dyDescent="0.3">
      <c r="A3318">
        <v>35</v>
      </c>
      <c r="B3318">
        <v>755</v>
      </c>
      <c r="C3318" t="s">
        <v>17</v>
      </c>
      <c r="D3318" t="s">
        <v>18</v>
      </c>
      <c r="E3318">
        <v>97</v>
      </c>
      <c r="F3318" t="s">
        <v>22</v>
      </c>
      <c r="G3318">
        <v>7194.0000000000009</v>
      </c>
      <c r="H3318">
        <v>19394</v>
      </c>
      <c r="I3318">
        <v>19</v>
      </c>
      <c r="J3318">
        <v>10</v>
      </c>
      <c r="K3318">
        <v>1</v>
      </c>
      <c r="L3318">
        <v>1</v>
      </c>
      <c r="M3318">
        <v>0</v>
      </c>
      <c r="N3318">
        <v>0</v>
      </c>
      <c r="P3318">
        <f>G3318*I3318/100</f>
        <v>1366.8600000000004</v>
      </c>
      <c r="Q3318">
        <f t="shared" si="28"/>
        <v>86328.000000000015</v>
      </c>
      <c r="R3318">
        <f>K3318/J3318</f>
        <v>0.1</v>
      </c>
    </row>
    <row r="3319" spans="1:18" x14ac:dyDescent="0.3">
      <c r="A3319">
        <v>27</v>
      </c>
      <c r="B3319">
        <v>1469</v>
      </c>
      <c r="C3319" t="s">
        <v>17</v>
      </c>
      <c r="D3319" t="s">
        <v>18</v>
      </c>
      <c r="E3319">
        <v>82</v>
      </c>
      <c r="F3319" t="s">
        <v>20</v>
      </c>
      <c r="G3319">
        <v>4197.6000000000004</v>
      </c>
      <c r="H3319">
        <v>17881</v>
      </c>
      <c r="I3319">
        <v>11</v>
      </c>
      <c r="J3319">
        <v>5</v>
      </c>
      <c r="K3319">
        <v>5</v>
      </c>
      <c r="L3319">
        <v>2</v>
      </c>
      <c r="M3319">
        <v>0</v>
      </c>
      <c r="N3319">
        <v>4</v>
      </c>
      <c r="P3319">
        <f>G3319*I3319/100</f>
        <v>461.73600000000005</v>
      </c>
      <c r="Q3319">
        <f t="shared" si="28"/>
        <v>50371.200000000004</v>
      </c>
      <c r="R3319">
        <f>K3319/J3319</f>
        <v>1</v>
      </c>
    </row>
    <row r="3320" spans="1:18" x14ac:dyDescent="0.3">
      <c r="A3320">
        <v>28</v>
      </c>
      <c r="B3320">
        <v>304</v>
      </c>
      <c r="C3320" t="s">
        <v>14</v>
      </c>
      <c r="D3320" t="s">
        <v>18</v>
      </c>
      <c r="E3320">
        <v>92</v>
      </c>
      <c r="F3320" t="s">
        <v>16</v>
      </c>
      <c r="G3320">
        <v>5778.3</v>
      </c>
      <c r="H3320">
        <v>20750</v>
      </c>
      <c r="I3320">
        <v>16</v>
      </c>
      <c r="J3320">
        <v>7</v>
      </c>
      <c r="K3320">
        <v>7</v>
      </c>
      <c r="L3320">
        <v>5</v>
      </c>
      <c r="M3320">
        <v>0</v>
      </c>
      <c r="N3320">
        <v>7</v>
      </c>
      <c r="P3320">
        <f>G3320*I3320/100</f>
        <v>924.52800000000002</v>
      </c>
      <c r="Q3320">
        <f t="shared" si="28"/>
        <v>69339.600000000006</v>
      </c>
      <c r="R3320">
        <f>K3320/J3320</f>
        <v>1</v>
      </c>
    </row>
    <row r="3321" spans="1:18" x14ac:dyDescent="0.3">
      <c r="A3321">
        <v>49</v>
      </c>
      <c r="B3321">
        <v>1261</v>
      </c>
      <c r="C3321" t="s">
        <v>17</v>
      </c>
      <c r="D3321" t="s">
        <v>18</v>
      </c>
      <c r="E3321">
        <v>31</v>
      </c>
      <c r="F3321" t="s">
        <v>22</v>
      </c>
      <c r="G3321">
        <v>12061.500000000002</v>
      </c>
      <c r="H3321">
        <v>12066</v>
      </c>
      <c r="I3321">
        <v>24</v>
      </c>
      <c r="J3321">
        <v>26</v>
      </c>
      <c r="K3321">
        <v>5</v>
      </c>
      <c r="L3321">
        <v>2</v>
      </c>
      <c r="M3321">
        <v>0</v>
      </c>
      <c r="N3321">
        <v>0</v>
      </c>
      <c r="P3321">
        <f>G3321*I3321/100</f>
        <v>2894.7600000000007</v>
      </c>
      <c r="Q3321">
        <f t="shared" si="28"/>
        <v>144738.00000000003</v>
      </c>
      <c r="R3321">
        <f>K3321/J3321</f>
        <v>0.19230769230769232</v>
      </c>
    </row>
    <row r="3322" spans="1:18" x14ac:dyDescent="0.3">
      <c r="A3322">
        <v>51</v>
      </c>
      <c r="B3322">
        <v>1178</v>
      </c>
      <c r="C3322" t="s">
        <v>14</v>
      </c>
      <c r="D3322" t="s">
        <v>15</v>
      </c>
      <c r="E3322">
        <v>87</v>
      </c>
      <c r="F3322" t="s">
        <v>16</v>
      </c>
      <c r="G3322">
        <v>5429.6</v>
      </c>
      <c r="H3322">
        <v>14862</v>
      </c>
      <c r="I3322">
        <v>11</v>
      </c>
      <c r="J3322">
        <v>18</v>
      </c>
      <c r="K3322">
        <v>7</v>
      </c>
      <c r="L3322">
        <v>7</v>
      </c>
      <c r="M3322">
        <v>0</v>
      </c>
      <c r="N3322">
        <v>7</v>
      </c>
      <c r="P3322">
        <f>G3322*I3322/100</f>
        <v>597.25600000000009</v>
      </c>
      <c r="Q3322">
        <f t="shared" si="28"/>
        <v>65155.200000000004</v>
      </c>
      <c r="R3322">
        <f>K3322/J3322</f>
        <v>0.3888888888888889</v>
      </c>
    </row>
    <row r="3323" spans="1:18" x14ac:dyDescent="0.3">
      <c r="A3323">
        <v>36</v>
      </c>
      <c r="B3323">
        <v>329</v>
      </c>
      <c r="C3323" t="s">
        <v>17</v>
      </c>
      <c r="D3323" t="s">
        <v>15</v>
      </c>
      <c r="E3323">
        <v>96</v>
      </c>
      <c r="F3323" t="s">
        <v>19</v>
      </c>
      <c r="G3323">
        <v>2797.3</v>
      </c>
      <c r="H3323">
        <v>11868</v>
      </c>
      <c r="I3323">
        <v>13</v>
      </c>
      <c r="J3323">
        <v>6</v>
      </c>
      <c r="K3323">
        <v>2</v>
      </c>
      <c r="L3323">
        <v>2</v>
      </c>
      <c r="M3323">
        <v>2</v>
      </c>
      <c r="N3323">
        <v>2</v>
      </c>
      <c r="P3323">
        <f>G3323*I3323/100</f>
        <v>363.649</v>
      </c>
      <c r="Q3323">
        <f t="shared" si="28"/>
        <v>33567.600000000006</v>
      </c>
      <c r="R3323">
        <f>K3323/J3323</f>
        <v>0.33333333333333331</v>
      </c>
    </row>
    <row r="3324" spans="1:18" x14ac:dyDescent="0.3">
      <c r="A3324">
        <v>34</v>
      </c>
      <c r="B3324">
        <v>1362</v>
      </c>
      <c r="C3324" t="s">
        <v>14</v>
      </c>
      <c r="D3324" t="s">
        <v>18</v>
      </c>
      <c r="E3324">
        <v>67</v>
      </c>
      <c r="F3324" t="s">
        <v>16</v>
      </c>
      <c r="G3324">
        <v>5834.4000000000005</v>
      </c>
      <c r="H3324">
        <v>4652</v>
      </c>
      <c r="I3324">
        <v>13</v>
      </c>
      <c r="J3324">
        <v>9</v>
      </c>
      <c r="K3324">
        <v>5</v>
      </c>
      <c r="L3324">
        <v>2</v>
      </c>
      <c r="M3324">
        <v>0</v>
      </c>
      <c r="N3324">
        <v>4</v>
      </c>
      <c r="P3324">
        <f>G3324*I3324/100</f>
        <v>758.47200000000009</v>
      </c>
      <c r="Q3324">
        <f t="shared" si="28"/>
        <v>70012.800000000003</v>
      </c>
      <c r="R3324">
        <f>K3324/J3324</f>
        <v>0.55555555555555558</v>
      </c>
    </row>
    <row r="3325" spans="1:18" x14ac:dyDescent="0.3">
      <c r="A3325">
        <v>55</v>
      </c>
      <c r="B3325">
        <v>1311</v>
      </c>
      <c r="C3325" t="s">
        <v>17</v>
      </c>
      <c r="D3325" t="s">
        <v>15</v>
      </c>
      <c r="E3325">
        <v>97</v>
      </c>
      <c r="F3325" t="s">
        <v>23</v>
      </c>
      <c r="G3325">
        <v>18324.900000000001</v>
      </c>
      <c r="H3325">
        <v>23258</v>
      </c>
      <c r="I3325">
        <v>13</v>
      </c>
      <c r="J3325">
        <v>30</v>
      </c>
      <c r="K3325">
        <v>5</v>
      </c>
      <c r="L3325">
        <v>4</v>
      </c>
      <c r="M3325">
        <v>1</v>
      </c>
      <c r="N3325">
        <v>2</v>
      </c>
      <c r="P3325">
        <f>G3325*I3325/100</f>
        <v>2382.2370000000001</v>
      </c>
      <c r="Q3325">
        <f t="shared" si="28"/>
        <v>219898.80000000002</v>
      </c>
      <c r="R3325">
        <f>K3325/J3325</f>
        <v>0.16666666666666666</v>
      </c>
    </row>
    <row r="3326" spans="1:18" x14ac:dyDescent="0.3">
      <c r="A3326">
        <v>24</v>
      </c>
      <c r="B3326">
        <v>1371</v>
      </c>
      <c r="C3326" t="s">
        <v>14</v>
      </c>
      <c r="D3326" t="s">
        <v>15</v>
      </c>
      <c r="E3326">
        <v>77</v>
      </c>
      <c r="F3326" t="s">
        <v>16</v>
      </c>
      <c r="G3326">
        <v>4686</v>
      </c>
      <c r="H3326">
        <v>5915</v>
      </c>
      <c r="I3326">
        <v>12</v>
      </c>
      <c r="J3326">
        <v>5</v>
      </c>
      <c r="K3326">
        <v>5</v>
      </c>
      <c r="L3326">
        <v>2</v>
      </c>
      <c r="M3326">
        <v>0</v>
      </c>
      <c r="N3326">
        <v>3</v>
      </c>
      <c r="P3326">
        <f>G3326*I3326/100</f>
        <v>562.32000000000005</v>
      </c>
      <c r="Q3326">
        <f t="shared" si="28"/>
        <v>56232</v>
      </c>
      <c r="R3326">
        <f>K3326/J3326</f>
        <v>1</v>
      </c>
    </row>
    <row r="3327" spans="1:18" x14ac:dyDescent="0.3">
      <c r="A3327">
        <v>30</v>
      </c>
      <c r="B3327">
        <v>202</v>
      </c>
      <c r="C3327" t="s">
        <v>14</v>
      </c>
      <c r="D3327" t="s">
        <v>18</v>
      </c>
      <c r="E3327">
        <v>72</v>
      </c>
      <c r="F3327" t="s">
        <v>24</v>
      </c>
      <c r="G3327">
        <v>2723.6000000000004</v>
      </c>
      <c r="H3327">
        <v>17434</v>
      </c>
      <c r="I3327">
        <v>18</v>
      </c>
      <c r="J3327">
        <v>1</v>
      </c>
      <c r="K3327">
        <v>1</v>
      </c>
      <c r="L3327">
        <v>0</v>
      </c>
      <c r="M3327">
        <v>0</v>
      </c>
      <c r="N3327">
        <v>0</v>
      </c>
      <c r="P3327">
        <f>G3327*I3327/100</f>
        <v>490.24800000000005</v>
      </c>
      <c r="Q3327">
        <f t="shared" si="28"/>
        <v>32683.200000000004</v>
      </c>
      <c r="R3327">
        <f>K3327/J3327</f>
        <v>1</v>
      </c>
    </row>
    <row r="3328" spans="1:18" x14ac:dyDescent="0.3">
      <c r="A3328">
        <v>26</v>
      </c>
      <c r="B3328">
        <v>575</v>
      </c>
      <c r="C3328" t="s">
        <v>17</v>
      </c>
      <c r="D3328" t="s">
        <v>18</v>
      </c>
      <c r="E3328">
        <v>73</v>
      </c>
      <c r="F3328" t="s">
        <v>19</v>
      </c>
      <c r="G3328">
        <v>3412.2000000000003</v>
      </c>
      <c r="H3328">
        <v>6582</v>
      </c>
      <c r="I3328">
        <v>22</v>
      </c>
      <c r="J3328">
        <v>7</v>
      </c>
      <c r="K3328">
        <v>6</v>
      </c>
      <c r="L3328">
        <v>4</v>
      </c>
      <c r="M3328">
        <v>0</v>
      </c>
      <c r="N3328">
        <v>4</v>
      </c>
      <c r="P3328">
        <f>G3328*I3328/100</f>
        <v>750.68400000000008</v>
      </c>
      <c r="Q3328">
        <f t="shared" si="28"/>
        <v>40946.400000000001</v>
      </c>
      <c r="R3328">
        <f>K3328/J3328</f>
        <v>0.8571428571428571</v>
      </c>
    </row>
    <row r="3329" spans="1:18" x14ac:dyDescent="0.3">
      <c r="A3329">
        <v>22</v>
      </c>
      <c r="B3329">
        <v>253</v>
      </c>
      <c r="C3329" t="s">
        <v>17</v>
      </c>
      <c r="D3329" t="s">
        <v>15</v>
      </c>
      <c r="E3329">
        <v>43</v>
      </c>
      <c r="F3329" t="s">
        <v>19</v>
      </c>
      <c r="G3329">
        <v>2468.4</v>
      </c>
      <c r="H3329">
        <v>24440</v>
      </c>
      <c r="I3329">
        <v>13</v>
      </c>
      <c r="J3329">
        <v>2</v>
      </c>
      <c r="K3329">
        <v>2</v>
      </c>
      <c r="L3329">
        <v>1</v>
      </c>
      <c r="M3329">
        <v>1</v>
      </c>
      <c r="N3329">
        <v>2</v>
      </c>
      <c r="P3329">
        <f>G3329*I3329/100</f>
        <v>320.892</v>
      </c>
      <c r="Q3329">
        <f t="shared" si="28"/>
        <v>29620.800000000003</v>
      </c>
      <c r="R3329">
        <f>K3329/J3329</f>
        <v>1</v>
      </c>
    </row>
    <row r="3330" spans="1:18" x14ac:dyDescent="0.3">
      <c r="A3330">
        <v>36</v>
      </c>
      <c r="B3330">
        <v>164</v>
      </c>
      <c r="C3330" t="s">
        <v>14</v>
      </c>
      <c r="D3330" t="s">
        <v>18</v>
      </c>
      <c r="E3330">
        <v>61</v>
      </c>
      <c r="F3330" t="s">
        <v>16</v>
      </c>
      <c r="G3330">
        <v>8355.6</v>
      </c>
      <c r="H3330">
        <v>3809</v>
      </c>
      <c r="I3330">
        <v>13</v>
      </c>
      <c r="J3330">
        <v>10</v>
      </c>
      <c r="K3330">
        <v>10</v>
      </c>
      <c r="L3330">
        <v>9</v>
      </c>
      <c r="M3330">
        <v>9</v>
      </c>
      <c r="N3330">
        <v>0</v>
      </c>
      <c r="P3330">
        <f>G3330*I3330/100</f>
        <v>1086.2280000000001</v>
      </c>
      <c r="Q3330">
        <f t="shared" si="28"/>
        <v>100267.20000000001</v>
      </c>
      <c r="R3330">
        <f>K3330/J3330</f>
        <v>1</v>
      </c>
    </row>
    <row r="3331" spans="1:18" x14ac:dyDescent="0.3">
      <c r="A3331">
        <v>30</v>
      </c>
      <c r="B3331">
        <v>464</v>
      </c>
      <c r="C3331" t="s">
        <v>17</v>
      </c>
      <c r="D3331" t="s">
        <v>18</v>
      </c>
      <c r="E3331">
        <v>40</v>
      </c>
      <c r="F3331" t="s">
        <v>19</v>
      </c>
      <c r="G3331">
        <v>2513.5</v>
      </c>
      <c r="H3331">
        <v>3427</v>
      </c>
      <c r="I3331">
        <v>23</v>
      </c>
      <c r="J3331">
        <v>3</v>
      </c>
      <c r="K3331">
        <v>1</v>
      </c>
      <c r="L3331">
        <v>0</v>
      </c>
      <c r="M3331">
        <v>0</v>
      </c>
      <c r="N3331">
        <v>0</v>
      </c>
      <c r="P3331">
        <f>G3331*I3331/100</f>
        <v>578.10500000000002</v>
      </c>
      <c r="Q3331">
        <f t="shared" ref="Q3331:Q3394" si="29">G3331*12</f>
        <v>30162</v>
      </c>
      <c r="R3331">
        <f>K3331/J3331</f>
        <v>0.33333333333333331</v>
      </c>
    </row>
    <row r="3332" spans="1:18" x14ac:dyDescent="0.3">
      <c r="A3332">
        <v>37</v>
      </c>
      <c r="B3332">
        <v>1107</v>
      </c>
      <c r="C3332" t="s">
        <v>17</v>
      </c>
      <c r="D3332" t="s">
        <v>15</v>
      </c>
      <c r="E3332">
        <v>95</v>
      </c>
      <c r="F3332" t="s">
        <v>20</v>
      </c>
      <c r="G3332">
        <v>3337.4</v>
      </c>
      <c r="H3332">
        <v>26914</v>
      </c>
      <c r="I3332">
        <v>12</v>
      </c>
      <c r="J3332">
        <v>18</v>
      </c>
      <c r="K3332">
        <v>18</v>
      </c>
      <c r="L3332">
        <v>7</v>
      </c>
      <c r="M3332">
        <v>12</v>
      </c>
      <c r="N3332">
        <v>17</v>
      </c>
      <c r="P3332">
        <f>G3332*I3332/100</f>
        <v>400.48800000000006</v>
      </c>
      <c r="Q3332">
        <f t="shared" si="29"/>
        <v>40048.800000000003</v>
      </c>
      <c r="R3332">
        <f>K3332/J3332</f>
        <v>1</v>
      </c>
    </row>
    <row r="3333" spans="1:18" x14ac:dyDescent="0.3">
      <c r="A3333">
        <v>40</v>
      </c>
      <c r="B3333">
        <v>759</v>
      </c>
      <c r="C3333" t="s">
        <v>14</v>
      </c>
      <c r="D3333" t="s">
        <v>15</v>
      </c>
      <c r="E3333">
        <v>46</v>
      </c>
      <c r="F3333" t="s">
        <v>16</v>
      </c>
      <c r="G3333">
        <v>6286.5000000000009</v>
      </c>
      <c r="H3333">
        <v>22553</v>
      </c>
      <c r="I3333">
        <v>12</v>
      </c>
      <c r="J3333">
        <v>8</v>
      </c>
      <c r="K3333">
        <v>5</v>
      </c>
      <c r="L3333">
        <v>4</v>
      </c>
      <c r="M3333">
        <v>1</v>
      </c>
      <c r="N3333">
        <v>3</v>
      </c>
      <c r="P3333">
        <f>G3333*I3333/100</f>
        <v>754.38000000000011</v>
      </c>
      <c r="Q3333">
        <f t="shared" si="29"/>
        <v>75438.000000000015</v>
      </c>
      <c r="R3333">
        <f>K3333/J3333</f>
        <v>0.625</v>
      </c>
    </row>
    <row r="3334" spans="1:18" x14ac:dyDescent="0.3">
      <c r="A3334">
        <v>42</v>
      </c>
      <c r="B3334">
        <v>201</v>
      </c>
      <c r="C3334" t="s">
        <v>17</v>
      </c>
      <c r="D3334" t="s">
        <v>15</v>
      </c>
      <c r="E3334">
        <v>95</v>
      </c>
      <c r="F3334" t="s">
        <v>20</v>
      </c>
      <c r="G3334">
        <v>2833.6000000000004</v>
      </c>
      <c r="H3334">
        <v>20490</v>
      </c>
      <c r="I3334">
        <v>16</v>
      </c>
      <c r="J3334">
        <v>8</v>
      </c>
      <c r="K3334">
        <v>5</v>
      </c>
      <c r="L3334">
        <v>2</v>
      </c>
      <c r="M3334">
        <v>1</v>
      </c>
      <c r="N3334">
        <v>2</v>
      </c>
      <c r="P3334">
        <f>G3334*I3334/100</f>
        <v>453.37600000000003</v>
      </c>
      <c r="Q3334">
        <f t="shared" si="29"/>
        <v>34003.200000000004</v>
      </c>
      <c r="R3334">
        <f>K3334/J3334</f>
        <v>0.625</v>
      </c>
    </row>
    <row r="3335" spans="1:18" x14ac:dyDescent="0.3">
      <c r="A3335">
        <v>37</v>
      </c>
      <c r="B3335">
        <v>1305</v>
      </c>
      <c r="C3335" t="s">
        <v>17</v>
      </c>
      <c r="D3335" t="s">
        <v>18</v>
      </c>
      <c r="E3335">
        <v>49</v>
      </c>
      <c r="F3335" t="s">
        <v>21</v>
      </c>
      <c r="G3335">
        <v>4616.7000000000007</v>
      </c>
      <c r="H3335">
        <v>21123</v>
      </c>
      <c r="I3335">
        <v>12</v>
      </c>
      <c r="J3335">
        <v>18</v>
      </c>
      <c r="K3335">
        <v>1</v>
      </c>
      <c r="L3335">
        <v>0</v>
      </c>
      <c r="M3335">
        <v>0</v>
      </c>
      <c r="N3335">
        <v>1</v>
      </c>
      <c r="P3335">
        <f>G3335*I3335/100</f>
        <v>554.00400000000013</v>
      </c>
      <c r="Q3335">
        <f t="shared" si="29"/>
        <v>55400.400000000009</v>
      </c>
      <c r="R3335">
        <f>K3335/J3335</f>
        <v>5.5555555555555552E-2</v>
      </c>
    </row>
    <row r="3336" spans="1:18" x14ac:dyDescent="0.3">
      <c r="A3336">
        <v>43</v>
      </c>
      <c r="B3336">
        <v>982</v>
      </c>
      <c r="C3336" t="s">
        <v>17</v>
      </c>
      <c r="D3336" t="s">
        <v>18</v>
      </c>
      <c r="E3336">
        <v>59</v>
      </c>
      <c r="F3336" t="s">
        <v>25</v>
      </c>
      <c r="G3336">
        <v>15769.600000000002</v>
      </c>
      <c r="H3336">
        <v>4345</v>
      </c>
      <c r="I3336">
        <v>11</v>
      </c>
      <c r="J3336">
        <v>25</v>
      </c>
      <c r="K3336">
        <v>25</v>
      </c>
      <c r="L3336">
        <v>10</v>
      </c>
      <c r="M3336">
        <v>3</v>
      </c>
      <c r="N3336">
        <v>9</v>
      </c>
      <c r="P3336">
        <f>G3336*I3336/100</f>
        <v>1734.6560000000004</v>
      </c>
      <c r="Q3336">
        <f t="shared" si="29"/>
        <v>189235.20000000001</v>
      </c>
      <c r="R3336">
        <f>K3336/J3336</f>
        <v>1</v>
      </c>
    </row>
    <row r="3337" spans="1:18" x14ac:dyDescent="0.3">
      <c r="A3337">
        <v>40</v>
      </c>
      <c r="B3337">
        <v>555</v>
      </c>
      <c r="C3337" t="s">
        <v>17</v>
      </c>
      <c r="D3337" t="s">
        <v>15</v>
      </c>
      <c r="E3337">
        <v>78</v>
      </c>
      <c r="F3337" t="s">
        <v>20</v>
      </c>
      <c r="G3337">
        <v>3792.8</v>
      </c>
      <c r="H3337">
        <v>13436</v>
      </c>
      <c r="I3337">
        <v>22</v>
      </c>
      <c r="J3337">
        <v>20</v>
      </c>
      <c r="K3337">
        <v>1</v>
      </c>
      <c r="L3337">
        <v>0</v>
      </c>
      <c r="M3337">
        <v>0</v>
      </c>
      <c r="N3337">
        <v>0</v>
      </c>
      <c r="P3337">
        <f>G3337*I3337/100</f>
        <v>834.41600000000005</v>
      </c>
      <c r="Q3337">
        <f t="shared" si="29"/>
        <v>45513.600000000006</v>
      </c>
      <c r="R3337">
        <f>K3337/J3337</f>
        <v>0.05</v>
      </c>
    </row>
    <row r="3338" spans="1:18" x14ac:dyDescent="0.3">
      <c r="A3338">
        <v>54</v>
      </c>
      <c r="B3338">
        <v>821</v>
      </c>
      <c r="C3338" t="s">
        <v>17</v>
      </c>
      <c r="D3338" t="s">
        <v>18</v>
      </c>
      <c r="E3338">
        <v>86</v>
      </c>
      <c r="F3338" t="s">
        <v>25</v>
      </c>
      <c r="G3338">
        <v>21346.600000000002</v>
      </c>
      <c r="H3338">
        <v>8509</v>
      </c>
      <c r="I3338">
        <v>11</v>
      </c>
      <c r="J3338">
        <v>24</v>
      </c>
      <c r="K3338">
        <v>4</v>
      </c>
      <c r="L3338">
        <v>2</v>
      </c>
      <c r="M3338">
        <v>1</v>
      </c>
      <c r="N3338">
        <v>2</v>
      </c>
      <c r="P3338">
        <f>G3338*I3338/100</f>
        <v>2348.1260000000002</v>
      </c>
      <c r="Q3338">
        <f t="shared" si="29"/>
        <v>256159.2</v>
      </c>
      <c r="R3338">
        <f>K3338/J3338</f>
        <v>0.16666666666666666</v>
      </c>
    </row>
    <row r="3339" spans="1:18" x14ac:dyDescent="0.3">
      <c r="A3339">
        <v>34</v>
      </c>
      <c r="B3339">
        <v>1381</v>
      </c>
      <c r="C3339" t="s">
        <v>14</v>
      </c>
      <c r="D3339" t="s">
        <v>15</v>
      </c>
      <c r="E3339">
        <v>72</v>
      </c>
      <c r="F3339" t="s">
        <v>16</v>
      </c>
      <c r="G3339">
        <v>7191.8</v>
      </c>
      <c r="H3339">
        <v>12740</v>
      </c>
      <c r="I3339">
        <v>15</v>
      </c>
      <c r="J3339">
        <v>6</v>
      </c>
      <c r="K3339">
        <v>3</v>
      </c>
      <c r="L3339">
        <v>2</v>
      </c>
      <c r="M3339">
        <v>1</v>
      </c>
      <c r="N3339">
        <v>2</v>
      </c>
      <c r="P3339">
        <f>G3339*I3339/100</f>
        <v>1078.77</v>
      </c>
      <c r="Q3339">
        <f t="shared" si="29"/>
        <v>86301.6</v>
      </c>
      <c r="R3339">
        <f>K3339/J3339</f>
        <v>0.5</v>
      </c>
    </row>
    <row r="3340" spans="1:18" x14ac:dyDescent="0.3">
      <c r="A3340">
        <v>31</v>
      </c>
      <c r="B3340">
        <v>480</v>
      </c>
      <c r="C3340" t="s">
        <v>17</v>
      </c>
      <c r="D3340" t="s">
        <v>15</v>
      </c>
      <c r="E3340">
        <v>31</v>
      </c>
      <c r="F3340" t="s">
        <v>21</v>
      </c>
      <c r="G3340">
        <v>4736.6000000000004</v>
      </c>
      <c r="H3340">
        <v>4156</v>
      </c>
      <c r="I3340">
        <v>12</v>
      </c>
      <c r="J3340">
        <v>13</v>
      </c>
      <c r="K3340">
        <v>13</v>
      </c>
      <c r="L3340">
        <v>10</v>
      </c>
      <c r="M3340">
        <v>3</v>
      </c>
      <c r="N3340">
        <v>12</v>
      </c>
      <c r="P3340">
        <f>G3340*I3340/100</f>
        <v>568.39200000000005</v>
      </c>
      <c r="Q3340">
        <f t="shared" si="29"/>
        <v>56839.200000000004</v>
      </c>
      <c r="R3340">
        <f>K3340/J3340</f>
        <v>1</v>
      </c>
    </row>
    <row r="3341" spans="1:18" x14ac:dyDescent="0.3">
      <c r="A3341">
        <v>43</v>
      </c>
      <c r="B3341">
        <v>313</v>
      </c>
      <c r="C3341" t="s">
        <v>17</v>
      </c>
      <c r="D3341" t="s">
        <v>18</v>
      </c>
      <c r="E3341">
        <v>61</v>
      </c>
      <c r="F3341" t="s">
        <v>20</v>
      </c>
      <c r="G3341">
        <v>2483.8000000000002</v>
      </c>
      <c r="H3341">
        <v>15238</v>
      </c>
      <c r="I3341">
        <v>20</v>
      </c>
      <c r="J3341">
        <v>8</v>
      </c>
      <c r="K3341">
        <v>3</v>
      </c>
      <c r="L3341">
        <v>2</v>
      </c>
      <c r="M3341">
        <v>1</v>
      </c>
      <c r="N3341">
        <v>2</v>
      </c>
      <c r="P3341">
        <f>G3341*I3341/100</f>
        <v>496.76</v>
      </c>
      <c r="Q3341">
        <f t="shared" si="29"/>
        <v>29805.600000000002</v>
      </c>
      <c r="R3341">
        <f>K3341/J3341</f>
        <v>0.375</v>
      </c>
    </row>
    <row r="3342" spans="1:18" x14ac:dyDescent="0.3">
      <c r="A3342">
        <v>43</v>
      </c>
      <c r="B3342">
        <v>1473</v>
      </c>
      <c r="C3342" t="s">
        <v>17</v>
      </c>
      <c r="D3342" t="s">
        <v>15</v>
      </c>
      <c r="E3342">
        <v>74</v>
      </c>
      <c r="F3342" t="s">
        <v>22</v>
      </c>
      <c r="G3342">
        <v>4974.2000000000007</v>
      </c>
      <c r="H3342">
        <v>2227</v>
      </c>
      <c r="I3342">
        <v>14</v>
      </c>
      <c r="J3342">
        <v>8</v>
      </c>
      <c r="K3342">
        <v>5</v>
      </c>
      <c r="L3342">
        <v>2</v>
      </c>
      <c r="M3342">
        <v>0</v>
      </c>
      <c r="N3342">
        <v>2</v>
      </c>
      <c r="P3342">
        <f>G3342*I3342/100</f>
        <v>696.38800000000015</v>
      </c>
      <c r="Q3342">
        <f t="shared" si="29"/>
        <v>59690.400000000009</v>
      </c>
      <c r="R3342">
        <f>K3342/J3342</f>
        <v>0.625</v>
      </c>
    </row>
    <row r="3343" spans="1:18" x14ac:dyDescent="0.3">
      <c r="A3343">
        <v>25</v>
      </c>
      <c r="B3343">
        <v>891</v>
      </c>
      <c r="C3343" t="s">
        <v>14</v>
      </c>
      <c r="D3343" t="s">
        <v>15</v>
      </c>
      <c r="E3343">
        <v>99</v>
      </c>
      <c r="F3343" t="s">
        <v>16</v>
      </c>
      <c r="G3343">
        <v>4935.7000000000007</v>
      </c>
      <c r="H3343">
        <v>12090</v>
      </c>
      <c r="I3343">
        <v>11</v>
      </c>
      <c r="J3343">
        <v>5</v>
      </c>
      <c r="K3343">
        <v>5</v>
      </c>
      <c r="L3343">
        <v>4</v>
      </c>
      <c r="M3343">
        <v>1</v>
      </c>
      <c r="N3343">
        <v>3</v>
      </c>
      <c r="P3343">
        <f>G3343*I3343/100</f>
        <v>542.92700000000013</v>
      </c>
      <c r="Q3343">
        <f t="shared" si="29"/>
        <v>59228.400000000009</v>
      </c>
      <c r="R3343">
        <f>K3343/J3343</f>
        <v>1</v>
      </c>
    </row>
    <row r="3344" spans="1:18" x14ac:dyDescent="0.3">
      <c r="A3344">
        <v>37</v>
      </c>
      <c r="B3344">
        <v>1063</v>
      </c>
      <c r="C3344" t="s">
        <v>17</v>
      </c>
      <c r="D3344" t="s">
        <v>15</v>
      </c>
      <c r="E3344">
        <v>72</v>
      </c>
      <c r="F3344" t="s">
        <v>19</v>
      </c>
      <c r="G3344">
        <v>4893.9000000000005</v>
      </c>
      <c r="H3344">
        <v>23866</v>
      </c>
      <c r="I3344">
        <v>15</v>
      </c>
      <c r="J3344">
        <v>15</v>
      </c>
      <c r="K3344">
        <v>13</v>
      </c>
      <c r="L3344">
        <v>11</v>
      </c>
      <c r="M3344">
        <v>10</v>
      </c>
      <c r="N3344">
        <v>7</v>
      </c>
      <c r="P3344">
        <f>G3344*I3344/100</f>
        <v>734.08500000000015</v>
      </c>
      <c r="Q3344">
        <f t="shared" si="29"/>
        <v>58726.8</v>
      </c>
      <c r="R3344">
        <f>K3344/J3344</f>
        <v>0.8666666666666667</v>
      </c>
    </row>
    <row r="3345" spans="1:18" x14ac:dyDescent="0.3">
      <c r="A3345">
        <v>31</v>
      </c>
      <c r="B3345">
        <v>329</v>
      </c>
      <c r="C3345" t="s">
        <v>17</v>
      </c>
      <c r="D3345" t="s">
        <v>18</v>
      </c>
      <c r="E3345">
        <v>98</v>
      </c>
      <c r="F3345" t="s">
        <v>20</v>
      </c>
      <c r="G3345">
        <v>2439.8000000000002</v>
      </c>
      <c r="H3345">
        <v>16193</v>
      </c>
      <c r="I3345">
        <v>12</v>
      </c>
      <c r="J3345">
        <v>4</v>
      </c>
      <c r="K3345">
        <v>4</v>
      </c>
      <c r="L3345">
        <v>2</v>
      </c>
      <c r="M3345">
        <v>3</v>
      </c>
      <c r="N3345">
        <v>2</v>
      </c>
      <c r="P3345">
        <f>G3345*I3345/100</f>
        <v>292.77600000000001</v>
      </c>
      <c r="Q3345">
        <f t="shared" si="29"/>
        <v>29277.600000000002</v>
      </c>
      <c r="R3345">
        <f>K3345/J3345</f>
        <v>1</v>
      </c>
    </row>
    <row r="3346" spans="1:18" x14ac:dyDescent="0.3">
      <c r="A3346">
        <v>39</v>
      </c>
      <c r="B3346">
        <v>1218</v>
      </c>
      <c r="C3346" t="s">
        <v>17</v>
      </c>
      <c r="D3346" t="s">
        <v>18</v>
      </c>
      <c r="E3346">
        <v>52</v>
      </c>
      <c r="F3346" t="s">
        <v>23</v>
      </c>
      <c r="G3346">
        <v>21116.7</v>
      </c>
      <c r="H3346">
        <v>8213</v>
      </c>
      <c r="I3346">
        <v>14</v>
      </c>
      <c r="J3346">
        <v>21</v>
      </c>
      <c r="K3346">
        <v>21</v>
      </c>
      <c r="L3346">
        <v>8</v>
      </c>
      <c r="M3346">
        <v>1</v>
      </c>
      <c r="N3346">
        <v>6</v>
      </c>
      <c r="P3346">
        <f>G3346*I3346/100</f>
        <v>2956.3379999999997</v>
      </c>
      <c r="Q3346">
        <f t="shared" si="29"/>
        <v>253400.40000000002</v>
      </c>
      <c r="R3346">
        <f>K3346/J3346</f>
        <v>1</v>
      </c>
    </row>
    <row r="3347" spans="1:18" x14ac:dyDescent="0.3">
      <c r="A3347">
        <v>56</v>
      </c>
      <c r="B3347">
        <v>906</v>
      </c>
      <c r="C3347" t="s">
        <v>14</v>
      </c>
      <c r="D3347" t="s">
        <v>15</v>
      </c>
      <c r="E3347">
        <v>86</v>
      </c>
      <c r="F3347" t="s">
        <v>16</v>
      </c>
      <c r="G3347">
        <v>14533.2</v>
      </c>
      <c r="H3347">
        <v>18256</v>
      </c>
      <c r="I3347">
        <v>11</v>
      </c>
      <c r="J3347">
        <v>36</v>
      </c>
      <c r="K3347">
        <v>7</v>
      </c>
      <c r="L3347">
        <v>7</v>
      </c>
      <c r="M3347">
        <v>7</v>
      </c>
      <c r="N3347">
        <v>7</v>
      </c>
      <c r="P3347">
        <f>G3347*I3347/100</f>
        <v>1598.652</v>
      </c>
      <c r="Q3347">
        <f t="shared" si="29"/>
        <v>174398.40000000002</v>
      </c>
      <c r="R3347">
        <f>K3347/J3347</f>
        <v>0.19444444444444445</v>
      </c>
    </row>
    <row r="3348" spans="1:18" x14ac:dyDescent="0.3">
      <c r="A3348">
        <v>30</v>
      </c>
      <c r="B3348">
        <v>1082</v>
      </c>
      <c r="C3348" t="s">
        <v>14</v>
      </c>
      <c r="D3348" t="s">
        <v>15</v>
      </c>
      <c r="E3348">
        <v>83</v>
      </c>
      <c r="F3348" t="s">
        <v>16</v>
      </c>
      <c r="G3348">
        <v>7234.7000000000007</v>
      </c>
      <c r="H3348">
        <v>19558</v>
      </c>
      <c r="I3348">
        <v>11</v>
      </c>
      <c r="J3348">
        <v>6</v>
      </c>
      <c r="K3348">
        <v>5</v>
      </c>
      <c r="L3348">
        <v>4</v>
      </c>
      <c r="M3348">
        <v>4</v>
      </c>
      <c r="N3348">
        <v>4</v>
      </c>
      <c r="P3348">
        <f>G3348*I3348/100</f>
        <v>795.81700000000012</v>
      </c>
      <c r="Q3348">
        <f t="shared" si="29"/>
        <v>86816.400000000009</v>
      </c>
      <c r="R3348">
        <f>K3348/J3348</f>
        <v>0.83333333333333337</v>
      </c>
    </row>
    <row r="3349" spans="1:18" x14ac:dyDescent="0.3">
      <c r="A3349">
        <v>41</v>
      </c>
      <c r="B3349">
        <v>645</v>
      </c>
      <c r="C3349" t="s">
        <v>14</v>
      </c>
      <c r="D3349" t="s">
        <v>18</v>
      </c>
      <c r="E3349">
        <v>49</v>
      </c>
      <c r="F3349" t="s">
        <v>16</v>
      </c>
      <c r="G3349">
        <v>9231.2000000000007</v>
      </c>
      <c r="H3349">
        <v>19566</v>
      </c>
      <c r="I3349">
        <v>16</v>
      </c>
      <c r="J3349">
        <v>10</v>
      </c>
      <c r="K3349">
        <v>10</v>
      </c>
      <c r="L3349">
        <v>7</v>
      </c>
      <c r="M3349">
        <v>0</v>
      </c>
      <c r="N3349">
        <v>7</v>
      </c>
      <c r="P3349">
        <f>G3349*I3349/100</f>
        <v>1476.9920000000002</v>
      </c>
      <c r="Q3349">
        <f t="shared" si="29"/>
        <v>110774.40000000001</v>
      </c>
      <c r="R3349">
        <f>K3349/J3349</f>
        <v>1</v>
      </c>
    </row>
    <row r="3350" spans="1:18" x14ac:dyDescent="0.3">
      <c r="A3350">
        <v>28</v>
      </c>
      <c r="B3350">
        <v>1300</v>
      </c>
      <c r="C3350" t="s">
        <v>17</v>
      </c>
      <c r="D3350" t="s">
        <v>18</v>
      </c>
      <c r="E3350">
        <v>79</v>
      </c>
      <c r="F3350" t="s">
        <v>20</v>
      </c>
      <c r="G3350">
        <v>5013.8</v>
      </c>
      <c r="H3350">
        <v>13535</v>
      </c>
      <c r="I3350">
        <v>12</v>
      </c>
      <c r="J3350">
        <v>10</v>
      </c>
      <c r="K3350">
        <v>10</v>
      </c>
      <c r="L3350">
        <v>0</v>
      </c>
      <c r="M3350">
        <v>1</v>
      </c>
      <c r="N3350">
        <v>8</v>
      </c>
      <c r="P3350">
        <f>G3350*I3350/100</f>
        <v>601.65600000000006</v>
      </c>
      <c r="Q3350">
        <f t="shared" si="29"/>
        <v>60165.600000000006</v>
      </c>
      <c r="R3350">
        <f>K3350/J3350</f>
        <v>1</v>
      </c>
    </row>
    <row r="3351" spans="1:18" x14ac:dyDescent="0.3">
      <c r="A3351">
        <v>25</v>
      </c>
      <c r="B3351">
        <v>688</v>
      </c>
      <c r="C3351" t="s">
        <v>17</v>
      </c>
      <c r="D3351" t="s">
        <v>18</v>
      </c>
      <c r="E3351">
        <v>91</v>
      </c>
      <c r="F3351" t="s">
        <v>20</v>
      </c>
      <c r="G3351">
        <v>4434.1000000000004</v>
      </c>
      <c r="H3351">
        <v>9396</v>
      </c>
      <c r="I3351">
        <v>13</v>
      </c>
      <c r="J3351">
        <v>6</v>
      </c>
      <c r="K3351">
        <v>2</v>
      </c>
      <c r="L3351">
        <v>2</v>
      </c>
      <c r="M3351">
        <v>0</v>
      </c>
      <c r="N3351">
        <v>2</v>
      </c>
      <c r="P3351">
        <f>G3351*I3351/100</f>
        <v>576.43299999999999</v>
      </c>
      <c r="Q3351">
        <f t="shared" si="29"/>
        <v>53209.200000000004</v>
      </c>
      <c r="R3351">
        <f>K3351/J3351</f>
        <v>0.33333333333333331</v>
      </c>
    </row>
    <row r="3352" spans="1:18" x14ac:dyDescent="0.3">
      <c r="A3352">
        <v>52</v>
      </c>
      <c r="B3352">
        <v>319</v>
      </c>
      <c r="C3352" t="s">
        <v>17</v>
      </c>
      <c r="D3352" t="s">
        <v>18</v>
      </c>
      <c r="E3352">
        <v>39</v>
      </c>
      <c r="F3352" t="s">
        <v>21</v>
      </c>
      <c r="G3352">
        <v>8765.9000000000015</v>
      </c>
      <c r="H3352">
        <v>19609</v>
      </c>
      <c r="I3352">
        <v>14</v>
      </c>
      <c r="J3352">
        <v>28</v>
      </c>
      <c r="K3352">
        <v>5</v>
      </c>
      <c r="L3352">
        <v>4</v>
      </c>
      <c r="M3352">
        <v>0</v>
      </c>
      <c r="N3352">
        <v>4</v>
      </c>
      <c r="P3352">
        <f>G3352*I3352/100</f>
        <v>1227.2260000000001</v>
      </c>
      <c r="Q3352">
        <f t="shared" si="29"/>
        <v>105190.80000000002</v>
      </c>
      <c r="R3352">
        <f>K3352/J3352</f>
        <v>0.17857142857142858</v>
      </c>
    </row>
    <row r="3353" spans="1:18" x14ac:dyDescent="0.3">
      <c r="A3353">
        <v>45</v>
      </c>
      <c r="B3353">
        <v>192</v>
      </c>
      <c r="C3353" t="s">
        <v>17</v>
      </c>
      <c r="D3353" t="s">
        <v>18</v>
      </c>
      <c r="E3353">
        <v>69</v>
      </c>
      <c r="F3353" t="s">
        <v>19</v>
      </c>
      <c r="G3353">
        <v>2919.4</v>
      </c>
      <c r="H3353">
        <v>9655</v>
      </c>
      <c r="I3353">
        <v>21</v>
      </c>
      <c r="J3353">
        <v>8</v>
      </c>
      <c r="K3353">
        <v>2</v>
      </c>
      <c r="L3353">
        <v>2</v>
      </c>
      <c r="M3353">
        <v>0</v>
      </c>
      <c r="N3353">
        <v>2</v>
      </c>
      <c r="P3353">
        <f>G3353*I3353/100</f>
        <v>613.07400000000007</v>
      </c>
      <c r="Q3353">
        <f t="shared" si="29"/>
        <v>35032.800000000003</v>
      </c>
      <c r="R3353">
        <f>K3353/J3353</f>
        <v>0.25</v>
      </c>
    </row>
    <row r="3354" spans="1:18" x14ac:dyDescent="0.3">
      <c r="A3354">
        <v>52</v>
      </c>
      <c r="B3354">
        <v>1490</v>
      </c>
      <c r="C3354" t="s">
        <v>17</v>
      </c>
      <c r="D3354" t="s">
        <v>15</v>
      </c>
      <c r="E3354">
        <v>30</v>
      </c>
      <c r="F3354" t="s">
        <v>23</v>
      </c>
      <c r="G3354">
        <v>18210.5</v>
      </c>
      <c r="H3354">
        <v>10310</v>
      </c>
      <c r="I3354">
        <v>13</v>
      </c>
      <c r="J3354">
        <v>31</v>
      </c>
      <c r="K3354">
        <v>5</v>
      </c>
      <c r="L3354">
        <v>2</v>
      </c>
      <c r="M3354">
        <v>1</v>
      </c>
      <c r="N3354">
        <v>4</v>
      </c>
      <c r="P3354">
        <f>G3354*I3354/100</f>
        <v>2367.3649999999998</v>
      </c>
      <c r="Q3354">
        <f t="shared" si="29"/>
        <v>218526</v>
      </c>
      <c r="R3354">
        <f>K3354/J3354</f>
        <v>0.16129032258064516</v>
      </c>
    </row>
    <row r="3355" spans="1:18" x14ac:dyDescent="0.3">
      <c r="A3355">
        <v>42</v>
      </c>
      <c r="B3355">
        <v>532</v>
      </c>
      <c r="C3355" t="s">
        <v>17</v>
      </c>
      <c r="D3355" t="s">
        <v>15</v>
      </c>
      <c r="E3355">
        <v>92</v>
      </c>
      <c r="F3355" t="s">
        <v>19</v>
      </c>
      <c r="G3355">
        <v>5011.6000000000004</v>
      </c>
      <c r="H3355">
        <v>12932</v>
      </c>
      <c r="I3355">
        <v>11</v>
      </c>
      <c r="J3355">
        <v>19</v>
      </c>
      <c r="K3355">
        <v>5</v>
      </c>
      <c r="L3355">
        <v>4</v>
      </c>
      <c r="M3355">
        <v>0</v>
      </c>
      <c r="N3355">
        <v>2</v>
      </c>
      <c r="P3355">
        <f>G3355*I3355/100</f>
        <v>551.27600000000007</v>
      </c>
      <c r="Q3355">
        <f t="shared" si="29"/>
        <v>60139.200000000004</v>
      </c>
      <c r="R3355">
        <f>K3355/J3355</f>
        <v>0.26315789473684209</v>
      </c>
    </row>
    <row r="3356" spans="1:18" x14ac:dyDescent="0.3">
      <c r="A3356">
        <v>30</v>
      </c>
      <c r="B3356">
        <v>317</v>
      </c>
      <c r="C3356" t="s">
        <v>17</v>
      </c>
      <c r="D3356" t="s">
        <v>15</v>
      </c>
      <c r="E3356">
        <v>43</v>
      </c>
      <c r="F3356" t="s">
        <v>21</v>
      </c>
      <c r="G3356">
        <v>6700.1</v>
      </c>
      <c r="H3356">
        <v>24793</v>
      </c>
      <c r="I3356">
        <v>20</v>
      </c>
      <c r="J3356">
        <v>11</v>
      </c>
      <c r="K3356">
        <v>5</v>
      </c>
      <c r="L3356">
        <v>4</v>
      </c>
      <c r="M3356">
        <v>0</v>
      </c>
      <c r="N3356">
        <v>2</v>
      </c>
      <c r="P3356">
        <f>G3356*I3356/100</f>
        <v>1340.02</v>
      </c>
      <c r="Q3356">
        <f t="shared" si="29"/>
        <v>80401.200000000012</v>
      </c>
      <c r="R3356">
        <f>K3356/J3356</f>
        <v>0.45454545454545453</v>
      </c>
    </row>
    <row r="3357" spans="1:18" x14ac:dyDescent="0.3">
      <c r="A3357">
        <v>60</v>
      </c>
      <c r="B3357">
        <v>422</v>
      </c>
      <c r="C3357" t="s">
        <v>17</v>
      </c>
      <c r="D3357" t="s">
        <v>15</v>
      </c>
      <c r="E3357">
        <v>41</v>
      </c>
      <c r="F3357" t="s">
        <v>23</v>
      </c>
      <c r="G3357">
        <v>21522.600000000002</v>
      </c>
      <c r="H3357">
        <v>3854</v>
      </c>
      <c r="I3357">
        <v>11</v>
      </c>
      <c r="J3357">
        <v>33</v>
      </c>
      <c r="K3357">
        <v>29</v>
      </c>
      <c r="L3357">
        <v>8</v>
      </c>
      <c r="M3357">
        <v>11</v>
      </c>
      <c r="N3357">
        <v>10</v>
      </c>
      <c r="P3357">
        <f>G3357*I3357/100</f>
        <v>2367.4860000000003</v>
      </c>
      <c r="Q3357">
        <f t="shared" si="29"/>
        <v>258271.2</v>
      </c>
      <c r="R3357">
        <f>K3357/J3357</f>
        <v>0.87878787878787878</v>
      </c>
    </row>
    <row r="3358" spans="1:18" x14ac:dyDescent="0.3">
      <c r="A3358">
        <v>46</v>
      </c>
      <c r="B3358">
        <v>1485</v>
      </c>
      <c r="C3358" t="s">
        <v>17</v>
      </c>
      <c r="D3358" t="s">
        <v>15</v>
      </c>
      <c r="E3358">
        <v>87</v>
      </c>
      <c r="F3358" t="s">
        <v>21</v>
      </c>
      <c r="G3358">
        <v>5291</v>
      </c>
      <c r="H3358">
        <v>26314</v>
      </c>
      <c r="I3358">
        <v>14</v>
      </c>
      <c r="J3358">
        <v>19</v>
      </c>
      <c r="K3358">
        <v>10</v>
      </c>
      <c r="L3358">
        <v>7</v>
      </c>
      <c r="M3358">
        <v>0</v>
      </c>
      <c r="N3358">
        <v>8</v>
      </c>
      <c r="P3358">
        <f>G3358*I3358/100</f>
        <v>740.74</v>
      </c>
      <c r="Q3358">
        <f t="shared" si="29"/>
        <v>63492</v>
      </c>
      <c r="R3358">
        <f>K3358/J3358</f>
        <v>0.52631578947368418</v>
      </c>
    </row>
    <row r="3359" spans="1:18" x14ac:dyDescent="0.3">
      <c r="A3359">
        <v>42</v>
      </c>
      <c r="B3359">
        <v>1368</v>
      </c>
      <c r="C3359" t="s">
        <v>17</v>
      </c>
      <c r="D3359" t="s">
        <v>15</v>
      </c>
      <c r="E3359">
        <v>88</v>
      </c>
      <c r="F3359" t="s">
        <v>22</v>
      </c>
      <c r="G3359">
        <v>4975.3</v>
      </c>
      <c r="H3359">
        <v>4386</v>
      </c>
      <c r="I3359">
        <v>11</v>
      </c>
      <c r="J3359">
        <v>7</v>
      </c>
      <c r="K3359">
        <v>6</v>
      </c>
      <c r="L3359">
        <v>5</v>
      </c>
      <c r="M3359">
        <v>0</v>
      </c>
      <c r="N3359">
        <v>4</v>
      </c>
      <c r="P3359">
        <f>G3359*I3359/100</f>
        <v>547.28300000000002</v>
      </c>
      <c r="Q3359">
        <f t="shared" si="29"/>
        <v>59703.600000000006</v>
      </c>
      <c r="R3359">
        <f>K3359/J3359</f>
        <v>0.8571428571428571</v>
      </c>
    </row>
    <row r="3360" spans="1:18" x14ac:dyDescent="0.3">
      <c r="A3360">
        <v>24</v>
      </c>
      <c r="B3360">
        <v>1448</v>
      </c>
      <c r="C3360" t="s">
        <v>14</v>
      </c>
      <c r="D3360" t="s">
        <v>15</v>
      </c>
      <c r="E3360">
        <v>62</v>
      </c>
      <c r="F3360" t="s">
        <v>24</v>
      </c>
      <c r="G3360">
        <v>3522.2000000000003</v>
      </c>
      <c r="H3360">
        <v>21972</v>
      </c>
      <c r="I3360">
        <v>16</v>
      </c>
      <c r="J3360">
        <v>6</v>
      </c>
      <c r="K3360">
        <v>5</v>
      </c>
      <c r="L3360">
        <v>3</v>
      </c>
      <c r="M3360">
        <v>1</v>
      </c>
      <c r="N3360">
        <v>4</v>
      </c>
      <c r="P3360">
        <f>G3360*I3360/100</f>
        <v>563.55200000000002</v>
      </c>
      <c r="Q3360">
        <f t="shared" si="29"/>
        <v>42266.400000000001</v>
      </c>
      <c r="R3360">
        <f>K3360/J3360</f>
        <v>0.83333333333333337</v>
      </c>
    </row>
    <row r="3361" spans="1:18" x14ac:dyDescent="0.3">
      <c r="A3361">
        <v>34</v>
      </c>
      <c r="B3361">
        <v>296</v>
      </c>
      <c r="C3361" t="s">
        <v>14</v>
      </c>
      <c r="D3361" t="s">
        <v>15</v>
      </c>
      <c r="E3361">
        <v>33</v>
      </c>
      <c r="F3361" t="s">
        <v>24</v>
      </c>
      <c r="G3361">
        <v>2586.1000000000004</v>
      </c>
      <c r="H3361">
        <v>12253</v>
      </c>
      <c r="I3361">
        <v>16</v>
      </c>
      <c r="J3361">
        <v>3</v>
      </c>
      <c r="K3361">
        <v>2</v>
      </c>
      <c r="L3361">
        <v>2</v>
      </c>
      <c r="M3361">
        <v>1</v>
      </c>
      <c r="N3361">
        <v>0</v>
      </c>
      <c r="P3361">
        <f>G3361*I3361/100</f>
        <v>413.77600000000007</v>
      </c>
      <c r="Q3361">
        <f t="shared" si="29"/>
        <v>31033.200000000004</v>
      </c>
      <c r="R3361">
        <f>K3361/J3361</f>
        <v>0.66666666666666663</v>
      </c>
    </row>
    <row r="3362" spans="1:18" x14ac:dyDescent="0.3">
      <c r="A3362">
        <v>38</v>
      </c>
      <c r="B3362">
        <v>1490</v>
      </c>
      <c r="C3362" t="s">
        <v>17</v>
      </c>
      <c r="D3362" t="s">
        <v>18</v>
      </c>
      <c r="E3362">
        <v>42</v>
      </c>
      <c r="F3362" t="s">
        <v>20</v>
      </c>
      <c r="G3362">
        <v>1872.2</v>
      </c>
      <c r="H3362">
        <v>12106</v>
      </c>
      <c r="I3362">
        <v>23</v>
      </c>
      <c r="J3362">
        <v>1</v>
      </c>
      <c r="K3362">
        <v>1</v>
      </c>
      <c r="L3362">
        <v>0</v>
      </c>
      <c r="M3362">
        <v>0</v>
      </c>
      <c r="N3362">
        <v>0</v>
      </c>
      <c r="P3362">
        <f>G3362*I3362/100</f>
        <v>430.60599999999999</v>
      </c>
      <c r="Q3362">
        <f t="shared" si="29"/>
        <v>22466.400000000001</v>
      </c>
      <c r="R3362">
        <f>K3362/J3362</f>
        <v>1</v>
      </c>
    </row>
    <row r="3363" spans="1:18" x14ac:dyDescent="0.3">
      <c r="A3363">
        <v>40</v>
      </c>
      <c r="B3363">
        <v>1398</v>
      </c>
      <c r="C3363" t="s">
        <v>14</v>
      </c>
      <c r="D3363" t="s">
        <v>15</v>
      </c>
      <c r="E3363">
        <v>79</v>
      </c>
      <c r="F3363" t="s">
        <v>23</v>
      </c>
      <c r="G3363">
        <v>19845.100000000002</v>
      </c>
      <c r="H3363">
        <v>13022</v>
      </c>
      <c r="I3363">
        <v>14</v>
      </c>
      <c r="J3363">
        <v>21</v>
      </c>
      <c r="K3363">
        <v>20</v>
      </c>
      <c r="L3363">
        <v>15</v>
      </c>
      <c r="M3363">
        <v>1</v>
      </c>
      <c r="N3363">
        <v>12</v>
      </c>
      <c r="P3363">
        <f>G3363*I3363/100</f>
        <v>2778.3140000000003</v>
      </c>
      <c r="Q3363">
        <f t="shared" si="29"/>
        <v>238141.2</v>
      </c>
      <c r="R3363">
        <f>K3363/J3363</f>
        <v>0.95238095238095233</v>
      </c>
    </row>
    <row r="3364" spans="1:18" x14ac:dyDescent="0.3">
      <c r="A3364">
        <v>26</v>
      </c>
      <c r="B3364">
        <v>1349</v>
      </c>
      <c r="C3364" t="s">
        <v>17</v>
      </c>
      <c r="D3364" t="s">
        <v>15</v>
      </c>
      <c r="E3364">
        <v>90</v>
      </c>
      <c r="F3364" t="s">
        <v>19</v>
      </c>
      <c r="G3364">
        <v>3174.6000000000004</v>
      </c>
      <c r="H3364">
        <v>3032</v>
      </c>
      <c r="I3364">
        <v>22</v>
      </c>
      <c r="J3364">
        <v>3</v>
      </c>
      <c r="K3364">
        <v>3</v>
      </c>
      <c r="L3364">
        <v>2</v>
      </c>
      <c r="M3364">
        <v>0</v>
      </c>
      <c r="N3364">
        <v>2</v>
      </c>
      <c r="P3364">
        <f>G3364*I3364/100</f>
        <v>698.41200000000015</v>
      </c>
      <c r="Q3364">
        <f t="shared" si="29"/>
        <v>38095.200000000004</v>
      </c>
      <c r="R3364">
        <f>K3364/J3364</f>
        <v>1</v>
      </c>
    </row>
    <row r="3365" spans="1:18" x14ac:dyDescent="0.3">
      <c r="A3365">
        <v>30</v>
      </c>
      <c r="B3365">
        <v>1400</v>
      </c>
      <c r="C3365" t="s">
        <v>17</v>
      </c>
      <c r="D3365" t="s">
        <v>18</v>
      </c>
      <c r="E3365">
        <v>53</v>
      </c>
      <c r="F3365" t="s">
        <v>20</v>
      </c>
      <c r="G3365">
        <v>2306.7000000000003</v>
      </c>
      <c r="H3365">
        <v>16734</v>
      </c>
      <c r="I3365">
        <v>15</v>
      </c>
      <c r="J3365">
        <v>9</v>
      </c>
      <c r="K3365">
        <v>5</v>
      </c>
      <c r="L3365">
        <v>3</v>
      </c>
      <c r="M3365">
        <v>1</v>
      </c>
      <c r="N3365">
        <v>4</v>
      </c>
      <c r="P3365">
        <f>G3365*I3365/100</f>
        <v>346.00500000000005</v>
      </c>
      <c r="Q3365">
        <f t="shared" si="29"/>
        <v>27680.400000000001</v>
      </c>
      <c r="R3365">
        <f>K3365/J3365</f>
        <v>0.55555555555555558</v>
      </c>
    </row>
    <row r="3366" spans="1:18" x14ac:dyDescent="0.3">
      <c r="A3366">
        <v>29</v>
      </c>
      <c r="B3366">
        <v>986</v>
      </c>
      <c r="C3366" t="s">
        <v>17</v>
      </c>
      <c r="D3366" t="s">
        <v>18</v>
      </c>
      <c r="E3366">
        <v>93</v>
      </c>
      <c r="F3366" t="s">
        <v>25</v>
      </c>
      <c r="G3366">
        <v>13128.500000000002</v>
      </c>
      <c r="H3366">
        <v>21526</v>
      </c>
      <c r="I3366">
        <v>18</v>
      </c>
      <c r="J3366">
        <v>10</v>
      </c>
      <c r="K3366">
        <v>10</v>
      </c>
      <c r="L3366">
        <v>2</v>
      </c>
      <c r="M3366">
        <v>0</v>
      </c>
      <c r="N3366">
        <v>7</v>
      </c>
      <c r="P3366">
        <f>G3366*I3366/100</f>
        <v>2363.13</v>
      </c>
      <c r="Q3366">
        <f t="shared" si="29"/>
        <v>157542.00000000003</v>
      </c>
      <c r="R3366">
        <f>K3366/J3366</f>
        <v>1</v>
      </c>
    </row>
    <row r="3367" spans="1:18" x14ac:dyDescent="0.3">
      <c r="A3367">
        <v>29</v>
      </c>
      <c r="B3367">
        <v>408</v>
      </c>
      <c r="C3367" t="s">
        <v>17</v>
      </c>
      <c r="D3367" t="s">
        <v>15</v>
      </c>
      <c r="E3367">
        <v>71</v>
      </c>
      <c r="F3367" t="s">
        <v>19</v>
      </c>
      <c r="G3367">
        <v>2800.6000000000004</v>
      </c>
      <c r="H3367">
        <v>18300</v>
      </c>
      <c r="I3367">
        <v>16</v>
      </c>
      <c r="J3367">
        <v>6</v>
      </c>
      <c r="K3367">
        <v>2</v>
      </c>
      <c r="L3367">
        <v>2</v>
      </c>
      <c r="M3367">
        <v>1</v>
      </c>
      <c r="N3367">
        <v>1</v>
      </c>
      <c r="P3367">
        <f>G3367*I3367/100</f>
        <v>448.09600000000006</v>
      </c>
      <c r="Q3367">
        <f t="shared" si="29"/>
        <v>33607.200000000004</v>
      </c>
      <c r="R3367">
        <f>K3367/J3367</f>
        <v>0.33333333333333331</v>
      </c>
    </row>
    <row r="3368" spans="1:18" x14ac:dyDescent="0.3">
      <c r="A3368">
        <v>19</v>
      </c>
      <c r="B3368">
        <v>489</v>
      </c>
      <c r="C3368" t="s">
        <v>26</v>
      </c>
      <c r="D3368" t="s">
        <v>18</v>
      </c>
      <c r="E3368">
        <v>52</v>
      </c>
      <c r="F3368" t="s">
        <v>26</v>
      </c>
      <c r="G3368">
        <v>2820.4</v>
      </c>
      <c r="H3368">
        <v>18437</v>
      </c>
      <c r="I3368">
        <v>12</v>
      </c>
      <c r="J3368">
        <v>1</v>
      </c>
      <c r="K3368">
        <v>1</v>
      </c>
      <c r="L3368">
        <v>0</v>
      </c>
      <c r="M3368">
        <v>0</v>
      </c>
      <c r="N3368">
        <v>0</v>
      </c>
      <c r="P3368">
        <f>G3368*I3368/100</f>
        <v>338.44800000000004</v>
      </c>
      <c r="Q3368">
        <f t="shared" si="29"/>
        <v>33844.800000000003</v>
      </c>
      <c r="R3368">
        <f>K3368/J3368</f>
        <v>1</v>
      </c>
    </row>
    <row r="3369" spans="1:18" x14ac:dyDescent="0.3">
      <c r="A3369">
        <v>30</v>
      </c>
      <c r="B3369">
        <v>1398</v>
      </c>
      <c r="C3369" t="s">
        <v>14</v>
      </c>
      <c r="D3369" t="s">
        <v>15</v>
      </c>
      <c r="E3369">
        <v>69</v>
      </c>
      <c r="F3369" t="s">
        <v>16</v>
      </c>
      <c r="G3369">
        <v>9253.2000000000007</v>
      </c>
      <c r="H3369">
        <v>2890</v>
      </c>
      <c r="I3369">
        <v>11</v>
      </c>
      <c r="J3369">
        <v>10</v>
      </c>
      <c r="K3369">
        <v>9</v>
      </c>
      <c r="L3369">
        <v>8</v>
      </c>
      <c r="M3369">
        <v>7</v>
      </c>
      <c r="N3369">
        <v>8</v>
      </c>
      <c r="P3369">
        <f>G3369*I3369/100</f>
        <v>1017.8520000000001</v>
      </c>
      <c r="Q3369">
        <f t="shared" si="29"/>
        <v>111038.40000000001</v>
      </c>
      <c r="R3369">
        <f>K3369/J3369</f>
        <v>0.9</v>
      </c>
    </row>
    <row r="3370" spans="1:18" x14ac:dyDescent="0.3">
      <c r="A3370">
        <v>57</v>
      </c>
      <c r="B3370">
        <v>210</v>
      </c>
      <c r="C3370" t="s">
        <v>14</v>
      </c>
      <c r="D3370" t="s">
        <v>18</v>
      </c>
      <c r="E3370">
        <v>56</v>
      </c>
      <c r="F3370" t="s">
        <v>23</v>
      </c>
      <c r="G3370">
        <v>15529.800000000001</v>
      </c>
      <c r="H3370">
        <v>22102</v>
      </c>
      <c r="I3370">
        <v>12</v>
      </c>
      <c r="J3370">
        <v>32</v>
      </c>
      <c r="K3370">
        <v>1</v>
      </c>
      <c r="L3370">
        <v>0</v>
      </c>
      <c r="M3370">
        <v>0</v>
      </c>
      <c r="N3370">
        <v>0</v>
      </c>
      <c r="P3370">
        <f>G3370*I3370/100</f>
        <v>1863.576</v>
      </c>
      <c r="Q3370">
        <f t="shared" si="29"/>
        <v>186357.6</v>
      </c>
      <c r="R3370">
        <f>K3370/J3370</f>
        <v>3.125E-2</v>
      </c>
    </row>
    <row r="3371" spans="1:18" x14ac:dyDescent="0.3">
      <c r="A3371">
        <v>50</v>
      </c>
      <c r="B3371">
        <v>1099</v>
      </c>
      <c r="C3371" t="s">
        <v>17</v>
      </c>
      <c r="D3371" t="s">
        <v>18</v>
      </c>
      <c r="E3371">
        <v>88</v>
      </c>
      <c r="F3371" t="s">
        <v>23</v>
      </c>
      <c r="G3371">
        <v>18750.600000000002</v>
      </c>
      <c r="H3371">
        <v>9314</v>
      </c>
      <c r="I3371">
        <v>15</v>
      </c>
      <c r="J3371">
        <v>28</v>
      </c>
      <c r="K3371">
        <v>27</v>
      </c>
      <c r="L3371">
        <v>10</v>
      </c>
      <c r="M3371">
        <v>15</v>
      </c>
      <c r="N3371">
        <v>7</v>
      </c>
      <c r="P3371">
        <f>G3371*I3371/100</f>
        <v>2812.5900000000006</v>
      </c>
      <c r="Q3371">
        <f t="shared" si="29"/>
        <v>225007.2</v>
      </c>
      <c r="R3371">
        <f>K3371/J3371</f>
        <v>0.9642857142857143</v>
      </c>
    </row>
    <row r="3372" spans="1:18" x14ac:dyDescent="0.3">
      <c r="A3372">
        <v>30</v>
      </c>
      <c r="B3372">
        <v>1116</v>
      </c>
      <c r="C3372" t="s">
        <v>17</v>
      </c>
      <c r="D3372" t="s">
        <v>15</v>
      </c>
      <c r="E3372">
        <v>49</v>
      </c>
      <c r="F3372" t="s">
        <v>20</v>
      </c>
      <c r="G3372">
        <v>2820.4</v>
      </c>
      <c r="H3372">
        <v>7181</v>
      </c>
      <c r="I3372">
        <v>14</v>
      </c>
      <c r="J3372">
        <v>12</v>
      </c>
      <c r="K3372">
        <v>11</v>
      </c>
      <c r="L3372">
        <v>7</v>
      </c>
      <c r="M3372">
        <v>6</v>
      </c>
      <c r="N3372">
        <v>7</v>
      </c>
      <c r="P3372">
        <f>G3372*I3372/100</f>
        <v>394.85599999999999</v>
      </c>
      <c r="Q3372">
        <f t="shared" si="29"/>
        <v>33844.800000000003</v>
      </c>
      <c r="R3372">
        <f>K3372/J3372</f>
        <v>0.91666666666666663</v>
      </c>
    </row>
    <row r="3373" spans="1:18" x14ac:dyDescent="0.3">
      <c r="A3373">
        <v>60</v>
      </c>
      <c r="B3373">
        <v>1499</v>
      </c>
      <c r="C3373" t="s">
        <v>14</v>
      </c>
      <c r="D3373" t="s">
        <v>15</v>
      </c>
      <c r="E3373">
        <v>80</v>
      </c>
      <c r="F3373" t="s">
        <v>16</v>
      </c>
      <c r="G3373">
        <v>11292.6</v>
      </c>
      <c r="H3373">
        <v>2845</v>
      </c>
      <c r="I3373">
        <v>19</v>
      </c>
      <c r="J3373">
        <v>22</v>
      </c>
      <c r="K3373">
        <v>18</v>
      </c>
      <c r="L3373">
        <v>13</v>
      </c>
      <c r="M3373">
        <v>13</v>
      </c>
      <c r="N3373">
        <v>11</v>
      </c>
      <c r="P3373">
        <f>G3373*I3373/100</f>
        <v>2145.5940000000001</v>
      </c>
      <c r="Q3373">
        <f t="shared" si="29"/>
        <v>135511.20000000001</v>
      </c>
      <c r="R3373">
        <f>K3373/J3373</f>
        <v>0.81818181818181823</v>
      </c>
    </row>
    <row r="3374" spans="1:18" x14ac:dyDescent="0.3">
      <c r="A3374">
        <v>47</v>
      </c>
      <c r="B3374">
        <v>983</v>
      </c>
      <c r="C3374" t="s">
        <v>17</v>
      </c>
      <c r="D3374" t="s">
        <v>15</v>
      </c>
      <c r="E3374">
        <v>65</v>
      </c>
      <c r="F3374" t="s">
        <v>21</v>
      </c>
      <c r="G3374">
        <v>5577</v>
      </c>
      <c r="H3374">
        <v>7389</v>
      </c>
      <c r="I3374">
        <v>13</v>
      </c>
      <c r="J3374">
        <v>20</v>
      </c>
      <c r="K3374">
        <v>5</v>
      </c>
      <c r="L3374">
        <v>0</v>
      </c>
      <c r="M3374">
        <v>0</v>
      </c>
      <c r="N3374">
        <v>4</v>
      </c>
      <c r="P3374">
        <f>G3374*I3374/100</f>
        <v>725.01</v>
      </c>
      <c r="Q3374">
        <f t="shared" si="29"/>
        <v>66924</v>
      </c>
      <c r="R3374">
        <f>K3374/J3374</f>
        <v>0.25</v>
      </c>
    </row>
    <row r="3375" spans="1:18" x14ac:dyDescent="0.3">
      <c r="A3375">
        <v>46</v>
      </c>
      <c r="B3375">
        <v>1009</v>
      </c>
      <c r="C3375" t="s">
        <v>17</v>
      </c>
      <c r="D3375" t="s">
        <v>18</v>
      </c>
      <c r="E3375">
        <v>51</v>
      </c>
      <c r="F3375" t="s">
        <v>25</v>
      </c>
      <c r="G3375">
        <v>19647.100000000002</v>
      </c>
      <c r="H3375">
        <v>2288</v>
      </c>
      <c r="I3375">
        <v>13</v>
      </c>
      <c r="J3375">
        <v>26</v>
      </c>
      <c r="K3375">
        <v>3</v>
      </c>
      <c r="L3375">
        <v>2</v>
      </c>
      <c r="M3375">
        <v>0</v>
      </c>
      <c r="N3375">
        <v>1</v>
      </c>
      <c r="P3375">
        <f>G3375*I3375/100</f>
        <v>2554.123</v>
      </c>
      <c r="Q3375">
        <f t="shared" si="29"/>
        <v>235765.2</v>
      </c>
      <c r="R3375">
        <f>K3375/J3375</f>
        <v>0.11538461538461539</v>
      </c>
    </row>
    <row r="3376" spans="1:18" x14ac:dyDescent="0.3">
      <c r="A3376">
        <v>35</v>
      </c>
      <c r="B3376">
        <v>144</v>
      </c>
      <c r="C3376" t="s">
        <v>17</v>
      </c>
      <c r="D3376" t="s">
        <v>18</v>
      </c>
      <c r="E3376">
        <v>46</v>
      </c>
      <c r="F3376" t="s">
        <v>20</v>
      </c>
      <c r="G3376">
        <v>4653</v>
      </c>
      <c r="H3376">
        <v>19225</v>
      </c>
      <c r="I3376">
        <v>15</v>
      </c>
      <c r="J3376">
        <v>6</v>
      </c>
      <c r="K3376">
        <v>5</v>
      </c>
      <c r="L3376">
        <v>4</v>
      </c>
      <c r="M3376">
        <v>4</v>
      </c>
      <c r="N3376">
        <v>3</v>
      </c>
      <c r="P3376">
        <f>G3376*I3376/100</f>
        <v>697.95</v>
      </c>
      <c r="Q3376">
        <f t="shared" si="29"/>
        <v>55836</v>
      </c>
      <c r="R3376">
        <f>K3376/J3376</f>
        <v>0.83333333333333337</v>
      </c>
    </row>
    <row r="3377" spans="1:18" x14ac:dyDescent="0.3">
      <c r="A3377">
        <v>54</v>
      </c>
      <c r="B3377">
        <v>548</v>
      </c>
      <c r="C3377" t="s">
        <v>17</v>
      </c>
      <c r="D3377" t="s">
        <v>15</v>
      </c>
      <c r="E3377">
        <v>42</v>
      </c>
      <c r="F3377" t="s">
        <v>20</v>
      </c>
      <c r="G3377">
        <v>4158</v>
      </c>
      <c r="H3377">
        <v>23428</v>
      </c>
      <c r="I3377">
        <v>11</v>
      </c>
      <c r="J3377">
        <v>19</v>
      </c>
      <c r="K3377">
        <v>1</v>
      </c>
      <c r="L3377">
        <v>0</v>
      </c>
      <c r="M3377">
        <v>0</v>
      </c>
      <c r="N3377">
        <v>0</v>
      </c>
      <c r="P3377">
        <f>G3377*I3377/100</f>
        <v>457.38</v>
      </c>
      <c r="Q3377">
        <f t="shared" si="29"/>
        <v>49896</v>
      </c>
      <c r="R3377">
        <f>K3377/J3377</f>
        <v>5.2631578947368418E-2</v>
      </c>
    </row>
    <row r="3378" spans="1:18" x14ac:dyDescent="0.3">
      <c r="A3378">
        <v>34</v>
      </c>
      <c r="B3378">
        <v>1303</v>
      </c>
      <c r="C3378" t="s">
        <v>17</v>
      </c>
      <c r="D3378" t="s">
        <v>18</v>
      </c>
      <c r="E3378">
        <v>62</v>
      </c>
      <c r="F3378" t="s">
        <v>19</v>
      </c>
      <c r="G3378">
        <v>3044.8</v>
      </c>
      <c r="H3378">
        <v>8416</v>
      </c>
      <c r="I3378">
        <v>12</v>
      </c>
      <c r="J3378">
        <v>14</v>
      </c>
      <c r="K3378">
        <v>7</v>
      </c>
      <c r="L3378">
        <v>3</v>
      </c>
      <c r="M3378">
        <v>5</v>
      </c>
      <c r="N3378">
        <v>7</v>
      </c>
      <c r="P3378">
        <f>G3378*I3378/100</f>
        <v>365.37600000000003</v>
      </c>
      <c r="Q3378">
        <f t="shared" si="29"/>
        <v>36537.600000000006</v>
      </c>
      <c r="R3378">
        <f>K3378/J3378</f>
        <v>0.5</v>
      </c>
    </row>
    <row r="3379" spans="1:18" x14ac:dyDescent="0.3">
      <c r="A3379">
        <v>46</v>
      </c>
      <c r="B3379">
        <v>1125</v>
      </c>
      <c r="C3379" t="s">
        <v>14</v>
      </c>
      <c r="D3379" t="s">
        <v>15</v>
      </c>
      <c r="E3379">
        <v>94</v>
      </c>
      <c r="F3379" t="s">
        <v>16</v>
      </c>
      <c r="G3379">
        <v>9978.1</v>
      </c>
      <c r="H3379">
        <v>11563</v>
      </c>
      <c r="I3379">
        <v>19</v>
      </c>
      <c r="J3379">
        <v>15</v>
      </c>
      <c r="K3379">
        <v>3</v>
      </c>
      <c r="L3379">
        <v>2</v>
      </c>
      <c r="M3379">
        <v>1</v>
      </c>
      <c r="N3379">
        <v>2</v>
      </c>
      <c r="P3379">
        <f>G3379*I3379/100</f>
        <v>1895.8389999999999</v>
      </c>
      <c r="Q3379">
        <f t="shared" si="29"/>
        <v>119737.20000000001</v>
      </c>
      <c r="R3379">
        <f>K3379/J3379</f>
        <v>0.2</v>
      </c>
    </row>
    <row r="3380" spans="1:18" x14ac:dyDescent="0.3">
      <c r="A3380">
        <v>31</v>
      </c>
      <c r="B3380">
        <v>1274</v>
      </c>
      <c r="C3380" t="s">
        <v>17</v>
      </c>
      <c r="D3380" t="s">
        <v>18</v>
      </c>
      <c r="E3380">
        <v>33</v>
      </c>
      <c r="F3380" t="s">
        <v>21</v>
      </c>
      <c r="G3380">
        <v>11712.800000000001</v>
      </c>
      <c r="H3380">
        <v>14394</v>
      </c>
      <c r="I3380">
        <v>25</v>
      </c>
      <c r="J3380">
        <v>13</v>
      </c>
      <c r="K3380">
        <v>13</v>
      </c>
      <c r="L3380">
        <v>8</v>
      </c>
      <c r="M3380">
        <v>0</v>
      </c>
      <c r="N3380">
        <v>8</v>
      </c>
      <c r="P3380">
        <f>G3380*I3380/100</f>
        <v>2928.2</v>
      </c>
      <c r="Q3380">
        <f t="shared" si="29"/>
        <v>140553.60000000001</v>
      </c>
      <c r="R3380">
        <f>K3380/J3380</f>
        <v>1</v>
      </c>
    </row>
    <row r="3381" spans="1:18" x14ac:dyDescent="0.3">
      <c r="A3381">
        <v>33</v>
      </c>
      <c r="B3381">
        <v>1277</v>
      </c>
      <c r="C3381" t="s">
        <v>17</v>
      </c>
      <c r="D3381" t="s">
        <v>18</v>
      </c>
      <c r="E3381">
        <v>56</v>
      </c>
      <c r="F3381" t="s">
        <v>23</v>
      </c>
      <c r="G3381">
        <v>14971.000000000002</v>
      </c>
      <c r="H3381">
        <v>24619</v>
      </c>
      <c r="I3381">
        <v>12</v>
      </c>
      <c r="J3381">
        <v>15</v>
      </c>
      <c r="K3381">
        <v>7</v>
      </c>
      <c r="L3381">
        <v>6</v>
      </c>
      <c r="M3381">
        <v>7</v>
      </c>
      <c r="N3381">
        <v>7</v>
      </c>
      <c r="P3381">
        <f>G3381*I3381/100</f>
        <v>1796.5200000000002</v>
      </c>
      <c r="Q3381">
        <f t="shared" si="29"/>
        <v>179652.00000000003</v>
      </c>
      <c r="R3381">
        <f>K3381/J3381</f>
        <v>0.46666666666666667</v>
      </c>
    </row>
    <row r="3382" spans="1:18" x14ac:dyDescent="0.3">
      <c r="A3382">
        <v>33</v>
      </c>
      <c r="B3382">
        <v>587</v>
      </c>
      <c r="C3382" t="s">
        <v>17</v>
      </c>
      <c r="D3382" t="s">
        <v>18</v>
      </c>
      <c r="E3382">
        <v>38</v>
      </c>
      <c r="F3382" t="s">
        <v>20</v>
      </c>
      <c r="G3382">
        <v>3748.8</v>
      </c>
      <c r="H3382">
        <v>6705</v>
      </c>
      <c r="I3382">
        <v>13</v>
      </c>
      <c r="J3382">
        <v>8</v>
      </c>
      <c r="K3382">
        <v>4</v>
      </c>
      <c r="L3382">
        <v>3</v>
      </c>
      <c r="M3382">
        <v>1</v>
      </c>
      <c r="N3382">
        <v>3</v>
      </c>
      <c r="P3382">
        <f>G3382*I3382/100</f>
        <v>487.34399999999999</v>
      </c>
      <c r="Q3382">
        <f t="shared" si="29"/>
        <v>44985.600000000006</v>
      </c>
      <c r="R3382">
        <f>K3382/J3382</f>
        <v>0.5</v>
      </c>
    </row>
    <row r="3383" spans="1:18" x14ac:dyDescent="0.3">
      <c r="A3383">
        <v>30</v>
      </c>
      <c r="B3383">
        <v>413</v>
      </c>
      <c r="C3383" t="s">
        <v>14</v>
      </c>
      <c r="D3383" t="s">
        <v>18</v>
      </c>
      <c r="E3383">
        <v>57</v>
      </c>
      <c r="F3383" t="s">
        <v>24</v>
      </c>
      <c r="G3383">
        <v>3281.3</v>
      </c>
      <c r="H3383">
        <v>18398</v>
      </c>
      <c r="I3383">
        <v>14</v>
      </c>
      <c r="J3383">
        <v>4</v>
      </c>
      <c r="K3383">
        <v>3</v>
      </c>
      <c r="L3383">
        <v>2</v>
      </c>
      <c r="M3383">
        <v>1</v>
      </c>
      <c r="N3383">
        <v>2</v>
      </c>
      <c r="P3383">
        <f>G3383*I3383/100</f>
        <v>459.38200000000006</v>
      </c>
      <c r="Q3383">
        <f t="shared" si="29"/>
        <v>39375.600000000006</v>
      </c>
      <c r="R3383">
        <f>K3383/J3383</f>
        <v>0.75</v>
      </c>
    </row>
    <row r="3384" spans="1:18" x14ac:dyDescent="0.3">
      <c r="A3384">
        <v>35</v>
      </c>
      <c r="B3384">
        <v>1276</v>
      </c>
      <c r="C3384" t="s">
        <v>17</v>
      </c>
      <c r="D3384" t="s">
        <v>18</v>
      </c>
      <c r="E3384">
        <v>72</v>
      </c>
      <c r="F3384" t="s">
        <v>22</v>
      </c>
      <c r="G3384">
        <v>8395.2000000000007</v>
      </c>
      <c r="H3384">
        <v>14295</v>
      </c>
      <c r="I3384">
        <v>12</v>
      </c>
      <c r="J3384">
        <v>10</v>
      </c>
      <c r="K3384">
        <v>8</v>
      </c>
      <c r="L3384">
        <v>7</v>
      </c>
      <c r="M3384">
        <v>0</v>
      </c>
      <c r="N3384">
        <v>0</v>
      </c>
      <c r="P3384">
        <f>G3384*I3384/100</f>
        <v>1007.4240000000001</v>
      </c>
      <c r="Q3384">
        <f t="shared" si="29"/>
        <v>100742.40000000001</v>
      </c>
      <c r="R3384">
        <f>K3384/J3384</f>
        <v>0.8</v>
      </c>
    </row>
    <row r="3385" spans="1:18" x14ac:dyDescent="0.3">
      <c r="A3385">
        <v>31</v>
      </c>
      <c r="B3385">
        <v>534</v>
      </c>
      <c r="C3385" t="s">
        <v>17</v>
      </c>
      <c r="D3385" t="s">
        <v>18</v>
      </c>
      <c r="E3385">
        <v>66</v>
      </c>
      <c r="F3385" t="s">
        <v>22</v>
      </c>
      <c r="G3385">
        <v>10806.400000000001</v>
      </c>
      <c r="H3385">
        <v>22908</v>
      </c>
      <c r="I3385">
        <v>12</v>
      </c>
      <c r="J3385">
        <v>12</v>
      </c>
      <c r="K3385">
        <v>1</v>
      </c>
      <c r="L3385">
        <v>0</v>
      </c>
      <c r="M3385">
        <v>0</v>
      </c>
      <c r="N3385">
        <v>0</v>
      </c>
      <c r="P3385">
        <f>G3385*I3385/100</f>
        <v>1296.7680000000003</v>
      </c>
      <c r="Q3385">
        <f t="shared" si="29"/>
        <v>129676.80000000002</v>
      </c>
      <c r="R3385">
        <f>K3385/J3385</f>
        <v>8.3333333333333329E-2</v>
      </c>
    </row>
    <row r="3386" spans="1:18" x14ac:dyDescent="0.3">
      <c r="A3386">
        <v>34</v>
      </c>
      <c r="B3386">
        <v>988</v>
      </c>
      <c r="C3386" t="s">
        <v>26</v>
      </c>
      <c r="D3386" t="s">
        <v>15</v>
      </c>
      <c r="E3386">
        <v>43</v>
      </c>
      <c r="F3386" t="s">
        <v>26</v>
      </c>
      <c r="G3386">
        <v>10945</v>
      </c>
      <c r="H3386">
        <v>11533</v>
      </c>
      <c r="I3386">
        <v>15</v>
      </c>
      <c r="J3386">
        <v>11</v>
      </c>
      <c r="K3386">
        <v>3</v>
      </c>
      <c r="L3386">
        <v>2</v>
      </c>
      <c r="M3386">
        <v>0</v>
      </c>
      <c r="N3386">
        <v>2</v>
      </c>
      <c r="P3386">
        <f>G3386*I3386/100</f>
        <v>1641.75</v>
      </c>
      <c r="Q3386">
        <f t="shared" si="29"/>
        <v>131340</v>
      </c>
      <c r="R3386">
        <f>K3386/J3386</f>
        <v>0.27272727272727271</v>
      </c>
    </row>
    <row r="3387" spans="1:18" x14ac:dyDescent="0.3">
      <c r="A3387">
        <v>42</v>
      </c>
      <c r="B3387">
        <v>1474</v>
      </c>
      <c r="C3387" t="s">
        <v>17</v>
      </c>
      <c r="D3387" t="s">
        <v>18</v>
      </c>
      <c r="E3387">
        <v>97</v>
      </c>
      <c r="F3387" t="s">
        <v>20</v>
      </c>
      <c r="G3387">
        <v>2302.3000000000002</v>
      </c>
      <c r="H3387">
        <v>9260</v>
      </c>
      <c r="I3387">
        <v>17</v>
      </c>
      <c r="J3387">
        <v>8</v>
      </c>
      <c r="K3387">
        <v>2</v>
      </c>
      <c r="L3387">
        <v>2</v>
      </c>
      <c r="M3387">
        <v>2</v>
      </c>
      <c r="N3387">
        <v>0</v>
      </c>
      <c r="P3387">
        <f>G3387*I3387/100</f>
        <v>391.39100000000008</v>
      </c>
      <c r="Q3387">
        <f t="shared" si="29"/>
        <v>27627.600000000002</v>
      </c>
      <c r="R3387">
        <f>K3387/J3387</f>
        <v>0.25</v>
      </c>
    </row>
    <row r="3388" spans="1:18" x14ac:dyDescent="0.3">
      <c r="A3388">
        <v>36</v>
      </c>
      <c r="B3388">
        <v>635</v>
      </c>
      <c r="C3388" t="s">
        <v>14</v>
      </c>
      <c r="D3388" t="s">
        <v>18</v>
      </c>
      <c r="E3388">
        <v>32</v>
      </c>
      <c r="F3388" t="s">
        <v>16</v>
      </c>
      <c r="G3388">
        <v>10978</v>
      </c>
      <c r="H3388">
        <v>15318</v>
      </c>
      <c r="I3388">
        <v>14</v>
      </c>
      <c r="J3388">
        <v>10</v>
      </c>
      <c r="K3388">
        <v>10</v>
      </c>
      <c r="L3388">
        <v>3</v>
      </c>
      <c r="M3388">
        <v>9</v>
      </c>
      <c r="N3388">
        <v>7</v>
      </c>
      <c r="P3388">
        <f>G3388*I3388/100</f>
        <v>1536.92</v>
      </c>
      <c r="Q3388">
        <f t="shared" si="29"/>
        <v>131736</v>
      </c>
      <c r="R3388">
        <f>K3388/J3388</f>
        <v>1</v>
      </c>
    </row>
    <row r="3389" spans="1:18" x14ac:dyDescent="0.3">
      <c r="A3389">
        <v>22</v>
      </c>
      <c r="B3389">
        <v>1368</v>
      </c>
      <c r="C3389" t="s">
        <v>17</v>
      </c>
      <c r="D3389" t="s">
        <v>18</v>
      </c>
      <c r="E3389">
        <v>99</v>
      </c>
      <c r="F3389" t="s">
        <v>20</v>
      </c>
      <c r="G3389">
        <v>4283.4000000000005</v>
      </c>
      <c r="H3389">
        <v>9129</v>
      </c>
      <c r="I3389">
        <v>16</v>
      </c>
      <c r="J3389">
        <v>4</v>
      </c>
      <c r="K3389">
        <v>2</v>
      </c>
      <c r="L3389">
        <v>2</v>
      </c>
      <c r="M3389">
        <v>1</v>
      </c>
      <c r="N3389">
        <v>2</v>
      </c>
      <c r="P3389">
        <f>G3389*I3389/100</f>
        <v>685.34400000000005</v>
      </c>
      <c r="Q3389">
        <f t="shared" si="29"/>
        <v>51400.800000000003</v>
      </c>
      <c r="R3389">
        <f>K3389/J3389</f>
        <v>0.5</v>
      </c>
    </row>
    <row r="3390" spans="1:18" x14ac:dyDescent="0.3">
      <c r="A3390">
        <v>48</v>
      </c>
      <c r="B3390">
        <v>163</v>
      </c>
      <c r="C3390" t="s">
        <v>14</v>
      </c>
      <c r="D3390" t="s">
        <v>15</v>
      </c>
      <c r="E3390">
        <v>37</v>
      </c>
      <c r="F3390" t="s">
        <v>16</v>
      </c>
      <c r="G3390">
        <v>4456.1000000000004</v>
      </c>
      <c r="H3390">
        <v>19658</v>
      </c>
      <c r="I3390">
        <v>14</v>
      </c>
      <c r="J3390">
        <v>14</v>
      </c>
      <c r="K3390">
        <v>9</v>
      </c>
      <c r="L3390">
        <v>7</v>
      </c>
      <c r="M3390">
        <v>6</v>
      </c>
      <c r="N3390">
        <v>7</v>
      </c>
      <c r="P3390">
        <f>G3390*I3390/100</f>
        <v>623.85400000000004</v>
      </c>
      <c r="Q3390">
        <f t="shared" si="29"/>
        <v>53473.200000000004</v>
      </c>
      <c r="R3390">
        <f>K3390/J3390</f>
        <v>0.6428571428571429</v>
      </c>
    </row>
    <row r="3391" spans="1:18" x14ac:dyDescent="0.3">
      <c r="A3391">
        <v>55</v>
      </c>
      <c r="B3391">
        <v>1117</v>
      </c>
      <c r="C3391" t="s">
        <v>14</v>
      </c>
      <c r="D3391" t="s">
        <v>15</v>
      </c>
      <c r="E3391">
        <v>83</v>
      </c>
      <c r="F3391" t="s">
        <v>23</v>
      </c>
      <c r="G3391">
        <v>18518.5</v>
      </c>
      <c r="H3391">
        <v>9873</v>
      </c>
      <c r="I3391">
        <v>23</v>
      </c>
      <c r="J3391">
        <v>37</v>
      </c>
      <c r="K3391">
        <v>10</v>
      </c>
      <c r="L3391">
        <v>9</v>
      </c>
      <c r="M3391">
        <v>7</v>
      </c>
      <c r="N3391">
        <v>7</v>
      </c>
      <c r="P3391">
        <f>G3391*I3391/100</f>
        <v>4259.2550000000001</v>
      </c>
      <c r="Q3391">
        <f t="shared" si="29"/>
        <v>222222</v>
      </c>
      <c r="R3391">
        <f>K3391/J3391</f>
        <v>0.27027027027027029</v>
      </c>
    </row>
    <row r="3392" spans="1:18" x14ac:dyDescent="0.3">
      <c r="A3392">
        <v>41</v>
      </c>
      <c r="B3392">
        <v>267</v>
      </c>
      <c r="C3392" t="s">
        <v>14</v>
      </c>
      <c r="D3392" t="s">
        <v>18</v>
      </c>
      <c r="E3392">
        <v>56</v>
      </c>
      <c r="F3392" t="s">
        <v>16</v>
      </c>
      <c r="G3392">
        <v>6853.0000000000009</v>
      </c>
      <c r="H3392">
        <v>13430</v>
      </c>
      <c r="I3392">
        <v>14</v>
      </c>
      <c r="J3392">
        <v>16</v>
      </c>
      <c r="K3392">
        <v>14</v>
      </c>
      <c r="L3392">
        <v>3</v>
      </c>
      <c r="M3392">
        <v>1</v>
      </c>
      <c r="N3392">
        <v>10</v>
      </c>
      <c r="P3392">
        <f>G3392*I3392/100</f>
        <v>959.42000000000019</v>
      </c>
      <c r="Q3392">
        <f t="shared" si="29"/>
        <v>82236.000000000015</v>
      </c>
      <c r="R3392">
        <f>K3392/J3392</f>
        <v>0.875</v>
      </c>
    </row>
    <row r="3393" spans="1:18" x14ac:dyDescent="0.3">
      <c r="A3393">
        <v>35</v>
      </c>
      <c r="B3393">
        <v>619</v>
      </c>
      <c r="C3393" t="s">
        <v>14</v>
      </c>
      <c r="D3393" t="s">
        <v>18</v>
      </c>
      <c r="E3393">
        <v>85</v>
      </c>
      <c r="F3393" t="s">
        <v>16</v>
      </c>
      <c r="G3393">
        <v>5188.7000000000007</v>
      </c>
      <c r="H3393">
        <v>18659</v>
      </c>
      <c r="I3393">
        <v>11</v>
      </c>
      <c r="J3393">
        <v>15</v>
      </c>
      <c r="K3393">
        <v>11</v>
      </c>
      <c r="L3393">
        <v>9</v>
      </c>
      <c r="M3393">
        <v>6</v>
      </c>
      <c r="N3393">
        <v>9</v>
      </c>
      <c r="P3393">
        <f>G3393*I3393/100</f>
        <v>570.75700000000006</v>
      </c>
      <c r="Q3393">
        <f t="shared" si="29"/>
        <v>62264.400000000009</v>
      </c>
      <c r="R3393">
        <f>K3393/J3393</f>
        <v>0.73333333333333328</v>
      </c>
    </row>
    <row r="3394" spans="1:18" x14ac:dyDescent="0.3">
      <c r="A3394">
        <v>40</v>
      </c>
      <c r="B3394">
        <v>302</v>
      </c>
      <c r="C3394" t="s">
        <v>17</v>
      </c>
      <c r="D3394" t="s">
        <v>15</v>
      </c>
      <c r="E3394">
        <v>75</v>
      </c>
      <c r="F3394" t="s">
        <v>21</v>
      </c>
      <c r="G3394">
        <v>14560.7</v>
      </c>
      <c r="H3394">
        <v>20364</v>
      </c>
      <c r="I3394">
        <v>15</v>
      </c>
      <c r="J3394">
        <v>22</v>
      </c>
      <c r="K3394">
        <v>20</v>
      </c>
      <c r="L3394">
        <v>6</v>
      </c>
      <c r="M3394">
        <v>5</v>
      </c>
      <c r="N3394">
        <v>13</v>
      </c>
      <c r="P3394">
        <f>G3394*I3394/100</f>
        <v>2184.105</v>
      </c>
      <c r="Q3394">
        <f t="shared" si="29"/>
        <v>174728.40000000002</v>
      </c>
      <c r="R3394">
        <f>K3394/J3394</f>
        <v>0.90909090909090906</v>
      </c>
    </row>
    <row r="3395" spans="1:18" x14ac:dyDescent="0.3">
      <c r="A3395">
        <v>39</v>
      </c>
      <c r="B3395">
        <v>443</v>
      </c>
      <c r="C3395" t="s">
        <v>17</v>
      </c>
      <c r="D3395" t="s">
        <v>15</v>
      </c>
      <c r="E3395">
        <v>48</v>
      </c>
      <c r="F3395" t="s">
        <v>20</v>
      </c>
      <c r="G3395">
        <v>4130.5</v>
      </c>
      <c r="H3395">
        <v>17872</v>
      </c>
      <c r="I3395">
        <v>11</v>
      </c>
      <c r="J3395">
        <v>8</v>
      </c>
      <c r="K3395">
        <v>8</v>
      </c>
      <c r="L3395">
        <v>3</v>
      </c>
      <c r="M3395">
        <v>0</v>
      </c>
      <c r="N3395">
        <v>7</v>
      </c>
      <c r="P3395">
        <f>G3395*I3395/100</f>
        <v>454.35500000000002</v>
      </c>
      <c r="Q3395">
        <f t="shared" ref="Q3395:Q3458" si="30">G3395*12</f>
        <v>49566</v>
      </c>
      <c r="R3395">
        <f>K3395/J3395</f>
        <v>1</v>
      </c>
    </row>
    <row r="3396" spans="1:18" x14ac:dyDescent="0.3">
      <c r="A3396">
        <v>31</v>
      </c>
      <c r="B3396">
        <v>828</v>
      </c>
      <c r="C3396" t="s">
        <v>14</v>
      </c>
      <c r="D3396" t="s">
        <v>18</v>
      </c>
      <c r="E3396">
        <v>77</v>
      </c>
      <c r="F3396" t="s">
        <v>16</v>
      </c>
      <c r="G3396">
        <v>7240.2000000000007</v>
      </c>
      <c r="H3396">
        <v>8346</v>
      </c>
      <c r="I3396">
        <v>13</v>
      </c>
      <c r="J3396">
        <v>10</v>
      </c>
      <c r="K3396">
        <v>6</v>
      </c>
      <c r="L3396">
        <v>5</v>
      </c>
      <c r="M3396">
        <v>0</v>
      </c>
      <c r="N3396">
        <v>5</v>
      </c>
      <c r="P3396">
        <f>G3396*I3396/100</f>
        <v>941.22600000000011</v>
      </c>
      <c r="Q3396">
        <f t="shared" si="30"/>
        <v>86882.400000000009</v>
      </c>
      <c r="R3396">
        <f>K3396/J3396</f>
        <v>0.6</v>
      </c>
    </row>
    <row r="3397" spans="1:18" x14ac:dyDescent="0.3">
      <c r="A3397">
        <v>42</v>
      </c>
      <c r="B3397">
        <v>319</v>
      </c>
      <c r="C3397" t="s">
        <v>17</v>
      </c>
      <c r="D3397" t="s">
        <v>18</v>
      </c>
      <c r="E3397">
        <v>56</v>
      </c>
      <c r="F3397" t="s">
        <v>21</v>
      </c>
      <c r="G3397">
        <v>8146.6</v>
      </c>
      <c r="H3397">
        <v>6950</v>
      </c>
      <c r="I3397">
        <v>21</v>
      </c>
      <c r="J3397">
        <v>10</v>
      </c>
      <c r="K3397">
        <v>10</v>
      </c>
      <c r="L3397">
        <v>9</v>
      </c>
      <c r="M3397">
        <v>5</v>
      </c>
      <c r="N3397">
        <v>8</v>
      </c>
      <c r="P3397">
        <f>G3397*I3397/100</f>
        <v>1710.7860000000001</v>
      </c>
      <c r="Q3397">
        <f t="shared" si="30"/>
        <v>97759.200000000012</v>
      </c>
      <c r="R3397">
        <f>K3397/J3397</f>
        <v>1</v>
      </c>
    </row>
    <row r="3398" spans="1:18" x14ac:dyDescent="0.3">
      <c r="A3398">
        <v>45</v>
      </c>
      <c r="B3398">
        <v>561</v>
      </c>
      <c r="C3398" t="s">
        <v>14</v>
      </c>
      <c r="D3398" t="s">
        <v>18</v>
      </c>
      <c r="E3398">
        <v>61</v>
      </c>
      <c r="F3398" t="s">
        <v>16</v>
      </c>
      <c r="G3398">
        <v>5285.5</v>
      </c>
      <c r="H3398">
        <v>16177</v>
      </c>
      <c r="I3398">
        <v>19</v>
      </c>
      <c r="J3398">
        <v>9</v>
      </c>
      <c r="K3398">
        <v>8</v>
      </c>
      <c r="L3398">
        <v>7</v>
      </c>
      <c r="M3398">
        <v>3</v>
      </c>
      <c r="N3398">
        <v>7</v>
      </c>
      <c r="P3398">
        <f>G3398*I3398/100</f>
        <v>1004.245</v>
      </c>
      <c r="Q3398">
        <f t="shared" si="30"/>
        <v>63426</v>
      </c>
      <c r="R3398">
        <f>K3398/J3398</f>
        <v>0.88888888888888884</v>
      </c>
    </row>
    <row r="3399" spans="1:18" x14ac:dyDescent="0.3">
      <c r="A3399">
        <v>26</v>
      </c>
      <c r="B3399">
        <v>426</v>
      </c>
      <c r="C3399" t="s">
        <v>26</v>
      </c>
      <c r="D3399" t="s">
        <v>15</v>
      </c>
      <c r="E3399">
        <v>58</v>
      </c>
      <c r="F3399" t="s">
        <v>26</v>
      </c>
      <c r="G3399">
        <v>3015.1000000000004</v>
      </c>
      <c r="H3399">
        <v>22808</v>
      </c>
      <c r="I3399">
        <v>11</v>
      </c>
      <c r="J3399">
        <v>8</v>
      </c>
      <c r="K3399">
        <v>7</v>
      </c>
      <c r="L3399">
        <v>7</v>
      </c>
      <c r="M3399">
        <v>1</v>
      </c>
      <c r="N3399">
        <v>0</v>
      </c>
      <c r="P3399">
        <f>G3399*I3399/100</f>
        <v>331.66100000000006</v>
      </c>
      <c r="Q3399">
        <f t="shared" si="30"/>
        <v>36181.200000000004</v>
      </c>
      <c r="R3399">
        <f>K3399/J3399</f>
        <v>0.875</v>
      </c>
    </row>
    <row r="3400" spans="1:18" x14ac:dyDescent="0.3">
      <c r="A3400">
        <v>29</v>
      </c>
      <c r="B3400">
        <v>232</v>
      </c>
      <c r="C3400" t="s">
        <v>17</v>
      </c>
      <c r="D3400" t="s">
        <v>18</v>
      </c>
      <c r="E3400">
        <v>34</v>
      </c>
      <c r="F3400" t="s">
        <v>21</v>
      </c>
      <c r="G3400">
        <v>4688.2000000000007</v>
      </c>
      <c r="H3400">
        <v>22645</v>
      </c>
      <c r="I3400">
        <v>12</v>
      </c>
      <c r="J3400">
        <v>8</v>
      </c>
      <c r="K3400">
        <v>3</v>
      </c>
      <c r="L3400">
        <v>2</v>
      </c>
      <c r="M3400">
        <v>1</v>
      </c>
      <c r="N3400">
        <v>2</v>
      </c>
      <c r="P3400">
        <f>G3400*I3400/100</f>
        <v>562.58400000000006</v>
      </c>
      <c r="Q3400">
        <f t="shared" si="30"/>
        <v>56258.400000000009</v>
      </c>
      <c r="R3400">
        <f>K3400/J3400</f>
        <v>0.375</v>
      </c>
    </row>
    <row r="3401" spans="1:18" x14ac:dyDescent="0.3">
      <c r="A3401">
        <v>33</v>
      </c>
      <c r="B3401">
        <v>922</v>
      </c>
      <c r="C3401" t="s">
        <v>17</v>
      </c>
      <c r="D3401" t="s">
        <v>15</v>
      </c>
      <c r="E3401">
        <v>95</v>
      </c>
      <c r="F3401" t="s">
        <v>25</v>
      </c>
      <c r="G3401">
        <v>17802.400000000001</v>
      </c>
      <c r="H3401">
        <v>22578</v>
      </c>
      <c r="I3401">
        <v>19</v>
      </c>
      <c r="J3401">
        <v>10</v>
      </c>
      <c r="K3401">
        <v>6</v>
      </c>
      <c r="L3401">
        <v>1</v>
      </c>
      <c r="M3401">
        <v>0</v>
      </c>
      <c r="N3401">
        <v>5</v>
      </c>
      <c r="P3401">
        <f>G3401*I3401/100</f>
        <v>3382.4560000000001</v>
      </c>
      <c r="Q3401">
        <f t="shared" si="30"/>
        <v>213628.80000000002</v>
      </c>
      <c r="R3401">
        <f>K3401/J3401</f>
        <v>0.6</v>
      </c>
    </row>
    <row r="3402" spans="1:18" x14ac:dyDescent="0.3">
      <c r="A3402">
        <v>31</v>
      </c>
      <c r="B3402">
        <v>688</v>
      </c>
      <c r="C3402" t="s">
        <v>14</v>
      </c>
      <c r="D3402" t="s">
        <v>18</v>
      </c>
      <c r="E3402">
        <v>44</v>
      </c>
      <c r="F3402" t="s">
        <v>23</v>
      </c>
      <c r="G3402">
        <v>12712.7</v>
      </c>
      <c r="H3402">
        <v>25291</v>
      </c>
      <c r="I3402">
        <v>21</v>
      </c>
      <c r="J3402">
        <v>10</v>
      </c>
      <c r="K3402">
        <v>5</v>
      </c>
      <c r="L3402">
        <v>4</v>
      </c>
      <c r="M3402">
        <v>0</v>
      </c>
      <c r="N3402">
        <v>1</v>
      </c>
      <c r="P3402">
        <f>G3402*I3402/100</f>
        <v>2669.6669999999999</v>
      </c>
      <c r="Q3402">
        <f t="shared" si="30"/>
        <v>152552.40000000002</v>
      </c>
      <c r="R3402">
        <f>K3402/J3402</f>
        <v>0.5</v>
      </c>
    </row>
    <row r="3403" spans="1:18" x14ac:dyDescent="0.3">
      <c r="A3403">
        <v>18</v>
      </c>
      <c r="B3403">
        <v>1306</v>
      </c>
      <c r="C3403" t="s">
        <v>14</v>
      </c>
      <c r="D3403" t="s">
        <v>18</v>
      </c>
      <c r="E3403">
        <v>69</v>
      </c>
      <c r="F3403" t="s">
        <v>24</v>
      </c>
      <c r="G3403">
        <v>2065.8000000000002</v>
      </c>
      <c r="H3403">
        <v>8059</v>
      </c>
      <c r="I3403">
        <v>14</v>
      </c>
      <c r="J3403">
        <v>0</v>
      </c>
      <c r="K3403">
        <v>0</v>
      </c>
      <c r="L3403">
        <v>0</v>
      </c>
      <c r="M3403">
        <v>0</v>
      </c>
      <c r="N3403">
        <v>0</v>
      </c>
      <c r="P3403">
        <f>G3403*I3403/100</f>
        <v>289.21200000000005</v>
      </c>
      <c r="Q3403">
        <f t="shared" si="30"/>
        <v>24789.600000000002</v>
      </c>
      <c r="R3403" t="e">
        <f>K3403/J3403</f>
        <v>#DIV/0!</v>
      </c>
    </row>
    <row r="3404" spans="1:18" x14ac:dyDescent="0.3">
      <c r="A3404">
        <v>40</v>
      </c>
      <c r="B3404">
        <v>1094</v>
      </c>
      <c r="C3404" t="s">
        <v>14</v>
      </c>
      <c r="D3404" t="s">
        <v>18</v>
      </c>
      <c r="E3404">
        <v>58</v>
      </c>
      <c r="F3404" t="s">
        <v>16</v>
      </c>
      <c r="G3404">
        <v>12025.2</v>
      </c>
      <c r="H3404">
        <v>11373</v>
      </c>
      <c r="I3404">
        <v>15</v>
      </c>
      <c r="J3404">
        <v>20</v>
      </c>
      <c r="K3404">
        <v>1</v>
      </c>
      <c r="L3404">
        <v>0</v>
      </c>
      <c r="M3404">
        <v>0</v>
      </c>
      <c r="N3404">
        <v>1</v>
      </c>
      <c r="P3404">
        <f>G3404*I3404/100</f>
        <v>1803.78</v>
      </c>
      <c r="Q3404">
        <f t="shared" si="30"/>
        <v>144302.40000000002</v>
      </c>
      <c r="R3404">
        <f>K3404/J3404</f>
        <v>0.05</v>
      </c>
    </row>
    <row r="3405" spans="1:18" x14ac:dyDescent="0.3">
      <c r="A3405">
        <v>41</v>
      </c>
      <c r="B3405">
        <v>509</v>
      </c>
      <c r="C3405" t="s">
        <v>17</v>
      </c>
      <c r="D3405" t="s">
        <v>15</v>
      </c>
      <c r="E3405">
        <v>62</v>
      </c>
      <c r="F3405" t="s">
        <v>22</v>
      </c>
      <c r="G3405">
        <v>7492.1</v>
      </c>
      <c r="H3405">
        <v>2112</v>
      </c>
      <c r="I3405">
        <v>17</v>
      </c>
      <c r="J3405">
        <v>10</v>
      </c>
      <c r="K3405">
        <v>8</v>
      </c>
      <c r="L3405">
        <v>7</v>
      </c>
      <c r="M3405">
        <v>0</v>
      </c>
      <c r="N3405">
        <v>7</v>
      </c>
      <c r="P3405">
        <f>G3405*I3405/100</f>
        <v>1273.6570000000002</v>
      </c>
      <c r="Q3405">
        <f t="shared" si="30"/>
        <v>89905.200000000012</v>
      </c>
      <c r="R3405">
        <f>K3405/J3405</f>
        <v>0.8</v>
      </c>
    </row>
    <row r="3406" spans="1:18" x14ac:dyDescent="0.3">
      <c r="A3406">
        <v>26</v>
      </c>
      <c r="B3406">
        <v>775</v>
      </c>
      <c r="C3406" t="s">
        <v>14</v>
      </c>
      <c r="D3406" t="s">
        <v>18</v>
      </c>
      <c r="E3406">
        <v>45</v>
      </c>
      <c r="F3406" t="s">
        <v>16</v>
      </c>
      <c r="G3406">
        <v>4736.6000000000004</v>
      </c>
      <c r="H3406">
        <v>4267</v>
      </c>
      <c r="I3406">
        <v>12</v>
      </c>
      <c r="J3406">
        <v>8</v>
      </c>
      <c r="K3406">
        <v>0</v>
      </c>
      <c r="L3406">
        <v>0</v>
      </c>
      <c r="M3406">
        <v>0</v>
      </c>
      <c r="N3406">
        <v>0</v>
      </c>
      <c r="P3406">
        <f>G3406*I3406/100</f>
        <v>568.39200000000005</v>
      </c>
      <c r="Q3406">
        <f t="shared" si="30"/>
        <v>56839.200000000004</v>
      </c>
      <c r="R3406">
        <f>K3406/J3406</f>
        <v>0</v>
      </c>
    </row>
    <row r="3407" spans="1:18" x14ac:dyDescent="0.3">
      <c r="A3407">
        <v>35</v>
      </c>
      <c r="B3407">
        <v>195</v>
      </c>
      <c r="C3407" t="s">
        <v>14</v>
      </c>
      <c r="D3407" t="s">
        <v>15</v>
      </c>
      <c r="E3407">
        <v>80</v>
      </c>
      <c r="F3407" t="s">
        <v>16</v>
      </c>
      <c r="G3407">
        <v>5344.9000000000005</v>
      </c>
      <c r="H3407">
        <v>6698</v>
      </c>
      <c r="I3407">
        <v>16</v>
      </c>
      <c r="J3407">
        <v>5</v>
      </c>
      <c r="K3407">
        <v>5</v>
      </c>
      <c r="L3407">
        <v>4</v>
      </c>
      <c r="M3407">
        <v>0</v>
      </c>
      <c r="N3407">
        <v>3</v>
      </c>
      <c r="P3407">
        <f>G3407*I3407/100</f>
        <v>855.18400000000008</v>
      </c>
      <c r="Q3407">
        <f t="shared" si="30"/>
        <v>64138.8</v>
      </c>
      <c r="R3407">
        <f>K3407/J3407</f>
        <v>1</v>
      </c>
    </row>
    <row r="3408" spans="1:18" x14ac:dyDescent="0.3">
      <c r="A3408">
        <v>34</v>
      </c>
      <c r="B3408">
        <v>258</v>
      </c>
      <c r="C3408" t="s">
        <v>14</v>
      </c>
      <c r="D3408" t="s">
        <v>18</v>
      </c>
      <c r="E3408">
        <v>74</v>
      </c>
      <c r="F3408" t="s">
        <v>16</v>
      </c>
      <c r="G3408">
        <v>5870.7000000000007</v>
      </c>
      <c r="H3408">
        <v>19921</v>
      </c>
      <c r="I3408">
        <v>12</v>
      </c>
      <c r="J3408">
        <v>10</v>
      </c>
      <c r="K3408">
        <v>10</v>
      </c>
      <c r="L3408">
        <v>7</v>
      </c>
      <c r="M3408">
        <v>5</v>
      </c>
      <c r="N3408">
        <v>7</v>
      </c>
      <c r="P3408">
        <f>G3408*I3408/100</f>
        <v>704.48400000000004</v>
      </c>
      <c r="Q3408">
        <f t="shared" si="30"/>
        <v>70448.400000000009</v>
      </c>
      <c r="R3408">
        <f>K3408/J3408</f>
        <v>1</v>
      </c>
    </row>
    <row r="3409" spans="1:18" x14ac:dyDescent="0.3">
      <c r="A3409">
        <v>26</v>
      </c>
      <c r="B3409">
        <v>471</v>
      </c>
      <c r="C3409" t="s">
        <v>17</v>
      </c>
      <c r="D3409" t="s">
        <v>18</v>
      </c>
      <c r="E3409">
        <v>66</v>
      </c>
      <c r="F3409" t="s">
        <v>20</v>
      </c>
      <c r="G3409">
        <v>2574</v>
      </c>
      <c r="H3409">
        <v>23213</v>
      </c>
      <c r="I3409">
        <v>18</v>
      </c>
      <c r="J3409">
        <v>1</v>
      </c>
      <c r="K3409">
        <v>1</v>
      </c>
      <c r="L3409">
        <v>0</v>
      </c>
      <c r="M3409">
        <v>0</v>
      </c>
      <c r="N3409">
        <v>0</v>
      </c>
      <c r="P3409">
        <f>G3409*I3409/100</f>
        <v>463.32</v>
      </c>
      <c r="Q3409">
        <f t="shared" si="30"/>
        <v>30888</v>
      </c>
      <c r="R3409">
        <f>K3409/J3409</f>
        <v>1</v>
      </c>
    </row>
    <row r="3410" spans="1:18" x14ac:dyDescent="0.3">
      <c r="A3410">
        <v>37</v>
      </c>
      <c r="B3410">
        <v>799</v>
      </c>
      <c r="C3410" t="s">
        <v>17</v>
      </c>
      <c r="D3410" t="s">
        <v>15</v>
      </c>
      <c r="E3410">
        <v>59</v>
      </c>
      <c r="F3410" t="s">
        <v>21</v>
      </c>
      <c r="G3410">
        <v>8240.1</v>
      </c>
      <c r="H3410">
        <v>23848</v>
      </c>
      <c r="I3410">
        <v>17</v>
      </c>
      <c r="J3410">
        <v>12</v>
      </c>
      <c r="K3410">
        <v>6</v>
      </c>
      <c r="L3410">
        <v>5</v>
      </c>
      <c r="M3410">
        <v>1</v>
      </c>
      <c r="N3410">
        <v>2</v>
      </c>
      <c r="P3410">
        <f>G3410*I3410/100</f>
        <v>1400.817</v>
      </c>
      <c r="Q3410">
        <f t="shared" si="30"/>
        <v>98881.200000000012</v>
      </c>
      <c r="R3410">
        <f>K3410/J3410</f>
        <v>0.5</v>
      </c>
    </row>
    <row r="3411" spans="1:18" x14ac:dyDescent="0.3">
      <c r="A3411">
        <v>46</v>
      </c>
      <c r="B3411">
        <v>1034</v>
      </c>
      <c r="C3411" t="s">
        <v>17</v>
      </c>
      <c r="D3411" t="s">
        <v>15</v>
      </c>
      <c r="E3411">
        <v>86</v>
      </c>
      <c r="F3411" t="s">
        <v>22</v>
      </c>
      <c r="G3411">
        <v>11579.7</v>
      </c>
      <c r="H3411">
        <v>8984</v>
      </c>
      <c r="I3411">
        <v>11</v>
      </c>
      <c r="J3411">
        <v>28</v>
      </c>
      <c r="K3411">
        <v>2</v>
      </c>
      <c r="L3411">
        <v>2</v>
      </c>
      <c r="M3411">
        <v>1</v>
      </c>
      <c r="N3411">
        <v>2</v>
      </c>
      <c r="P3411">
        <f>G3411*I3411/100</f>
        <v>1273.7670000000001</v>
      </c>
      <c r="Q3411">
        <f t="shared" si="30"/>
        <v>138956.40000000002</v>
      </c>
      <c r="R3411">
        <f>K3411/J3411</f>
        <v>7.1428571428571425E-2</v>
      </c>
    </row>
    <row r="3412" spans="1:18" x14ac:dyDescent="0.3">
      <c r="A3412">
        <v>41</v>
      </c>
      <c r="B3412">
        <v>1276</v>
      </c>
      <c r="C3412" t="s">
        <v>14</v>
      </c>
      <c r="D3412" t="s">
        <v>15</v>
      </c>
      <c r="E3412">
        <v>91</v>
      </c>
      <c r="F3412" t="s">
        <v>23</v>
      </c>
      <c r="G3412">
        <v>18254.5</v>
      </c>
      <c r="H3412">
        <v>5626</v>
      </c>
      <c r="I3412">
        <v>16</v>
      </c>
      <c r="J3412">
        <v>22</v>
      </c>
      <c r="K3412">
        <v>18</v>
      </c>
      <c r="L3412">
        <v>16</v>
      </c>
      <c r="M3412">
        <v>11</v>
      </c>
      <c r="N3412">
        <v>8</v>
      </c>
      <c r="P3412">
        <f>G3412*I3412/100</f>
        <v>2920.72</v>
      </c>
      <c r="Q3412">
        <f t="shared" si="30"/>
        <v>219054</v>
      </c>
      <c r="R3412">
        <f>K3412/J3412</f>
        <v>0.81818181818181823</v>
      </c>
    </row>
    <row r="3413" spans="1:18" x14ac:dyDescent="0.3">
      <c r="A3413">
        <v>37</v>
      </c>
      <c r="B3413">
        <v>142</v>
      </c>
      <c r="C3413" t="s">
        <v>14</v>
      </c>
      <c r="D3413" t="s">
        <v>18</v>
      </c>
      <c r="E3413">
        <v>69</v>
      </c>
      <c r="F3413" t="s">
        <v>16</v>
      </c>
      <c r="G3413">
        <v>9717.4000000000015</v>
      </c>
      <c r="H3413">
        <v>24666</v>
      </c>
      <c r="I3413">
        <v>13</v>
      </c>
      <c r="J3413">
        <v>9</v>
      </c>
      <c r="K3413">
        <v>9</v>
      </c>
      <c r="L3413">
        <v>5</v>
      </c>
      <c r="M3413">
        <v>7</v>
      </c>
      <c r="N3413">
        <v>7</v>
      </c>
      <c r="P3413">
        <f>G3413*I3413/100</f>
        <v>1263.2620000000002</v>
      </c>
      <c r="Q3413">
        <f t="shared" si="30"/>
        <v>116608.80000000002</v>
      </c>
      <c r="R3413">
        <f>K3413/J3413</f>
        <v>1</v>
      </c>
    </row>
    <row r="3414" spans="1:18" x14ac:dyDescent="0.3">
      <c r="A3414">
        <v>52</v>
      </c>
      <c r="B3414">
        <v>956</v>
      </c>
      <c r="C3414" t="s">
        <v>17</v>
      </c>
      <c r="D3414" t="s">
        <v>18</v>
      </c>
      <c r="E3414">
        <v>78</v>
      </c>
      <c r="F3414" t="s">
        <v>19</v>
      </c>
      <c r="G3414">
        <v>6134.7000000000007</v>
      </c>
      <c r="H3414">
        <v>22087</v>
      </c>
      <c r="I3414">
        <v>12</v>
      </c>
      <c r="J3414">
        <v>18</v>
      </c>
      <c r="K3414">
        <v>10</v>
      </c>
      <c r="L3414">
        <v>9</v>
      </c>
      <c r="M3414">
        <v>6</v>
      </c>
      <c r="N3414">
        <v>9</v>
      </c>
      <c r="P3414">
        <f>G3414*I3414/100</f>
        <v>736.1640000000001</v>
      </c>
      <c r="Q3414">
        <f t="shared" si="30"/>
        <v>73616.400000000009</v>
      </c>
      <c r="R3414">
        <f>K3414/J3414</f>
        <v>0.55555555555555558</v>
      </c>
    </row>
    <row r="3415" spans="1:18" x14ac:dyDescent="0.3">
      <c r="A3415">
        <v>32</v>
      </c>
      <c r="B3415">
        <v>1474</v>
      </c>
      <c r="C3415" t="s">
        <v>14</v>
      </c>
      <c r="D3415" t="s">
        <v>18</v>
      </c>
      <c r="E3415">
        <v>60</v>
      </c>
      <c r="F3415" t="s">
        <v>16</v>
      </c>
      <c r="G3415">
        <v>5177.7000000000007</v>
      </c>
      <c r="H3415">
        <v>23914</v>
      </c>
      <c r="I3415">
        <v>12</v>
      </c>
      <c r="J3415">
        <v>6</v>
      </c>
      <c r="K3415">
        <v>4</v>
      </c>
      <c r="L3415">
        <v>2</v>
      </c>
      <c r="M3415">
        <v>1</v>
      </c>
      <c r="N3415">
        <v>2</v>
      </c>
      <c r="P3415">
        <f>G3415*I3415/100</f>
        <v>621.32400000000007</v>
      </c>
      <c r="Q3415">
        <f t="shared" si="30"/>
        <v>62132.400000000009</v>
      </c>
      <c r="R3415">
        <f>K3415/J3415</f>
        <v>0.66666666666666663</v>
      </c>
    </row>
    <row r="3416" spans="1:18" x14ac:dyDescent="0.3">
      <c r="A3416">
        <v>24</v>
      </c>
      <c r="B3416">
        <v>535</v>
      </c>
      <c r="C3416" t="s">
        <v>14</v>
      </c>
      <c r="D3416" t="s">
        <v>18</v>
      </c>
      <c r="E3416">
        <v>38</v>
      </c>
      <c r="F3416" t="s">
        <v>24</v>
      </c>
      <c r="G3416">
        <v>2640</v>
      </c>
      <c r="H3416">
        <v>5530</v>
      </c>
      <c r="I3416">
        <v>13</v>
      </c>
      <c r="J3416">
        <v>3</v>
      </c>
      <c r="K3416">
        <v>2</v>
      </c>
      <c r="L3416">
        <v>2</v>
      </c>
      <c r="M3416">
        <v>2</v>
      </c>
      <c r="N3416">
        <v>1</v>
      </c>
      <c r="P3416">
        <f>G3416*I3416/100</f>
        <v>343.2</v>
      </c>
      <c r="Q3416">
        <f t="shared" si="30"/>
        <v>31680</v>
      </c>
      <c r="R3416">
        <f>K3416/J3416</f>
        <v>0.66666666666666663</v>
      </c>
    </row>
    <row r="3417" spans="1:18" x14ac:dyDescent="0.3">
      <c r="A3417">
        <v>38</v>
      </c>
      <c r="B3417">
        <v>1495</v>
      </c>
      <c r="C3417" t="s">
        <v>17</v>
      </c>
      <c r="D3417" t="s">
        <v>15</v>
      </c>
      <c r="E3417">
        <v>76</v>
      </c>
      <c r="F3417" t="s">
        <v>22</v>
      </c>
      <c r="G3417">
        <v>10806.400000000001</v>
      </c>
      <c r="H3417">
        <v>22174</v>
      </c>
      <c r="I3417">
        <v>19</v>
      </c>
      <c r="J3417">
        <v>18</v>
      </c>
      <c r="K3417">
        <v>1</v>
      </c>
      <c r="L3417">
        <v>0</v>
      </c>
      <c r="M3417">
        <v>0</v>
      </c>
      <c r="N3417">
        <v>0</v>
      </c>
      <c r="P3417">
        <f>G3417*I3417/100</f>
        <v>2053.2160000000003</v>
      </c>
      <c r="Q3417">
        <f t="shared" si="30"/>
        <v>129676.80000000002</v>
      </c>
      <c r="R3417">
        <f>K3417/J3417</f>
        <v>5.5555555555555552E-2</v>
      </c>
    </row>
    <row r="3418" spans="1:18" x14ac:dyDescent="0.3">
      <c r="A3418">
        <v>37</v>
      </c>
      <c r="B3418">
        <v>446</v>
      </c>
      <c r="C3418" t="s">
        <v>17</v>
      </c>
      <c r="D3418" t="s">
        <v>15</v>
      </c>
      <c r="E3418">
        <v>65</v>
      </c>
      <c r="F3418" t="s">
        <v>21</v>
      </c>
      <c r="G3418">
        <v>7091.7000000000007</v>
      </c>
      <c r="H3418">
        <v>15701</v>
      </c>
      <c r="I3418">
        <v>12</v>
      </c>
      <c r="J3418">
        <v>8</v>
      </c>
      <c r="K3418">
        <v>6</v>
      </c>
      <c r="L3418">
        <v>5</v>
      </c>
      <c r="M3418">
        <v>4</v>
      </c>
      <c r="N3418">
        <v>3</v>
      </c>
      <c r="P3418">
        <f>G3418*I3418/100</f>
        <v>851.00400000000013</v>
      </c>
      <c r="Q3418">
        <f t="shared" si="30"/>
        <v>85100.400000000009</v>
      </c>
      <c r="R3418">
        <f>K3418/J3418</f>
        <v>0.75</v>
      </c>
    </row>
    <row r="3419" spans="1:18" x14ac:dyDescent="0.3">
      <c r="A3419">
        <v>49</v>
      </c>
      <c r="B3419">
        <v>1245</v>
      </c>
      <c r="C3419" t="s">
        <v>17</v>
      </c>
      <c r="D3419" t="s">
        <v>18</v>
      </c>
      <c r="E3419">
        <v>58</v>
      </c>
      <c r="F3419" t="s">
        <v>25</v>
      </c>
      <c r="G3419">
        <v>21452.2</v>
      </c>
      <c r="H3419">
        <v>2125</v>
      </c>
      <c r="I3419">
        <v>17</v>
      </c>
      <c r="J3419">
        <v>31</v>
      </c>
      <c r="K3419">
        <v>31</v>
      </c>
      <c r="L3419">
        <v>9</v>
      </c>
      <c r="M3419">
        <v>0</v>
      </c>
      <c r="N3419">
        <v>9</v>
      </c>
      <c r="P3419">
        <f>G3419*I3419/100</f>
        <v>3646.8740000000003</v>
      </c>
      <c r="Q3419">
        <f t="shared" si="30"/>
        <v>257426.40000000002</v>
      </c>
      <c r="R3419">
        <f>K3419/J3419</f>
        <v>1</v>
      </c>
    </row>
    <row r="3420" spans="1:18" x14ac:dyDescent="0.3">
      <c r="A3420">
        <v>24</v>
      </c>
      <c r="B3420">
        <v>691</v>
      </c>
      <c r="C3420" t="s">
        <v>17</v>
      </c>
      <c r="D3420" t="s">
        <v>18</v>
      </c>
      <c r="E3420">
        <v>89</v>
      </c>
      <c r="F3420" t="s">
        <v>19</v>
      </c>
      <c r="G3420">
        <v>2997.5000000000005</v>
      </c>
      <c r="H3420">
        <v>21630</v>
      </c>
      <c r="I3420">
        <v>11</v>
      </c>
      <c r="J3420">
        <v>6</v>
      </c>
      <c r="K3420">
        <v>6</v>
      </c>
      <c r="L3420">
        <v>5</v>
      </c>
      <c r="M3420">
        <v>1</v>
      </c>
      <c r="N3420">
        <v>4</v>
      </c>
      <c r="P3420">
        <f>G3420*I3420/100</f>
        <v>329.72500000000008</v>
      </c>
      <c r="Q3420">
        <f t="shared" si="30"/>
        <v>35970.000000000007</v>
      </c>
      <c r="R3420">
        <f>K3420/J3420</f>
        <v>1</v>
      </c>
    </row>
    <row r="3421" spans="1:18" x14ac:dyDescent="0.3">
      <c r="A3421">
        <v>26</v>
      </c>
      <c r="B3421">
        <v>703</v>
      </c>
      <c r="C3421" t="s">
        <v>14</v>
      </c>
      <c r="D3421" t="s">
        <v>18</v>
      </c>
      <c r="E3421">
        <v>66</v>
      </c>
      <c r="F3421" t="s">
        <v>16</v>
      </c>
      <c r="G3421">
        <v>6899.2000000000007</v>
      </c>
      <c r="H3421">
        <v>7428</v>
      </c>
      <c r="I3421">
        <v>20</v>
      </c>
      <c r="J3421">
        <v>6</v>
      </c>
      <c r="K3421">
        <v>5</v>
      </c>
      <c r="L3421">
        <v>3</v>
      </c>
      <c r="M3421">
        <v>1</v>
      </c>
      <c r="N3421">
        <v>4</v>
      </c>
      <c r="P3421">
        <f>G3421*I3421/100</f>
        <v>1379.84</v>
      </c>
      <c r="Q3421">
        <f t="shared" si="30"/>
        <v>82790.400000000009</v>
      </c>
      <c r="R3421">
        <f>K3421/J3421</f>
        <v>0.83333333333333337</v>
      </c>
    </row>
    <row r="3422" spans="1:18" x14ac:dyDescent="0.3">
      <c r="A3422">
        <v>24</v>
      </c>
      <c r="B3422">
        <v>823</v>
      </c>
      <c r="C3422" t="s">
        <v>17</v>
      </c>
      <c r="D3422" t="s">
        <v>18</v>
      </c>
      <c r="E3422">
        <v>94</v>
      </c>
      <c r="F3422" t="s">
        <v>20</v>
      </c>
      <c r="G3422">
        <v>2339.7000000000003</v>
      </c>
      <c r="H3422">
        <v>9100</v>
      </c>
      <c r="I3422">
        <v>21</v>
      </c>
      <c r="J3422">
        <v>1</v>
      </c>
      <c r="K3422">
        <v>1</v>
      </c>
      <c r="L3422">
        <v>0</v>
      </c>
      <c r="M3422">
        <v>0</v>
      </c>
      <c r="N3422">
        <v>0</v>
      </c>
      <c r="P3422">
        <f>G3422*I3422/100</f>
        <v>491.33700000000005</v>
      </c>
      <c r="Q3422">
        <f t="shared" si="30"/>
        <v>28076.400000000001</v>
      </c>
      <c r="R3422">
        <f>K3422/J3422</f>
        <v>1</v>
      </c>
    </row>
    <row r="3423" spans="1:18" x14ac:dyDescent="0.3">
      <c r="A3423">
        <v>50</v>
      </c>
      <c r="B3423">
        <v>1246</v>
      </c>
      <c r="C3423" t="s">
        <v>26</v>
      </c>
      <c r="D3423" t="s">
        <v>18</v>
      </c>
      <c r="E3423">
        <v>99</v>
      </c>
      <c r="F3423" t="s">
        <v>23</v>
      </c>
      <c r="G3423">
        <v>20020</v>
      </c>
      <c r="H3423">
        <v>7999</v>
      </c>
      <c r="I3423">
        <v>11</v>
      </c>
      <c r="J3423">
        <v>32</v>
      </c>
      <c r="K3423">
        <v>32</v>
      </c>
      <c r="L3423">
        <v>5</v>
      </c>
      <c r="M3423">
        <v>10</v>
      </c>
      <c r="N3423">
        <v>7</v>
      </c>
      <c r="P3423">
        <f>G3423*I3423/100</f>
        <v>2202.1999999999998</v>
      </c>
      <c r="Q3423">
        <f t="shared" si="30"/>
        <v>240240</v>
      </c>
      <c r="R3423">
        <f>K3423/J3423</f>
        <v>1</v>
      </c>
    </row>
    <row r="3424" spans="1:18" x14ac:dyDescent="0.3">
      <c r="A3424">
        <v>25</v>
      </c>
      <c r="B3424">
        <v>622</v>
      </c>
      <c r="C3424" t="s">
        <v>14</v>
      </c>
      <c r="D3424" t="s">
        <v>18</v>
      </c>
      <c r="E3424">
        <v>40</v>
      </c>
      <c r="F3424" t="s">
        <v>24</v>
      </c>
      <c r="G3424">
        <v>2305.6000000000004</v>
      </c>
      <c r="H3424">
        <v>26376</v>
      </c>
      <c r="I3424">
        <v>11</v>
      </c>
      <c r="J3424">
        <v>7</v>
      </c>
      <c r="K3424">
        <v>7</v>
      </c>
      <c r="L3424">
        <v>4</v>
      </c>
      <c r="M3424">
        <v>0</v>
      </c>
      <c r="N3424">
        <v>6</v>
      </c>
      <c r="P3424">
        <f>G3424*I3424/100</f>
        <v>253.61600000000007</v>
      </c>
      <c r="Q3424">
        <f t="shared" si="30"/>
        <v>27667.200000000004</v>
      </c>
      <c r="R3424">
        <f>K3424/J3424</f>
        <v>1</v>
      </c>
    </row>
    <row r="3425" spans="1:18" x14ac:dyDescent="0.3">
      <c r="A3425">
        <v>24</v>
      </c>
      <c r="B3425">
        <v>1287</v>
      </c>
      <c r="C3425" t="s">
        <v>17</v>
      </c>
      <c r="D3425" t="s">
        <v>15</v>
      </c>
      <c r="E3425">
        <v>55</v>
      </c>
      <c r="F3425" t="s">
        <v>20</v>
      </c>
      <c r="G3425">
        <v>3174.6000000000004</v>
      </c>
      <c r="H3425">
        <v>14168</v>
      </c>
      <c r="I3425">
        <v>16</v>
      </c>
      <c r="J3425">
        <v>6</v>
      </c>
      <c r="K3425">
        <v>6</v>
      </c>
      <c r="L3425">
        <v>3</v>
      </c>
      <c r="M3425">
        <v>1</v>
      </c>
      <c r="N3425">
        <v>2</v>
      </c>
      <c r="P3425">
        <f>G3425*I3425/100</f>
        <v>507.93600000000004</v>
      </c>
      <c r="Q3425">
        <f t="shared" si="30"/>
        <v>38095.200000000004</v>
      </c>
      <c r="R3425">
        <f>K3425/J3425</f>
        <v>1</v>
      </c>
    </row>
    <row r="3426" spans="1:18" x14ac:dyDescent="0.3">
      <c r="A3426">
        <v>30</v>
      </c>
      <c r="B3426">
        <v>448</v>
      </c>
      <c r="C3426" t="s">
        <v>14</v>
      </c>
      <c r="D3426" t="s">
        <v>18</v>
      </c>
      <c r="E3426">
        <v>74</v>
      </c>
      <c r="F3426" t="s">
        <v>24</v>
      </c>
      <c r="G3426">
        <v>2236.3000000000002</v>
      </c>
      <c r="H3426">
        <v>14470</v>
      </c>
      <c r="I3426">
        <v>18</v>
      </c>
      <c r="J3426">
        <v>1</v>
      </c>
      <c r="K3426">
        <v>1</v>
      </c>
      <c r="L3426">
        <v>0</v>
      </c>
      <c r="M3426">
        <v>0</v>
      </c>
      <c r="N3426">
        <v>0</v>
      </c>
      <c r="P3426">
        <f>G3426*I3426/100</f>
        <v>402.53399999999999</v>
      </c>
      <c r="Q3426">
        <f t="shared" si="30"/>
        <v>26835.600000000002</v>
      </c>
      <c r="R3426">
        <f>K3426/J3426</f>
        <v>1</v>
      </c>
    </row>
    <row r="3427" spans="1:18" x14ac:dyDescent="0.3">
      <c r="A3427">
        <v>34</v>
      </c>
      <c r="B3427">
        <v>254</v>
      </c>
      <c r="C3427" t="s">
        <v>17</v>
      </c>
      <c r="D3427" t="s">
        <v>18</v>
      </c>
      <c r="E3427">
        <v>83</v>
      </c>
      <c r="F3427" t="s">
        <v>19</v>
      </c>
      <c r="G3427">
        <v>3984.2000000000003</v>
      </c>
      <c r="H3427">
        <v>22794</v>
      </c>
      <c r="I3427">
        <v>13</v>
      </c>
      <c r="J3427">
        <v>6</v>
      </c>
      <c r="K3427">
        <v>6</v>
      </c>
      <c r="L3427">
        <v>5</v>
      </c>
      <c r="M3427">
        <v>1</v>
      </c>
      <c r="N3427">
        <v>3</v>
      </c>
      <c r="P3427">
        <f>G3427*I3427/100</f>
        <v>517.94600000000003</v>
      </c>
      <c r="Q3427">
        <f t="shared" si="30"/>
        <v>47810.400000000001</v>
      </c>
      <c r="R3427">
        <f>K3427/J3427</f>
        <v>1</v>
      </c>
    </row>
    <row r="3428" spans="1:18" x14ac:dyDescent="0.3">
      <c r="A3428">
        <v>31</v>
      </c>
      <c r="B3428">
        <v>1365</v>
      </c>
      <c r="C3428" t="s">
        <v>14</v>
      </c>
      <c r="D3428" t="s">
        <v>18</v>
      </c>
      <c r="E3428">
        <v>46</v>
      </c>
      <c r="F3428" t="s">
        <v>16</v>
      </c>
      <c r="G3428">
        <v>4656.3</v>
      </c>
      <c r="H3428">
        <v>11512</v>
      </c>
      <c r="I3428">
        <v>17</v>
      </c>
      <c r="J3428">
        <v>9</v>
      </c>
      <c r="K3428">
        <v>3</v>
      </c>
      <c r="L3428">
        <v>1</v>
      </c>
      <c r="M3428">
        <v>1</v>
      </c>
      <c r="N3428">
        <v>2</v>
      </c>
      <c r="P3428">
        <f>G3428*I3428/100</f>
        <v>791.57100000000003</v>
      </c>
      <c r="Q3428">
        <f t="shared" si="30"/>
        <v>55875.600000000006</v>
      </c>
      <c r="R3428">
        <f>K3428/J3428</f>
        <v>0.33333333333333331</v>
      </c>
    </row>
    <row r="3429" spans="1:18" x14ac:dyDescent="0.3">
      <c r="A3429">
        <v>35</v>
      </c>
      <c r="B3429">
        <v>538</v>
      </c>
      <c r="C3429" t="s">
        <v>17</v>
      </c>
      <c r="D3429" t="s">
        <v>18</v>
      </c>
      <c r="E3429">
        <v>54</v>
      </c>
      <c r="F3429" t="s">
        <v>20</v>
      </c>
      <c r="G3429">
        <v>4049.1000000000004</v>
      </c>
      <c r="H3429">
        <v>14004</v>
      </c>
      <c r="I3429">
        <v>14</v>
      </c>
      <c r="J3429">
        <v>9</v>
      </c>
      <c r="K3429">
        <v>3</v>
      </c>
      <c r="L3429">
        <v>2</v>
      </c>
      <c r="M3429">
        <v>0</v>
      </c>
      <c r="N3429">
        <v>2</v>
      </c>
      <c r="P3429">
        <f>G3429*I3429/100</f>
        <v>566.87400000000014</v>
      </c>
      <c r="Q3429">
        <f t="shared" si="30"/>
        <v>48589.200000000004</v>
      </c>
      <c r="R3429">
        <f>K3429/J3429</f>
        <v>0.33333333333333331</v>
      </c>
    </row>
    <row r="3430" spans="1:18" x14ac:dyDescent="0.3">
      <c r="A3430">
        <v>31</v>
      </c>
      <c r="B3430">
        <v>525</v>
      </c>
      <c r="C3430" t="s">
        <v>14</v>
      </c>
      <c r="D3430" t="s">
        <v>18</v>
      </c>
      <c r="E3430">
        <v>66</v>
      </c>
      <c r="F3430" t="s">
        <v>16</v>
      </c>
      <c r="G3430">
        <v>6006.0000000000009</v>
      </c>
      <c r="H3430">
        <v>6219</v>
      </c>
      <c r="I3430">
        <v>22</v>
      </c>
      <c r="J3430">
        <v>13</v>
      </c>
      <c r="K3430">
        <v>7</v>
      </c>
      <c r="L3430">
        <v>7</v>
      </c>
      <c r="M3430">
        <v>5</v>
      </c>
      <c r="N3430">
        <v>7</v>
      </c>
      <c r="P3430">
        <f>G3430*I3430/100</f>
        <v>1321.3200000000004</v>
      </c>
      <c r="Q3430">
        <f t="shared" si="30"/>
        <v>72072.000000000015</v>
      </c>
      <c r="R3430">
        <f>K3430/J3430</f>
        <v>0.53846153846153844</v>
      </c>
    </row>
    <row r="3431" spans="1:18" x14ac:dyDescent="0.3">
      <c r="A3431">
        <v>27</v>
      </c>
      <c r="B3431">
        <v>798</v>
      </c>
      <c r="C3431" t="s">
        <v>17</v>
      </c>
      <c r="D3431" t="s">
        <v>15</v>
      </c>
      <c r="E3431">
        <v>66</v>
      </c>
      <c r="F3431" t="s">
        <v>19</v>
      </c>
      <c r="G3431">
        <v>2405.7000000000003</v>
      </c>
      <c r="H3431">
        <v>5013</v>
      </c>
      <c r="I3431">
        <v>12</v>
      </c>
      <c r="J3431">
        <v>6</v>
      </c>
      <c r="K3431">
        <v>5</v>
      </c>
      <c r="L3431">
        <v>3</v>
      </c>
      <c r="M3431">
        <v>0</v>
      </c>
      <c r="N3431">
        <v>3</v>
      </c>
      <c r="P3431">
        <f>G3431*I3431/100</f>
        <v>288.68400000000003</v>
      </c>
      <c r="Q3431">
        <f t="shared" si="30"/>
        <v>28868.400000000001</v>
      </c>
      <c r="R3431">
        <f>K3431/J3431</f>
        <v>0.83333333333333337</v>
      </c>
    </row>
    <row r="3432" spans="1:18" x14ac:dyDescent="0.3">
      <c r="A3432">
        <v>37</v>
      </c>
      <c r="B3432">
        <v>558</v>
      </c>
      <c r="C3432" t="s">
        <v>14</v>
      </c>
      <c r="D3432" t="s">
        <v>18</v>
      </c>
      <c r="E3432">
        <v>75</v>
      </c>
      <c r="F3432" t="s">
        <v>16</v>
      </c>
      <c r="G3432">
        <v>10562.2</v>
      </c>
      <c r="H3432">
        <v>3010</v>
      </c>
      <c r="I3432">
        <v>11</v>
      </c>
      <c r="J3432">
        <v>17</v>
      </c>
      <c r="K3432">
        <v>3</v>
      </c>
      <c r="L3432">
        <v>0</v>
      </c>
      <c r="M3432">
        <v>1</v>
      </c>
      <c r="N3432">
        <v>0</v>
      </c>
      <c r="P3432">
        <f>G3432*I3432/100</f>
        <v>1161.8420000000001</v>
      </c>
      <c r="Q3432">
        <f t="shared" si="30"/>
        <v>126746.40000000001</v>
      </c>
      <c r="R3432">
        <f>K3432/J3432</f>
        <v>0.17647058823529413</v>
      </c>
    </row>
    <row r="3433" spans="1:18" x14ac:dyDescent="0.3">
      <c r="A3433">
        <v>20</v>
      </c>
      <c r="B3433">
        <v>959</v>
      </c>
      <c r="C3433" t="s">
        <v>17</v>
      </c>
      <c r="D3433" t="s">
        <v>15</v>
      </c>
      <c r="E3433">
        <v>83</v>
      </c>
      <c r="F3433" t="s">
        <v>19</v>
      </c>
      <c r="G3433">
        <v>3119.6000000000004</v>
      </c>
      <c r="H3433">
        <v>11757</v>
      </c>
      <c r="I3433">
        <v>13</v>
      </c>
      <c r="J3433">
        <v>1</v>
      </c>
      <c r="K3433">
        <v>1</v>
      </c>
      <c r="L3433">
        <v>0</v>
      </c>
      <c r="M3433">
        <v>0</v>
      </c>
      <c r="N3433">
        <v>0</v>
      </c>
      <c r="P3433">
        <f>G3433*I3433/100</f>
        <v>405.548</v>
      </c>
      <c r="Q3433">
        <f t="shared" si="30"/>
        <v>37435.200000000004</v>
      </c>
      <c r="R3433">
        <f>K3433/J3433</f>
        <v>1</v>
      </c>
    </row>
    <row r="3434" spans="1:18" x14ac:dyDescent="0.3">
      <c r="A3434">
        <v>42</v>
      </c>
      <c r="B3434">
        <v>622</v>
      </c>
      <c r="C3434" t="s">
        <v>17</v>
      </c>
      <c r="D3434" t="s">
        <v>15</v>
      </c>
      <c r="E3434">
        <v>81</v>
      </c>
      <c r="F3434" t="s">
        <v>22</v>
      </c>
      <c r="G3434">
        <v>4497.9000000000005</v>
      </c>
      <c r="H3434">
        <v>5718</v>
      </c>
      <c r="I3434">
        <v>13</v>
      </c>
      <c r="J3434">
        <v>10</v>
      </c>
      <c r="K3434">
        <v>10</v>
      </c>
      <c r="L3434">
        <v>2</v>
      </c>
      <c r="M3434">
        <v>2</v>
      </c>
      <c r="N3434">
        <v>2</v>
      </c>
      <c r="P3434">
        <f>G3434*I3434/100</f>
        <v>584.72700000000009</v>
      </c>
      <c r="Q3434">
        <f t="shared" si="30"/>
        <v>53974.8</v>
      </c>
      <c r="R3434">
        <f>K3434/J3434</f>
        <v>1</v>
      </c>
    </row>
    <row r="3435" spans="1:18" x14ac:dyDescent="0.3">
      <c r="A3435">
        <v>43</v>
      </c>
      <c r="B3435">
        <v>782</v>
      </c>
      <c r="C3435" t="s">
        <v>17</v>
      </c>
      <c r="D3435" t="s">
        <v>18</v>
      </c>
      <c r="E3435">
        <v>50</v>
      </c>
      <c r="F3435" t="s">
        <v>25</v>
      </c>
      <c r="G3435">
        <v>18289.7</v>
      </c>
      <c r="H3435">
        <v>2671</v>
      </c>
      <c r="I3435">
        <v>14</v>
      </c>
      <c r="J3435">
        <v>21</v>
      </c>
      <c r="K3435">
        <v>1</v>
      </c>
      <c r="L3435">
        <v>0</v>
      </c>
      <c r="M3435">
        <v>0</v>
      </c>
      <c r="N3435">
        <v>0</v>
      </c>
      <c r="P3435">
        <f>G3435*I3435/100</f>
        <v>2560.558</v>
      </c>
      <c r="Q3435">
        <f t="shared" si="30"/>
        <v>219476.40000000002</v>
      </c>
      <c r="R3435">
        <f>K3435/J3435</f>
        <v>4.7619047619047616E-2</v>
      </c>
    </row>
    <row r="3436" spans="1:18" x14ac:dyDescent="0.3">
      <c r="A3436">
        <v>38</v>
      </c>
      <c r="B3436">
        <v>362</v>
      </c>
      <c r="C3436" t="s">
        <v>17</v>
      </c>
      <c r="D3436" t="s">
        <v>15</v>
      </c>
      <c r="E3436">
        <v>43</v>
      </c>
      <c r="F3436" t="s">
        <v>19</v>
      </c>
      <c r="G3436">
        <v>2880.9</v>
      </c>
      <c r="H3436">
        <v>14561</v>
      </c>
      <c r="I3436">
        <v>17</v>
      </c>
      <c r="J3436">
        <v>8</v>
      </c>
      <c r="K3436">
        <v>0</v>
      </c>
      <c r="L3436">
        <v>0</v>
      </c>
      <c r="M3436">
        <v>0</v>
      </c>
      <c r="N3436">
        <v>0</v>
      </c>
      <c r="P3436">
        <f>G3436*I3436/100</f>
        <v>489.75300000000004</v>
      </c>
      <c r="Q3436">
        <f t="shared" si="30"/>
        <v>34570.800000000003</v>
      </c>
      <c r="R3436">
        <f>K3436/J3436</f>
        <v>0</v>
      </c>
    </row>
    <row r="3437" spans="1:18" x14ac:dyDescent="0.3">
      <c r="A3437">
        <v>43</v>
      </c>
      <c r="B3437">
        <v>1001</v>
      </c>
      <c r="C3437" t="s">
        <v>17</v>
      </c>
      <c r="D3437" t="s">
        <v>18</v>
      </c>
      <c r="E3437">
        <v>72</v>
      </c>
      <c r="F3437" t="s">
        <v>20</v>
      </c>
      <c r="G3437">
        <v>6246.9000000000005</v>
      </c>
      <c r="H3437">
        <v>19627</v>
      </c>
      <c r="I3437">
        <v>13</v>
      </c>
      <c r="J3437">
        <v>10</v>
      </c>
      <c r="K3437">
        <v>8</v>
      </c>
      <c r="L3437">
        <v>7</v>
      </c>
      <c r="M3437">
        <v>4</v>
      </c>
      <c r="N3437">
        <v>7</v>
      </c>
      <c r="P3437">
        <f>G3437*I3437/100</f>
        <v>812.09700000000009</v>
      </c>
      <c r="Q3437">
        <f t="shared" si="30"/>
        <v>74962.8</v>
      </c>
      <c r="R3437">
        <f>K3437/J3437</f>
        <v>0.8</v>
      </c>
    </row>
    <row r="3438" spans="1:18" x14ac:dyDescent="0.3">
      <c r="A3438">
        <v>48</v>
      </c>
      <c r="B3438">
        <v>1236</v>
      </c>
      <c r="C3438" t="s">
        <v>17</v>
      </c>
      <c r="D3438" t="s">
        <v>15</v>
      </c>
      <c r="E3438">
        <v>40</v>
      </c>
      <c r="F3438" t="s">
        <v>23</v>
      </c>
      <c r="G3438">
        <v>16942.2</v>
      </c>
      <c r="H3438">
        <v>17997</v>
      </c>
      <c r="I3438">
        <v>11</v>
      </c>
      <c r="J3438">
        <v>21</v>
      </c>
      <c r="K3438">
        <v>3</v>
      </c>
      <c r="L3438">
        <v>2</v>
      </c>
      <c r="M3438">
        <v>0</v>
      </c>
      <c r="N3438">
        <v>2</v>
      </c>
      <c r="P3438">
        <f>G3438*I3438/100</f>
        <v>1863.6420000000001</v>
      </c>
      <c r="Q3438">
        <f t="shared" si="30"/>
        <v>203306.40000000002</v>
      </c>
      <c r="R3438">
        <f>K3438/J3438</f>
        <v>0.14285714285714285</v>
      </c>
    </row>
    <row r="3439" spans="1:18" x14ac:dyDescent="0.3">
      <c r="A3439">
        <v>44</v>
      </c>
      <c r="B3439">
        <v>1112</v>
      </c>
      <c r="C3439" t="s">
        <v>26</v>
      </c>
      <c r="D3439" t="s">
        <v>15</v>
      </c>
      <c r="E3439">
        <v>50</v>
      </c>
      <c r="F3439" t="s">
        <v>26</v>
      </c>
      <c r="G3439">
        <v>6583.5000000000009</v>
      </c>
      <c r="H3439">
        <v>26894</v>
      </c>
      <c r="I3439">
        <v>11</v>
      </c>
      <c r="J3439">
        <v>10</v>
      </c>
      <c r="K3439">
        <v>2</v>
      </c>
      <c r="L3439">
        <v>2</v>
      </c>
      <c r="M3439">
        <v>0</v>
      </c>
      <c r="N3439">
        <v>2</v>
      </c>
      <c r="P3439">
        <f>G3439*I3439/100</f>
        <v>724.18500000000017</v>
      </c>
      <c r="Q3439">
        <f t="shared" si="30"/>
        <v>79002.000000000015</v>
      </c>
      <c r="R3439">
        <f>K3439/J3439</f>
        <v>0.2</v>
      </c>
    </row>
    <row r="3440" spans="1:18" x14ac:dyDescent="0.3">
      <c r="A3440">
        <v>34</v>
      </c>
      <c r="B3440">
        <v>204</v>
      </c>
      <c r="C3440" t="s">
        <v>14</v>
      </c>
      <c r="D3440" t="s">
        <v>15</v>
      </c>
      <c r="E3440">
        <v>31</v>
      </c>
      <c r="F3440" t="s">
        <v>24</v>
      </c>
      <c r="G3440">
        <v>2836.9</v>
      </c>
      <c r="H3440">
        <v>2912</v>
      </c>
      <c r="I3440">
        <v>18</v>
      </c>
      <c r="J3440">
        <v>8</v>
      </c>
      <c r="K3440">
        <v>8</v>
      </c>
      <c r="L3440">
        <v>2</v>
      </c>
      <c r="M3440">
        <v>0</v>
      </c>
      <c r="N3440">
        <v>6</v>
      </c>
      <c r="P3440">
        <f>G3440*I3440/100</f>
        <v>510.64200000000005</v>
      </c>
      <c r="Q3440">
        <f t="shared" si="30"/>
        <v>34042.800000000003</v>
      </c>
      <c r="R3440">
        <f>K3440/J3440</f>
        <v>1</v>
      </c>
    </row>
    <row r="3441" spans="1:18" x14ac:dyDescent="0.3">
      <c r="A3441">
        <v>27</v>
      </c>
      <c r="B3441">
        <v>1420</v>
      </c>
      <c r="C3441" t="s">
        <v>14</v>
      </c>
      <c r="D3441" t="s">
        <v>18</v>
      </c>
      <c r="E3441">
        <v>85</v>
      </c>
      <c r="F3441" t="s">
        <v>24</v>
      </c>
      <c r="G3441">
        <v>3345.1000000000004</v>
      </c>
      <c r="H3441">
        <v>16346</v>
      </c>
      <c r="I3441">
        <v>11</v>
      </c>
      <c r="J3441">
        <v>5</v>
      </c>
      <c r="K3441">
        <v>4</v>
      </c>
      <c r="L3441">
        <v>3</v>
      </c>
      <c r="M3441">
        <v>0</v>
      </c>
      <c r="N3441">
        <v>2</v>
      </c>
      <c r="P3441">
        <f>G3441*I3441/100</f>
        <v>367.96100000000007</v>
      </c>
      <c r="Q3441">
        <f t="shared" si="30"/>
        <v>40141.200000000004</v>
      </c>
      <c r="R3441">
        <f>K3441/J3441</f>
        <v>0.8</v>
      </c>
    </row>
    <row r="3442" spans="1:18" x14ac:dyDescent="0.3">
      <c r="A3442">
        <v>21</v>
      </c>
      <c r="B3442">
        <v>1343</v>
      </c>
      <c r="C3442" t="s">
        <v>14</v>
      </c>
      <c r="D3442" t="s">
        <v>18</v>
      </c>
      <c r="E3442">
        <v>49</v>
      </c>
      <c r="F3442" t="s">
        <v>24</v>
      </c>
      <c r="G3442">
        <v>3791.7000000000003</v>
      </c>
      <c r="H3442">
        <v>24444</v>
      </c>
      <c r="I3442">
        <v>11</v>
      </c>
      <c r="J3442">
        <v>3</v>
      </c>
      <c r="K3442">
        <v>3</v>
      </c>
      <c r="L3442">
        <v>2</v>
      </c>
      <c r="M3442">
        <v>1</v>
      </c>
      <c r="N3442">
        <v>2</v>
      </c>
      <c r="P3442">
        <f>G3442*I3442/100</f>
        <v>417.08700000000005</v>
      </c>
      <c r="Q3442">
        <f t="shared" si="30"/>
        <v>45500.4</v>
      </c>
      <c r="R3442">
        <f>K3442/J3442</f>
        <v>1</v>
      </c>
    </row>
    <row r="3443" spans="1:18" x14ac:dyDescent="0.3">
      <c r="A3443">
        <v>44</v>
      </c>
      <c r="B3443">
        <v>1315</v>
      </c>
      <c r="C3443" t="s">
        <v>17</v>
      </c>
      <c r="D3443" t="s">
        <v>18</v>
      </c>
      <c r="E3443">
        <v>35</v>
      </c>
      <c r="F3443" t="s">
        <v>23</v>
      </c>
      <c r="G3443">
        <v>21464.300000000003</v>
      </c>
      <c r="H3443">
        <v>9358</v>
      </c>
      <c r="I3443">
        <v>12</v>
      </c>
      <c r="J3443">
        <v>26</v>
      </c>
      <c r="K3443">
        <v>2</v>
      </c>
      <c r="L3443">
        <v>2</v>
      </c>
      <c r="M3443">
        <v>0</v>
      </c>
      <c r="N3443">
        <v>1</v>
      </c>
      <c r="P3443">
        <f>G3443*I3443/100</f>
        <v>2575.7160000000003</v>
      </c>
      <c r="Q3443">
        <f t="shared" si="30"/>
        <v>257571.60000000003</v>
      </c>
      <c r="R3443">
        <f>K3443/J3443</f>
        <v>7.6923076923076927E-2</v>
      </c>
    </row>
    <row r="3444" spans="1:18" x14ac:dyDescent="0.3">
      <c r="A3444">
        <v>22</v>
      </c>
      <c r="B3444">
        <v>604</v>
      </c>
      <c r="C3444" t="s">
        <v>17</v>
      </c>
      <c r="D3444" t="s">
        <v>18</v>
      </c>
      <c r="E3444">
        <v>69</v>
      </c>
      <c r="F3444" t="s">
        <v>19</v>
      </c>
      <c r="G3444">
        <v>3050.3</v>
      </c>
      <c r="H3444">
        <v>12145</v>
      </c>
      <c r="I3444">
        <v>20</v>
      </c>
      <c r="J3444">
        <v>3</v>
      </c>
      <c r="K3444">
        <v>2</v>
      </c>
      <c r="L3444">
        <v>2</v>
      </c>
      <c r="M3444">
        <v>2</v>
      </c>
      <c r="N3444">
        <v>2</v>
      </c>
      <c r="P3444">
        <f>G3444*I3444/100</f>
        <v>610.05999999999995</v>
      </c>
      <c r="Q3444">
        <f t="shared" si="30"/>
        <v>36603.600000000006</v>
      </c>
      <c r="R3444">
        <f>K3444/J3444</f>
        <v>0.66666666666666663</v>
      </c>
    </row>
    <row r="3445" spans="1:18" x14ac:dyDescent="0.3">
      <c r="A3445">
        <v>33</v>
      </c>
      <c r="B3445">
        <v>1216</v>
      </c>
      <c r="C3445" t="s">
        <v>14</v>
      </c>
      <c r="D3445" t="s">
        <v>18</v>
      </c>
      <c r="E3445">
        <v>39</v>
      </c>
      <c r="F3445" t="s">
        <v>16</v>
      </c>
      <c r="G3445">
        <v>7814.4000000000005</v>
      </c>
      <c r="H3445">
        <v>20431</v>
      </c>
      <c r="I3445">
        <v>12</v>
      </c>
      <c r="J3445">
        <v>6</v>
      </c>
      <c r="K3445">
        <v>5</v>
      </c>
      <c r="L3445">
        <v>0</v>
      </c>
      <c r="M3445">
        <v>1</v>
      </c>
      <c r="N3445">
        <v>2</v>
      </c>
      <c r="P3445">
        <f>G3445*I3445/100</f>
        <v>937.72800000000007</v>
      </c>
      <c r="Q3445">
        <f t="shared" si="30"/>
        <v>93772.800000000003</v>
      </c>
      <c r="R3445">
        <f>K3445/J3445</f>
        <v>0.83333333333333337</v>
      </c>
    </row>
    <row r="3446" spans="1:18" x14ac:dyDescent="0.3">
      <c r="A3446">
        <v>32</v>
      </c>
      <c r="B3446">
        <v>646</v>
      </c>
      <c r="C3446" t="s">
        <v>17</v>
      </c>
      <c r="D3446" t="s">
        <v>15</v>
      </c>
      <c r="E3446">
        <v>92</v>
      </c>
      <c r="F3446" t="s">
        <v>19</v>
      </c>
      <c r="G3446">
        <v>6954.2000000000007</v>
      </c>
      <c r="H3446">
        <v>18089</v>
      </c>
      <c r="I3446">
        <v>12</v>
      </c>
      <c r="J3446">
        <v>6</v>
      </c>
      <c r="K3446">
        <v>6</v>
      </c>
      <c r="L3446">
        <v>4</v>
      </c>
      <c r="M3446">
        <v>0</v>
      </c>
      <c r="N3446">
        <v>5</v>
      </c>
      <c r="P3446">
        <f>G3446*I3446/100</f>
        <v>834.50400000000013</v>
      </c>
      <c r="Q3446">
        <f t="shared" si="30"/>
        <v>83450.400000000009</v>
      </c>
      <c r="R3446">
        <f>K3446/J3446</f>
        <v>1</v>
      </c>
    </row>
    <row r="3447" spans="1:18" x14ac:dyDescent="0.3">
      <c r="A3447">
        <v>30</v>
      </c>
      <c r="B3447">
        <v>160</v>
      </c>
      <c r="C3447" t="s">
        <v>17</v>
      </c>
      <c r="D3447" t="s">
        <v>15</v>
      </c>
      <c r="E3447">
        <v>71</v>
      </c>
      <c r="F3447" t="s">
        <v>19</v>
      </c>
      <c r="G3447">
        <v>2291.3000000000002</v>
      </c>
      <c r="H3447">
        <v>22653</v>
      </c>
      <c r="I3447">
        <v>20</v>
      </c>
      <c r="J3447">
        <v>1</v>
      </c>
      <c r="K3447">
        <v>1</v>
      </c>
      <c r="L3447">
        <v>0</v>
      </c>
      <c r="M3447">
        <v>0</v>
      </c>
      <c r="N3447">
        <v>0</v>
      </c>
      <c r="P3447">
        <f>G3447*I3447/100</f>
        <v>458.26</v>
      </c>
      <c r="Q3447">
        <f t="shared" si="30"/>
        <v>27495.600000000002</v>
      </c>
      <c r="R3447">
        <f>K3447/J3447</f>
        <v>1</v>
      </c>
    </row>
    <row r="3448" spans="1:18" x14ac:dyDescent="0.3">
      <c r="A3448">
        <v>53</v>
      </c>
      <c r="B3448">
        <v>238</v>
      </c>
      <c r="C3448" t="s">
        <v>14</v>
      </c>
      <c r="D3448" t="s">
        <v>15</v>
      </c>
      <c r="E3448">
        <v>34</v>
      </c>
      <c r="F3448" t="s">
        <v>16</v>
      </c>
      <c r="G3448">
        <v>9219.1</v>
      </c>
      <c r="H3448">
        <v>7507</v>
      </c>
      <c r="I3448">
        <v>20</v>
      </c>
      <c r="J3448">
        <v>18</v>
      </c>
      <c r="K3448">
        <v>14</v>
      </c>
      <c r="L3448">
        <v>7</v>
      </c>
      <c r="M3448">
        <v>8</v>
      </c>
      <c r="N3448">
        <v>10</v>
      </c>
      <c r="P3448">
        <f>G3448*I3448/100</f>
        <v>1843.82</v>
      </c>
      <c r="Q3448">
        <f t="shared" si="30"/>
        <v>110629.20000000001</v>
      </c>
      <c r="R3448">
        <f>K3448/J3448</f>
        <v>0.77777777777777779</v>
      </c>
    </row>
    <row r="3449" spans="1:18" x14ac:dyDescent="0.3">
      <c r="A3449">
        <v>34</v>
      </c>
      <c r="B3449">
        <v>1397</v>
      </c>
      <c r="C3449" t="s">
        <v>17</v>
      </c>
      <c r="D3449" t="s">
        <v>18</v>
      </c>
      <c r="E3449">
        <v>42</v>
      </c>
      <c r="F3449" t="s">
        <v>19</v>
      </c>
      <c r="G3449">
        <v>2960.1000000000004</v>
      </c>
      <c r="H3449">
        <v>7660</v>
      </c>
      <c r="I3449">
        <v>12</v>
      </c>
      <c r="J3449">
        <v>10</v>
      </c>
      <c r="K3449">
        <v>10</v>
      </c>
      <c r="L3449">
        <v>9</v>
      </c>
      <c r="M3449">
        <v>8</v>
      </c>
      <c r="N3449">
        <v>8</v>
      </c>
      <c r="P3449">
        <f>G3449*I3449/100</f>
        <v>355.21200000000005</v>
      </c>
      <c r="Q3449">
        <f t="shared" si="30"/>
        <v>35521.200000000004</v>
      </c>
      <c r="R3449">
        <f>K3449/J3449</f>
        <v>1</v>
      </c>
    </row>
    <row r="3450" spans="1:18" x14ac:dyDescent="0.3">
      <c r="A3450">
        <v>45</v>
      </c>
      <c r="B3450">
        <v>306</v>
      </c>
      <c r="C3450" t="s">
        <v>14</v>
      </c>
      <c r="D3450" t="s">
        <v>15</v>
      </c>
      <c r="E3450">
        <v>100</v>
      </c>
      <c r="F3450" t="s">
        <v>16</v>
      </c>
      <c r="G3450">
        <v>4714.6000000000004</v>
      </c>
      <c r="H3450">
        <v>5630</v>
      </c>
      <c r="I3450">
        <v>14</v>
      </c>
      <c r="J3450">
        <v>5</v>
      </c>
      <c r="K3450">
        <v>1</v>
      </c>
      <c r="L3450">
        <v>1</v>
      </c>
      <c r="M3450">
        <v>0</v>
      </c>
      <c r="N3450">
        <v>0</v>
      </c>
      <c r="P3450">
        <f>G3450*I3450/100</f>
        <v>660.0440000000001</v>
      </c>
      <c r="Q3450">
        <f t="shared" si="30"/>
        <v>56575.200000000004</v>
      </c>
      <c r="R3450">
        <f>K3450/J3450</f>
        <v>0.2</v>
      </c>
    </row>
    <row r="3451" spans="1:18" x14ac:dyDescent="0.3">
      <c r="A3451">
        <v>26</v>
      </c>
      <c r="B3451">
        <v>991</v>
      </c>
      <c r="C3451" t="s">
        <v>17</v>
      </c>
      <c r="D3451" t="s">
        <v>15</v>
      </c>
      <c r="E3451">
        <v>71</v>
      </c>
      <c r="F3451" t="s">
        <v>20</v>
      </c>
      <c r="G3451">
        <v>2924.9</v>
      </c>
      <c r="H3451">
        <v>17759</v>
      </c>
      <c r="I3451">
        <v>13</v>
      </c>
      <c r="J3451">
        <v>3</v>
      </c>
      <c r="K3451">
        <v>3</v>
      </c>
      <c r="L3451">
        <v>2</v>
      </c>
      <c r="M3451">
        <v>0</v>
      </c>
      <c r="N3451">
        <v>2</v>
      </c>
      <c r="P3451">
        <f>G3451*I3451/100</f>
        <v>380.23700000000002</v>
      </c>
      <c r="Q3451">
        <f t="shared" si="30"/>
        <v>35098.800000000003</v>
      </c>
      <c r="R3451">
        <f>K3451/J3451</f>
        <v>1</v>
      </c>
    </row>
    <row r="3452" spans="1:18" x14ac:dyDescent="0.3">
      <c r="A3452">
        <v>37</v>
      </c>
      <c r="B3452">
        <v>482</v>
      </c>
      <c r="C3452" t="s">
        <v>17</v>
      </c>
      <c r="D3452" t="s">
        <v>18</v>
      </c>
      <c r="E3452">
        <v>36</v>
      </c>
      <c r="F3452" t="s">
        <v>21</v>
      </c>
      <c r="G3452">
        <v>10377.400000000001</v>
      </c>
      <c r="H3452">
        <v>9606</v>
      </c>
      <c r="I3452">
        <v>15</v>
      </c>
      <c r="J3452">
        <v>10</v>
      </c>
      <c r="K3452">
        <v>10</v>
      </c>
      <c r="L3452">
        <v>7</v>
      </c>
      <c r="M3452">
        <v>7</v>
      </c>
      <c r="N3452">
        <v>8</v>
      </c>
      <c r="P3452">
        <f>G3452*I3452/100</f>
        <v>1556.6100000000004</v>
      </c>
      <c r="Q3452">
        <f t="shared" si="30"/>
        <v>124528.80000000002</v>
      </c>
      <c r="R3452">
        <f>K3452/J3452</f>
        <v>1</v>
      </c>
    </row>
    <row r="3453" spans="1:18" x14ac:dyDescent="0.3">
      <c r="A3453">
        <v>29</v>
      </c>
      <c r="B3453">
        <v>1176</v>
      </c>
      <c r="C3453" t="s">
        <v>14</v>
      </c>
      <c r="D3453" t="s">
        <v>15</v>
      </c>
      <c r="E3453">
        <v>62</v>
      </c>
      <c r="F3453" t="s">
        <v>16</v>
      </c>
      <c r="G3453">
        <v>6117.1</v>
      </c>
      <c r="H3453">
        <v>3487</v>
      </c>
      <c r="I3453">
        <v>14</v>
      </c>
      <c r="J3453">
        <v>6</v>
      </c>
      <c r="K3453">
        <v>6</v>
      </c>
      <c r="L3453">
        <v>0</v>
      </c>
      <c r="M3453">
        <v>1</v>
      </c>
      <c r="N3453">
        <v>2</v>
      </c>
      <c r="P3453">
        <f>G3453*I3453/100</f>
        <v>856.39400000000012</v>
      </c>
      <c r="Q3453">
        <f t="shared" si="30"/>
        <v>73405.200000000012</v>
      </c>
      <c r="R3453">
        <f>K3453/J3453</f>
        <v>1</v>
      </c>
    </row>
    <row r="3454" spans="1:18" x14ac:dyDescent="0.3">
      <c r="A3454">
        <v>35</v>
      </c>
      <c r="B3454">
        <v>1017</v>
      </c>
      <c r="C3454" t="s">
        <v>17</v>
      </c>
      <c r="D3454" t="s">
        <v>18</v>
      </c>
      <c r="E3454">
        <v>82</v>
      </c>
      <c r="F3454" t="s">
        <v>19</v>
      </c>
      <c r="G3454">
        <v>7310.6</v>
      </c>
      <c r="H3454">
        <v>19368</v>
      </c>
      <c r="I3454">
        <v>13</v>
      </c>
      <c r="J3454">
        <v>17</v>
      </c>
      <c r="K3454">
        <v>17</v>
      </c>
      <c r="L3454">
        <v>11</v>
      </c>
      <c r="M3454">
        <v>11</v>
      </c>
      <c r="N3454">
        <v>8</v>
      </c>
      <c r="P3454">
        <f>G3454*I3454/100</f>
        <v>950.37800000000004</v>
      </c>
      <c r="Q3454">
        <f t="shared" si="30"/>
        <v>87727.200000000012</v>
      </c>
      <c r="R3454">
        <f>K3454/J3454</f>
        <v>1</v>
      </c>
    </row>
    <row r="3455" spans="1:18" x14ac:dyDescent="0.3">
      <c r="A3455">
        <v>33</v>
      </c>
      <c r="B3455">
        <v>1296</v>
      </c>
      <c r="C3455" t="s">
        <v>17</v>
      </c>
      <c r="D3455" t="s">
        <v>18</v>
      </c>
      <c r="E3455">
        <v>30</v>
      </c>
      <c r="F3455" t="s">
        <v>22</v>
      </c>
      <c r="G3455">
        <v>8497.5</v>
      </c>
      <c r="H3455">
        <v>5335</v>
      </c>
      <c r="I3455">
        <v>23</v>
      </c>
      <c r="J3455">
        <v>15</v>
      </c>
      <c r="K3455">
        <v>13</v>
      </c>
      <c r="L3455">
        <v>11</v>
      </c>
      <c r="M3455">
        <v>4</v>
      </c>
      <c r="N3455">
        <v>7</v>
      </c>
      <c r="P3455">
        <f>G3455*I3455/100</f>
        <v>1954.425</v>
      </c>
      <c r="Q3455">
        <f t="shared" si="30"/>
        <v>101970</v>
      </c>
      <c r="R3455">
        <f>K3455/J3455</f>
        <v>0.8666666666666667</v>
      </c>
    </row>
    <row r="3456" spans="1:18" x14ac:dyDescent="0.3">
      <c r="A3456">
        <v>54</v>
      </c>
      <c r="B3456">
        <v>397</v>
      </c>
      <c r="C3456" t="s">
        <v>26</v>
      </c>
      <c r="D3456" t="s">
        <v>18</v>
      </c>
      <c r="E3456">
        <v>88</v>
      </c>
      <c r="F3456" t="s">
        <v>26</v>
      </c>
      <c r="G3456">
        <v>11797.500000000002</v>
      </c>
      <c r="H3456">
        <v>6729</v>
      </c>
      <c r="I3456">
        <v>15</v>
      </c>
      <c r="J3456">
        <v>16</v>
      </c>
      <c r="K3456">
        <v>9</v>
      </c>
      <c r="L3456">
        <v>7</v>
      </c>
      <c r="M3456">
        <v>7</v>
      </c>
      <c r="N3456">
        <v>1</v>
      </c>
      <c r="P3456">
        <f>G3456*I3456/100</f>
        <v>1769.6250000000002</v>
      </c>
      <c r="Q3456">
        <f t="shared" si="30"/>
        <v>141570.00000000003</v>
      </c>
      <c r="R3456">
        <f>K3456/J3456</f>
        <v>0.5625</v>
      </c>
    </row>
    <row r="3457" spans="1:18" x14ac:dyDescent="0.3">
      <c r="A3457">
        <v>36</v>
      </c>
      <c r="B3457">
        <v>913</v>
      </c>
      <c r="C3457" t="s">
        <v>17</v>
      </c>
      <c r="D3457" t="s">
        <v>18</v>
      </c>
      <c r="E3457">
        <v>48</v>
      </c>
      <c r="F3457" t="s">
        <v>21</v>
      </c>
      <c r="G3457">
        <v>9731.7000000000007</v>
      </c>
      <c r="H3457">
        <v>13934</v>
      </c>
      <c r="I3457">
        <v>11</v>
      </c>
      <c r="J3457">
        <v>13</v>
      </c>
      <c r="K3457">
        <v>3</v>
      </c>
      <c r="L3457">
        <v>2</v>
      </c>
      <c r="M3457">
        <v>0</v>
      </c>
      <c r="N3457">
        <v>2</v>
      </c>
      <c r="P3457">
        <f>G3457*I3457/100</f>
        <v>1070.4870000000001</v>
      </c>
      <c r="Q3457">
        <f t="shared" si="30"/>
        <v>116780.40000000001</v>
      </c>
      <c r="R3457">
        <f>K3457/J3457</f>
        <v>0.23076923076923078</v>
      </c>
    </row>
    <row r="3458" spans="1:18" x14ac:dyDescent="0.3">
      <c r="A3458">
        <v>27</v>
      </c>
      <c r="B3458">
        <v>1115</v>
      </c>
      <c r="C3458" t="s">
        <v>17</v>
      </c>
      <c r="D3458" t="s">
        <v>18</v>
      </c>
      <c r="E3458">
        <v>54</v>
      </c>
      <c r="F3458" t="s">
        <v>19</v>
      </c>
      <c r="G3458">
        <v>2249.5</v>
      </c>
      <c r="H3458">
        <v>15174</v>
      </c>
      <c r="I3458">
        <v>13</v>
      </c>
      <c r="J3458">
        <v>5</v>
      </c>
      <c r="K3458">
        <v>4</v>
      </c>
      <c r="L3458">
        <v>2</v>
      </c>
      <c r="M3458">
        <v>1</v>
      </c>
      <c r="N3458">
        <v>1</v>
      </c>
      <c r="P3458">
        <f>G3458*I3458/100</f>
        <v>292.435</v>
      </c>
      <c r="Q3458">
        <f t="shared" si="30"/>
        <v>26994</v>
      </c>
      <c r="R3458">
        <f>K3458/J3458</f>
        <v>0.8</v>
      </c>
    </row>
    <row r="3459" spans="1:18" x14ac:dyDescent="0.3">
      <c r="A3459">
        <v>20</v>
      </c>
      <c r="B3459">
        <v>1362</v>
      </c>
      <c r="C3459" t="s">
        <v>17</v>
      </c>
      <c r="D3459" t="s">
        <v>18</v>
      </c>
      <c r="E3459">
        <v>32</v>
      </c>
      <c r="F3459" t="s">
        <v>19</v>
      </c>
      <c r="G3459">
        <v>1109.9000000000001</v>
      </c>
      <c r="H3459">
        <v>26999</v>
      </c>
      <c r="I3459">
        <v>11</v>
      </c>
      <c r="J3459">
        <v>1</v>
      </c>
      <c r="K3459">
        <v>1</v>
      </c>
      <c r="L3459">
        <v>0</v>
      </c>
      <c r="M3459">
        <v>1</v>
      </c>
      <c r="N3459">
        <v>1</v>
      </c>
      <c r="P3459">
        <f>G3459*I3459/100</f>
        <v>122.08900000000001</v>
      </c>
      <c r="Q3459">
        <f t="shared" ref="Q3459:Q3522" si="31">G3459*12</f>
        <v>13318.800000000001</v>
      </c>
      <c r="R3459">
        <f>K3459/J3459</f>
        <v>1</v>
      </c>
    </row>
    <row r="3460" spans="1:18" x14ac:dyDescent="0.3">
      <c r="A3460">
        <v>33</v>
      </c>
      <c r="B3460">
        <v>1076</v>
      </c>
      <c r="C3460" t="s">
        <v>17</v>
      </c>
      <c r="D3460" t="s">
        <v>18</v>
      </c>
      <c r="E3460">
        <v>70</v>
      </c>
      <c r="F3460" t="s">
        <v>19</v>
      </c>
      <c r="G3460">
        <v>3682.8</v>
      </c>
      <c r="H3460">
        <v>3164</v>
      </c>
      <c r="I3460">
        <v>11</v>
      </c>
      <c r="J3460">
        <v>10</v>
      </c>
      <c r="K3460">
        <v>10</v>
      </c>
      <c r="L3460">
        <v>8</v>
      </c>
      <c r="M3460">
        <v>9</v>
      </c>
      <c r="N3460">
        <v>7</v>
      </c>
      <c r="P3460">
        <f>G3460*I3460/100</f>
        <v>405.108</v>
      </c>
      <c r="Q3460">
        <f t="shared" si="31"/>
        <v>44193.600000000006</v>
      </c>
      <c r="R3460">
        <f>K3460/J3460</f>
        <v>1</v>
      </c>
    </row>
    <row r="3461" spans="1:18" x14ac:dyDescent="0.3">
      <c r="A3461">
        <v>35</v>
      </c>
      <c r="B3461">
        <v>727</v>
      </c>
      <c r="C3461" t="s">
        <v>17</v>
      </c>
      <c r="D3461" t="s">
        <v>18</v>
      </c>
      <c r="E3461">
        <v>41</v>
      </c>
      <c r="F3461" t="s">
        <v>20</v>
      </c>
      <c r="G3461">
        <v>1409.1000000000001</v>
      </c>
      <c r="H3461">
        <v>16900</v>
      </c>
      <c r="I3461">
        <v>18</v>
      </c>
      <c r="J3461">
        <v>1</v>
      </c>
      <c r="K3461">
        <v>1</v>
      </c>
      <c r="L3461">
        <v>0</v>
      </c>
      <c r="M3461">
        <v>0</v>
      </c>
      <c r="N3461">
        <v>0</v>
      </c>
      <c r="P3461">
        <f>G3461*I3461/100</f>
        <v>253.63800000000003</v>
      </c>
      <c r="Q3461">
        <f t="shared" si="31"/>
        <v>16909.2</v>
      </c>
      <c r="R3461">
        <f>K3461/J3461</f>
        <v>1</v>
      </c>
    </row>
    <row r="3462" spans="1:18" x14ac:dyDescent="0.3">
      <c r="A3462">
        <v>23</v>
      </c>
      <c r="B3462">
        <v>885</v>
      </c>
      <c r="C3462" t="s">
        <v>17</v>
      </c>
      <c r="D3462" t="s">
        <v>18</v>
      </c>
      <c r="E3462">
        <v>58</v>
      </c>
      <c r="F3462" t="s">
        <v>19</v>
      </c>
      <c r="G3462">
        <v>3100.9</v>
      </c>
      <c r="H3462">
        <v>8544</v>
      </c>
      <c r="I3462">
        <v>16</v>
      </c>
      <c r="J3462">
        <v>5</v>
      </c>
      <c r="K3462">
        <v>3</v>
      </c>
      <c r="L3462">
        <v>2</v>
      </c>
      <c r="M3462">
        <v>0</v>
      </c>
      <c r="N3462">
        <v>2</v>
      </c>
      <c r="P3462">
        <f>G3462*I3462/100</f>
        <v>496.14400000000001</v>
      </c>
      <c r="Q3462">
        <f t="shared" si="31"/>
        <v>37210.800000000003</v>
      </c>
      <c r="R3462">
        <f>K3462/J3462</f>
        <v>0.6</v>
      </c>
    </row>
    <row r="3463" spans="1:18" x14ac:dyDescent="0.3">
      <c r="A3463">
        <v>25</v>
      </c>
      <c r="B3463">
        <v>810</v>
      </c>
      <c r="C3463" t="s">
        <v>14</v>
      </c>
      <c r="D3463" t="s">
        <v>18</v>
      </c>
      <c r="E3463">
        <v>57</v>
      </c>
      <c r="F3463" t="s">
        <v>16</v>
      </c>
      <c r="G3463">
        <v>5336.1</v>
      </c>
      <c r="H3463">
        <v>15678</v>
      </c>
      <c r="I3463">
        <v>22</v>
      </c>
      <c r="J3463">
        <v>4</v>
      </c>
      <c r="K3463">
        <v>3</v>
      </c>
      <c r="L3463">
        <v>2</v>
      </c>
      <c r="M3463">
        <v>1</v>
      </c>
      <c r="N3463">
        <v>2</v>
      </c>
      <c r="P3463">
        <f>G3463*I3463/100</f>
        <v>1173.942</v>
      </c>
      <c r="Q3463">
        <f t="shared" si="31"/>
        <v>64033.200000000004</v>
      </c>
      <c r="R3463">
        <f>K3463/J3463</f>
        <v>0.75</v>
      </c>
    </row>
    <row r="3464" spans="1:18" x14ac:dyDescent="0.3">
      <c r="A3464">
        <v>38</v>
      </c>
      <c r="B3464">
        <v>243</v>
      </c>
      <c r="C3464" t="s">
        <v>14</v>
      </c>
      <c r="D3464" t="s">
        <v>15</v>
      </c>
      <c r="E3464">
        <v>46</v>
      </c>
      <c r="F3464" t="s">
        <v>16</v>
      </c>
      <c r="G3464">
        <v>4430.8</v>
      </c>
      <c r="H3464">
        <v>7791</v>
      </c>
      <c r="I3464">
        <v>20</v>
      </c>
      <c r="J3464">
        <v>8</v>
      </c>
      <c r="K3464">
        <v>7</v>
      </c>
      <c r="L3464">
        <v>7</v>
      </c>
      <c r="M3464">
        <v>0</v>
      </c>
      <c r="N3464">
        <v>5</v>
      </c>
      <c r="P3464">
        <f>G3464*I3464/100</f>
        <v>886.16</v>
      </c>
      <c r="Q3464">
        <f t="shared" si="31"/>
        <v>53169.600000000006</v>
      </c>
      <c r="R3464">
        <f>K3464/J3464</f>
        <v>0.875</v>
      </c>
    </row>
    <row r="3465" spans="1:18" x14ac:dyDescent="0.3">
      <c r="A3465">
        <v>29</v>
      </c>
      <c r="B3465">
        <v>806</v>
      </c>
      <c r="C3465" t="s">
        <v>17</v>
      </c>
      <c r="D3465" t="s">
        <v>18</v>
      </c>
      <c r="E3465">
        <v>76</v>
      </c>
      <c r="F3465" t="s">
        <v>19</v>
      </c>
      <c r="G3465">
        <v>2992.0000000000005</v>
      </c>
      <c r="H3465">
        <v>18959</v>
      </c>
      <c r="I3465">
        <v>18</v>
      </c>
      <c r="J3465">
        <v>10</v>
      </c>
      <c r="K3465">
        <v>10</v>
      </c>
      <c r="L3465">
        <v>7</v>
      </c>
      <c r="M3465">
        <v>2</v>
      </c>
      <c r="N3465">
        <v>8</v>
      </c>
      <c r="P3465">
        <f>G3465*I3465/100</f>
        <v>538.56000000000006</v>
      </c>
      <c r="Q3465">
        <f t="shared" si="31"/>
        <v>35904.000000000007</v>
      </c>
      <c r="R3465">
        <f>K3465/J3465</f>
        <v>1</v>
      </c>
    </row>
    <row r="3466" spans="1:18" x14ac:dyDescent="0.3">
      <c r="A3466">
        <v>48</v>
      </c>
      <c r="B3466">
        <v>817</v>
      </c>
      <c r="C3466" t="s">
        <v>14</v>
      </c>
      <c r="D3466" t="s">
        <v>18</v>
      </c>
      <c r="E3466">
        <v>56</v>
      </c>
      <c r="F3466" t="s">
        <v>16</v>
      </c>
      <c r="G3466">
        <v>8932</v>
      </c>
      <c r="H3466">
        <v>18597</v>
      </c>
      <c r="I3466">
        <v>12</v>
      </c>
      <c r="J3466">
        <v>12</v>
      </c>
      <c r="K3466">
        <v>2</v>
      </c>
      <c r="L3466">
        <v>2</v>
      </c>
      <c r="M3466">
        <v>2</v>
      </c>
      <c r="N3466">
        <v>2</v>
      </c>
      <c r="P3466">
        <f>G3466*I3466/100</f>
        <v>1071.8399999999999</v>
      </c>
      <c r="Q3466">
        <f t="shared" si="31"/>
        <v>107184</v>
      </c>
      <c r="R3466">
        <f>K3466/J3466</f>
        <v>0.16666666666666666</v>
      </c>
    </row>
    <row r="3467" spans="1:18" x14ac:dyDescent="0.3">
      <c r="A3467">
        <v>27</v>
      </c>
      <c r="B3467">
        <v>1410</v>
      </c>
      <c r="C3467" t="s">
        <v>14</v>
      </c>
      <c r="D3467" t="s">
        <v>15</v>
      </c>
      <c r="E3467">
        <v>71</v>
      </c>
      <c r="F3467" t="s">
        <v>16</v>
      </c>
      <c r="G3467">
        <v>5111.7000000000007</v>
      </c>
      <c r="H3467">
        <v>16673</v>
      </c>
      <c r="I3467">
        <v>20</v>
      </c>
      <c r="J3467">
        <v>6</v>
      </c>
      <c r="K3467">
        <v>6</v>
      </c>
      <c r="L3467">
        <v>5</v>
      </c>
      <c r="M3467">
        <v>0</v>
      </c>
      <c r="N3467">
        <v>4</v>
      </c>
      <c r="P3467">
        <f>G3467*I3467/100</f>
        <v>1022.3400000000001</v>
      </c>
      <c r="Q3467">
        <f t="shared" si="31"/>
        <v>61340.400000000009</v>
      </c>
      <c r="R3467">
        <f>K3467/J3467</f>
        <v>1</v>
      </c>
    </row>
    <row r="3468" spans="1:18" x14ac:dyDescent="0.3">
      <c r="A3468">
        <v>37</v>
      </c>
      <c r="B3468">
        <v>1225</v>
      </c>
      <c r="C3468" t="s">
        <v>17</v>
      </c>
      <c r="D3468" t="s">
        <v>18</v>
      </c>
      <c r="E3468">
        <v>80</v>
      </c>
      <c r="F3468" t="s">
        <v>19</v>
      </c>
      <c r="G3468">
        <v>5148</v>
      </c>
      <c r="H3468">
        <v>15232</v>
      </c>
      <c r="I3468">
        <v>17</v>
      </c>
      <c r="J3468">
        <v>4</v>
      </c>
      <c r="K3468">
        <v>1</v>
      </c>
      <c r="L3468">
        <v>0</v>
      </c>
      <c r="M3468">
        <v>0</v>
      </c>
      <c r="N3468">
        <v>0</v>
      </c>
      <c r="P3468">
        <f>G3468*I3468/100</f>
        <v>875.16</v>
      </c>
      <c r="Q3468">
        <f t="shared" si="31"/>
        <v>61776</v>
      </c>
      <c r="R3468">
        <f>K3468/J3468</f>
        <v>0.25</v>
      </c>
    </row>
    <row r="3469" spans="1:18" x14ac:dyDescent="0.3">
      <c r="A3469">
        <v>50</v>
      </c>
      <c r="B3469">
        <v>1207</v>
      </c>
      <c r="C3469" t="s">
        <v>17</v>
      </c>
      <c r="D3469" t="s">
        <v>18</v>
      </c>
      <c r="E3469">
        <v>74</v>
      </c>
      <c r="F3469" t="s">
        <v>20</v>
      </c>
      <c r="G3469">
        <v>3543.1000000000004</v>
      </c>
      <c r="H3469">
        <v>3297</v>
      </c>
      <c r="I3469">
        <v>11</v>
      </c>
      <c r="J3469">
        <v>20</v>
      </c>
      <c r="K3469">
        <v>20</v>
      </c>
      <c r="L3469">
        <v>8</v>
      </c>
      <c r="M3469">
        <v>3</v>
      </c>
      <c r="N3469">
        <v>8</v>
      </c>
      <c r="P3469">
        <f>G3469*I3469/100</f>
        <v>389.74100000000004</v>
      </c>
      <c r="Q3469">
        <f t="shared" si="31"/>
        <v>42517.200000000004</v>
      </c>
      <c r="R3469">
        <f>K3469/J3469</f>
        <v>1</v>
      </c>
    </row>
    <row r="3470" spans="1:18" x14ac:dyDescent="0.3">
      <c r="A3470">
        <v>34</v>
      </c>
      <c r="B3470">
        <v>1442</v>
      </c>
      <c r="C3470" t="s">
        <v>17</v>
      </c>
      <c r="D3470" t="s">
        <v>15</v>
      </c>
      <c r="E3470">
        <v>46</v>
      </c>
      <c r="F3470" t="s">
        <v>22</v>
      </c>
      <c r="G3470">
        <v>9483.1</v>
      </c>
      <c r="H3470">
        <v>17654</v>
      </c>
      <c r="I3470">
        <v>14</v>
      </c>
      <c r="J3470">
        <v>9</v>
      </c>
      <c r="K3470">
        <v>8</v>
      </c>
      <c r="L3470">
        <v>7</v>
      </c>
      <c r="M3470">
        <v>7</v>
      </c>
      <c r="N3470">
        <v>7</v>
      </c>
      <c r="P3470">
        <f>G3470*I3470/100</f>
        <v>1327.634</v>
      </c>
      <c r="Q3470">
        <f t="shared" si="31"/>
        <v>113797.20000000001</v>
      </c>
      <c r="R3470">
        <f>K3470/J3470</f>
        <v>0.88888888888888884</v>
      </c>
    </row>
    <row r="3471" spans="1:18" x14ac:dyDescent="0.3">
      <c r="A3471">
        <v>24</v>
      </c>
      <c r="B3471">
        <v>693</v>
      </c>
      <c r="C3471" t="s">
        <v>14</v>
      </c>
      <c r="D3471" t="s">
        <v>15</v>
      </c>
      <c r="E3471">
        <v>65</v>
      </c>
      <c r="F3471" t="s">
        <v>16</v>
      </c>
      <c r="G3471">
        <v>5034.7000000000007</v>
      </c>
      <c r="H3471">
        <v>24785</v>
      </c>
      <c r="I3471">
        <v>14</v>
      </c>
      <c r="J3471">
        <v>4</v>
      </c>
      <c r="K3471">
        <v>2</v>
      </c>
      <c r="L3471">
        <v>2</v>
      </c>
      <c r="M3471">
        <v>2</v>
      </c>
      <c r="N3471">
        <v>0</v>
      </c>
      <c r="P3471">
        <f>G3471*I3471/100</f>
        <v>704.85800000000017</v>
      </c>
      <c r="Q3471">
        <f t="shared" si="31"/>
        <v>60416.400000000009</v>
      </c>
      <c r="R3471">
        <f>K3471/J3471</f>
        <v>0.5</v>
      </c>
    </row>
    <row r="3472" spans="1:18" x14ac:dyDescent="0.3">
      <c r="A3472">
        <v>39</v>
      </c>
      <c r="B3472">
        <v>408</v>
      </c>
      <c r="C3472" t="s">
        <v>17</v>
      </c>
      <c r="D3472" t="s">
        <v>15</v>
      </c>
      <c r="E3472">
        <v>80</v>
      </c>
      <c r="F3472" t="s">
        <v>22</v>
      </c>
      <c r="G3472">
        <v>5008.3</v>
      </c>
      <c r="H3472">
        <v>20978</v>
      </c>
      <c r="I3472">
        <v>11</v>
      </c>
      <c r="J3472">
        <v>20</v>
      </c>
      <c r="K3472">
        <v>20</v>
      </c>
      <c r="L3472">
        <v>7</v>
      </c>
      <c r="M3472">
        <v>11</v>
      </c>
      <c r="N3472">
        <v>10</v>
      </c>
      <c r="P3472">
        <f>G3472*I3472/100</f>
        <v>550.91300000000001</v>
      </c>
      <c r="Q3472">
        <f t="shared" si="31"/>
        <v>60099.600000000006</v>
      </c>
      <c r="R3472">
        <f>K3472/J3472</f>
        <v>1</v>
      </c>
    </row>
    <row r="3473" spans="1:18" x14ac:dyDescent="0.3">
      <c r="A3473">
        <v>32</v>
      </c>
      <c r="B3473">
        <v>929</v>
      </c>
      <c r="C3473" t="s">
        <v>14</v>
      </c>
      <c r="D3473" t="s">
        <v>18</v>
      </c>
      <c r="E3473">
        <v>55</v>
      </c>
      <c r="F3473" t="s">
        <v>16</v>
      </c>
      <c r="G3473">
        <v>5935.6</v>
      </c>
      <c r="H3473">
        <v>21703</v>
      </c>
      <c r="I3473">
        <v>12</v>
      </c>
      <c r="J3473">
        <v>10</v>
      </c>
      <c r="K3473">
        <v>10</v>
      </c>
      <c r="L3473">
        <v>7</v>
      </c>
      <c r="M3473">
        <v>0</v>
      </c>
      <c r="N3473">
        <v>8</v>
      </c>
      <c r="P3473">
        <f>G3473*I3473/100</f>
        <v>712.27200000000016</v>
      </c>
      <c r="Q3473">
        <f t="shared" si="31"/>
        <v>71227.200000000012</v>
      </c>
      <c r="R3473">
        <f>K3473/J3473</f>
        <v>1</v>
      </c>
    </row>
    <row r="3474" spans="1:18" x14ac:dyDescent="0.3">
      <c r="A3474">
        <v>50</v>
      </c>
      <c r="B3474">
        <v>562</v>
      </c>
      <c r="C3474" t="s">
        <v>14</v>
      </c>
      <c r="D3474" t="s">
        <v>18</v>
      </c>
      <c r="E3474">
        <v>50</v>
      </c>
      <c r="F3474" t="s">
        <v>16</v>
      </c>
      <c r="G3474">
        <v>7475.6</v>
      </c>
      <c r="H3474">
        <v>23452</v>
      </c>
      <c r="I3474">
        <v>14</v>
      </c>
      <c r="J3474">
        <v>18</v>
      </c>
      <c r="K3474">
        <v>4</v>
      </c>
      <c r="L3474">
        <v>3</v>
      </c>
      <c r="M3474">
        <v>1</v>
      </c>
      <c r="N3474">
        <v>3</v>
      </c>
      <c r="P3474">
        <f>G3474*I3474/100</f>
        <v>1046.5840000000001</v>
      </c>
      <c r="Q3474">
        <f t="shared" si="31"/>
        <v>89707.200000000012</v>
      </c>
      <c r="R3474">
        <f>K3474/J3474</f>
        <v>0.22222222222222221</v>
      </c>
    </row>
    <row r="3475" spans="1:18" x14ac:dyDescent="0.3">
      <c r="A3475">
        <v>38</v>
      </c>
      <c r="B3475">
        <v>827</v>
      </c>
      <c r="C3475" t="s">
        <v>17</v>
      </c>
      <c r="D3475" t="s">
        <v>15</v>
      </c>
      <c r="E3475">
        <v>33</v>
      </c>
      <c r="F3475" t="s">
        <v>22</v>
      </c>
      <c r="G3475">
        <v>8387.5</v>
      </c>
      <c r="H3475">
        <v>19383</v>
      </c>
      <c r="I3475">
        <v>13</v>
      </c>
      <c r="J3475">
        <v>10</v>
      </c>
      <c r="K3475">
        <v>9</v>
      </c>
      <c r="L3475">
        <v>7</v>
      </c>
      <c r="M3475">
        <v>1</v>
      </c>
      <c r="N3475">
        <v>8</v>
      </c>
      <c r="P3475">
        <f>G3475*I3475/100</f>
        <v>1090.375</v>
      </c>
      <c r="Q3475">
        <f t="shared" si="31"/>
        <v>100650</v>
      </c>
      <c r="R3475">
        <f>K3475/J3475</f>
        <v>0.9</v>
      </c>
    </row>
    <row r="3476" spans="1:18" x14ac:dyDescent="0.3">
      <c r="A3476">
        <v>27</v>
      </c>
      <c r="B3476">
        <v>608</v>
      </c>
      <c r="C3476" t="s">
        <v>17</v>
      </c>
      <c r="D3476" t="s">
        <v>15</v>
      </c>
      <c r="E3476">
        <v>68</v>
      </c>
      <c r="F3476" t="s">
        <v>21</v>
      </c>
      <c r="G3476">
        <v>8153.2000000000007</v>
      </c>
      <c r="H3476">
        <v>6009</v>
      </c>
      <c r="I3476">
        <v>11</v>
      </c>
      <c r="J3476">
        <v>9</v>
      </c>
      <c r="K3476">
        <v>9</v>
      </c>
      <c r="L3476">
        <v>7</v>
      </c>
      <c r="M3476">
        <v>0</v>
      </c>
      <c r="N3476">
        <v>7</v>
      </c>
      <c r="P3476">
        <f>G3476*I3476/100</f>
        <v>896.85200000000009</v>
      </c>
      <c r="Q3476">
        <f t="shared" si="31"/>
        <v>97838.400000000009</v>
      </c>
      <c r="R3476">
        <f>K3476/J3476</f>
        <v>1</v>
      </c>
    </row>
    <row r="3477" spans="1:18" x14ac:dyDescent="0.3">
      <c r="A3477">
        <v>32</v>
      </c>
      <c r="B3477">
        <v>1018</v>
      </c>
      <c r="C3477" t="s">
        <v>17</v>
      </c>
      <c r="D3477" t="s">
        <v>15</v>
      </c>
      <c r="E3477">
        <v>39</v>
      </c>
      <c r="F3477" t="s">
        <v>25</v>
      </c>
      <c r="G3477">
        <v>12274.900000000001</v>
      </c>
      <c r="H3477">
        <v>19373</v>
      </c>
      <c r="I3477">
        <v>15</v>
      </c>
      <c r="J3477">
        <v>10</v>
      </c>
      <c r="K3477">
        <v>7</v>
      </c>
      <c r="L3477">
        <v>7</v>
      </c>
      <c r="M3477">
        <v>7</v>
      </c>
      <c r="N3477">
        <v>7</v>
      </c>
      <c r="P3477">
        <f>G3477*I3477/100</f>
        <v>1841.2350000000004</v>
      </c>
      <c r="Q3477">
        <f t="shared" si="31"/>
        <v>147298.80000000002</v>
      </c>
      <c r="R3477">
        <f>K3477/J3477</f>
        <v>0.7</v>
      </c>
    </row>
    <row r="3478" spans="1:18" x14ac:dyDescent="0.3">
      <c r="A3478">
        <v>47</v>
      </c>
      <c r="B3478">
        <v>703</v>
      </c>
      <c r="C3478" t="s">
        <v>14</v>
      </c>
      <c r="D3478" t="s">
        <v>18</v>
      </c>
      <c r="E3478">
        <v>42</v>
      </c>
      <c r="F3478" t="s">
        <v>16</v>
      </c>
      <c r="G3478">
        <v>5456</v>
      </c>
      <c r="H3478">
        <v>11825</v>
      </c>
      <c r="I3478">
        <v>12</v>
      </c>
      <c r="J3478">
        <v>20</v>
      </c>
      <c r="K3478">
        <v>7</v>
      </c>
      <c r="L3478">
        <v>7</v>
      </c>
      <c r="M3478">
        <v>1</v>
      </c>
      <c r="N3478">
        <v>7</v>
      </c>
      <c r="P3478">
        <f>G3478*I3478/100</f>
        <v>654.72</v>
      </c>
      <c r="Q3478">
        <f t="shared" si="31"/>
        <v>65472</v>
      </c>
      <c r="R3478">
        <f>K3478/J3478</f>
        <v>0.35</v>
      </c>
    </row>
    <row r="3479" spans="1:18" x14ac:dyDescent="0.3">
      <c r="A3479">
        <v>40</v>
      </c>
      <c r="B3479">
        <v>580</v>
      </c>
      <c r="C3479" t="s">
        <v>14</v>
      </c>
      <c r="D3479" t="s">
        <v>18</v>
      </c>
      <c r="E3479">
        <v>48</v>
      </c>
      <c r="F3479" t="s">
        <v>16</v>
      </c>
      <c r="G3479">
        <v>11522.500000000002</v>
      </c>
      <c r="H3479">
        <v>23772</v>
      </c>
      <c r="I3479">
        <v>21</v>
      </c>
      <c r="J3479">
        <v>20</v>
      </c>
      <c r="K3479">
        <v>18</v>
      </c>
      <c r="L3479">
        <v>13</v>
      </c>
      <c r="M3479">
        <v>1</v>
      </c>
      <c r="N3479">
        <v>12</v>
      </c>
      <c r="P3479">
        <f>G3479*I3479/100</f>
        <v>2419.7250000000004</v>
      </c>
      <c r="Q3479">
        <f t="shared" si="31"/>
        <v>138270.00000000003</v>
      </c>
      <c r="R3479">
        <f>K3479/J3479</f>
        <v>0.9</v>
      </c>
    </row>
    <row r="3480" spans="1:18" x14ac:dyDescent="0.3">
      <c r="A3480">
        <v>53</v>
      </c>
      <c r="B3480">
        <v>970</v>
      </c>
      <c r="C3480" t="s">
        <v>17</v>
      </c>
      <c r="D3480" t="s">
        <v>18</v>
      </c>
      <c r="E3480">
        <v>59</v>
      </c>
      <c r="F3480" t="s">
        <v>25</v>
      </c>
      <c r="G3480">
        <v>16295.400000000001</v>
      </c>
      <c r="H3480">
        <v>13514</v>
      </c>
      <c r="I3480">
        <v>19</v>
      </c>
      <c r="J3480">
        <v>32</v>
      </c>
      <c r="K3480">
        <v>5</v>
      </c>
      <c r="L3480">
        <v>1</v>
      </c>
      <c r="M3480">
        <v>1</v>
      </c>
      <c r="N3480">
        <v>3</v>
      </c>
      <c r="P3480">
        <f>G3480*I3480/100</f>
        <v>3096.1260000000002</v>
      </c>
      <c r="Q3480">
        <f t="shared" si="31"/>
        <v>195544.80000000002</v>
      </c>
      <c r="R3480">
        <f>K3480/J3480</f>
        <v>0.15625</v>
      </c>
    </row>
    <row r="3481" spans="1:18" x14ac:dyDescent="0.3">
      <c r="A3481">
        <v>41</v>
      </c>
      <c r="B3481">
        <v>427</v>
      </c>
      <c r="C3481" t="s">
        <v>26</v>
      </c>
      <c r="D3481" t="s">
        <v>18</v>
      </c>
      <c r="E3481">
        <v>73</v>
      </c>
      <c r="F3481" t="s">
        <v>23</v>
      </c>
      <c r="G3481">
        <v>21055.100000000002</v>
      </c>
      <c r="H3481">
        <v>8861</v>
      </c>
      <c r="I3481">
        <v>15</v>
      </c>
      <c r="J3481">
        <v>23</v>
      </c>
      <c r="K3481">
        <v>21</v>
      </c>
      <c r="L3481">
        <v>6</v>
      </c>
      <c r="M3481">
        <v>12</v>
      </c>
      <c r="N3481">
        <v>6</v>
      </c>
      <c r="P3481">
        <f>G3481*I3481/100</f>
        <v>3158.2650000000008</v>
      </c>
      <c r="Q3481">
        <f t="shared" si="31"/>
        <v>252661.2</v>
      </c>
      <c r="R3481">
        <f>K3481/J3481</f>
        <v>0.91304347826086951</v>
      </c>
    </row>
    <row r="3482" spans="1:18" x14ac:dyDescent="0.3">
      <c r="A3482">
        <v>60</v>
      </c>
      <c r="B3482">
        <v>1179</v>
      </c>
      <c r="C3482" t="s">
        <v>14</v>
      </c>
      <c r="D3482" t="s">
        <v>18</v>
      </c>
      <c r="E3482">
        <v>84</v>
      </c>
      <c r="F3482" t="s">
        <v>16</v>
      </c>
      <c r="G3482">
        <v>5945.5000000000009</v>
      </c>
      <c r="H3482">
        <v>11924</v>
      </c>
      <c r="I3482">
        <v>14</v>
      </c>
      <c r="J3482">
        <v>10</v>
      </c>
      <c r="K3482">
        <v>2</v>
      </c>
      <c r="L3482">
        <v>2</v>
      </c>
      <c r="M3482">
        <v>2</v>
      </c>
      <c r="N3482">
        <v>2</v>
      </c>
      <c r="P3482">
        <f>G3482*I3482/100</f>
        <v>832.37000000000012</v>
      </c>
      <c r="Q3482">
        <f t="shared" si="31"/>
        <v>71346.000000000015</v>
      </c>
      <c r="R3482">
        <f>K3482/J3482</f>
        <v>0.2</v>
      </c>
    </row>
    <row r="3483" spans="1:18" x14ac:dyDescent="0.3">
      <c r="A3483">
        <v>27</v>
      </c>
      <c r="B3483">
        <v>294</v>
      </c>
      <c r="C3483" t="s">
        <v>17</v>
      </c>
      <c r="D3483" t="s">
        <v>18</v>
      </c>
      <c r="E3483">
        <v>32</v>
      </c>
      <c r="F3483" t="s">
        <v>21</v>
      </c>
      <c r="G3483">
        <v>9672.3000000000011</v>
      </c>
      <c r="H3483">
        <v>4809</v>
      </c>
      <c r="I3483">
        <v>21</v>
      </c>
      <c r="J3483">
        <v>9</v>
      </c>
      <c r="K3483">
        <v>9</v>
      </c>
      <c r="L3483">
        <v>7</v>
      </c>
      <c r="M3483">
        <v>1</v>
      </c>
      <c r="N3483">
        <v>7</v>
      </c>
      <c r="P3483">
        <f>G3483*I3483/100</f>
        <v>2031.1830000000002</v>
      </c>
      <c r="Q3483">
        <f t="shared" si="31"/>
        <v>116067.6</v>
      </c>
      <c r="R3483">
        <f>K3483/J3483</f>
        <v>1</v>
      </c>
    </row>
    <row r="3484" spans="1:18" x14ac:dyDescent="0.3">
      <c r="A3484">
        <v>41</v>
      </c>
      <c r="B3484">
        <v>314</v>
      </c>
      <c r="C3484" t="s">
        <v>26</v>
      </c>
      <c r="D3484" t="s">
        <v>18</v>
      </c>
      <c r="E3484">
        <v>59</v>
      </c>
      <c r="F3484" t="s">
        <v>23</v>
      </c>
      <c r="G3484">
        <v>21107.9</v>
      </c>
      <c r="H3484">
        <v>19562</v>
      </c>
      <c r="I3484">
        <v>12</v>
      </c>
      <c r="J3484">
        <v>22</v>
      </c>
      <c r="K3484">
        <v>22</v>
      </c>
      <c r="L3484">
        <v>7</v>
      </c>
      <c r="M3484">
        <v>2</v>
      </c>
      <c r="N3484">
        <v>10</v>
      </c>
      <c r="P3484">
        <f>G3484*I3484/100</f>
        <v>2532.9480000000003</v>
      </c>
      <c r="Q3484">
        <f t="shared" si="31"/>
        <v>253294.80000000002</v>
      </c>
      <c r="R3484">
        <f>K3484/J3484</f>
        <v>1</v>
      </c>
    </row>
    <row r="3485" spans="1:18" x14ac:dyDescent="0.3">
      <c r="A3485">
        <v>50</v>
      </c>
      <c r="B3485">
        <v>316</v>
      </c>
      <c r="C3485" t="s">
        <v>14</v>
      </c>
      <c r="D3485" t="s">
        <v>18</v>
      </c>
      <c r="E3485">
        <v>54</v>
      </c>
      <c r="F3485" t="s">
        <v>24</v>
      </c>
      <c r="G3485">
        <v>4262.5</v>
      </c>
      <c r="H3485">
        <v>9983</v>
      </c>
      <c r="I3485">
        <v>15</v>
      </c>
      <c r="J3485">
        <v>4</v>
      </c>
      <c r="K3485">
        <v>2</v>
      </c>
      <c r="L3485">
        <v>2</v>
      </c>
      <c r="M3485">
        <v>2</v>
      </c>
      <c r="N3485">
        <v>2</v>
      </c>
      <c r="P3485">
        <f>G3485*I3485/100</f>
        <v>639.375</v>
      </c>
      <c r="Q3485">
        <f t="shared" si="31"/>
        <v>51150</v>
      </c>
      <c r="R3485">
        <f>K3485/J3485</f>
        <v>0.5</v>
      </c>
    </row>
    <row r="3486" spans="1:18" x14ac:dyDescent="0.3">
      <c r="A3486">
        <v>28</v>
      </c>
      <c r="B3486">
        <v>654</v>
      </c>
      <c r="C3486" t="s">
        <v>17</v>
      </c>
      <c r="D3486" t="s">
        <v>15</v>
      </c>
      <c r="E3486">
        <v>67</v>
      </c>
      <c r="F3486" t="s">
        <v>19</v>
      </c>
      <c r="G3486">
        <v>2437.6000000000004</v>
      </c>
      <c r="H3486">
        <v>3872</v>
      </c>
      <c r="I3486">
        <v>13</v>
      </c>
      <c r="J3486">
        <v>10</v>
      </c>
      <c r="K3486">
        <v>7</v>
      </c>
      <c r="L3486">
        <v>7</v>
      </c>
      <c r="M3486">
        <v>3</v>
      </c>
      <c r="N3486">
        <v>7</v>
      </c>
      <c r="P3486">
        <f>G3486*I3486/100</f>
        <v>316.88800000000003</v>
      </c>
      <c r="Q3486">
        <f t="shared" si="31"/>
        <v>29251.200000000004</v>
      </c>
      <c r="R3486">
        <f>K3486/J3486</f>
        <v>0.7</v>
      </c>
    </row>
    <row r="3487" spans="1:18" x14ac:dyDescent="0.3">
      <c r="A3487">
        <v>36</v>
      </c>
      <c r="B3487">
        <v>427</v>
      </c>
      <c r="C3487" t="s">
        <v>17</v>
      </c>
      <c r="D3487" t="s">
        <v>15</v>
      </c>
      <c r="E3487">
        <v>63</v>
      </c>
      <c r="F3487" t="s">
        <v>25</v>
      </c>
      <c r="G3487">
        <v>12884.300000000001</v>
      </c>
      <c r="H3487">
        <v>20335</v>
      </c>
      <c r="I3487">
        <v>14</v>
      </c>
      <c r="J3487">
        <v>10</v>
      </c>
      <c r="K3487">
        <v>8</v>
      </c>
      <c r="L3487">
        <v>7</v>
      </c>
      <c r="M3487">
        <v>0</v>
      </c>
      <c r="N3487">
        <v>5</v>
      </c>
      <c r="P3487">
        <f>G3487*I3487/100</f>
        <v>1803.8020000000001</v>
      </c>
      <c r="Q3487">
        <f t="shared" si="31"/>
        <v>154611.6</v>
      </c>
      <c r="R3487">
        <f>K3487/J3487</f>
        <v>0.8</v>
      </c>
    </row>
    <row r="3488" spans="1:18" x14ac:dyDescent="0.3">
      <c r="A3488">
        <v>38</v>
      </c>
      <c r="B3488">
        <v>168</v>
      </c>
      <c r="C3488" t="s">
        <v>17</v>
      </c>
      <c r="D3488" t="s">
        <v>15</v>
      </c>
      <c r="E3488">
        <v>81</v>
      </c>
      <c r="F3488" t="s">
        <v>21</v>
      </c>
      <c r="G3488">
        <v>8647.1</v>
      </c>
      <c r="H3488">
        <v>15397</v>
      </c>
      <c r="I3488">
        <v>14</v>
      </c>
      <c r="J3488">
        <v>10</v>
      </c>
      <c r="K3488">
        <v>1</v>
      </c>
      <c r="L3488">
        <v>0</v>
      </c>
      <c r="M3488">
        <v>0</v>
      </c>
      <c r="N3488">
        <v>0</v>
      </c>
      <c r="P3488">
        <f>G3488*I3488/100</f>
        <v>1210.5940000000001</v>
      </c>
      <c r="Q3488">
        <f t="shared" si="31"/>
        <v>103765.20000000001</v>
      </c>
      <c r="R3488">
        <f>K3488/J3488</f>
        <v>0.1</v>
      </c>
    </row>
    <row r="3489" spans="1:18" x14ac:dyDescent="0.3">
      <c r="A3489">
        <v>44</v>
      </c>
      <c r="B3489">
        <v>381</v>
      </c>
      <c r="C3489" t="s">
        <v>17</v>
      </c>
      <c r="D3489" t="s">
        <v>18</v>
      </c>
      <c r="E3489">
        <v>49</v>
      </c>
      <c r="F3489" t="s">
        <v>20</v>
      </c>
      <c r="G3489">
        <v>4078.8</v>
      </c>
      <c r="H3489">
        <v>2104</v>
      </c>
      <c r="I3489">
        <v>14</v>
      </c>
      <c r="J3489">
        <v>9</v>
      </c>
      <c r="K3489">
        <v>5</v>
      </c>
      <c r="L3489">
        <v>2</v>
      </c>
      <c r="M3489">
        <v>1</v>
      </c>
      <c r="N3489">
        <v>4</v>
      </c>
      <c r="P3489">
        <f>G3489*I3489/100</f>
        <v>571.03200000000004</v>
      </c>
      <c r="Q3489">
        <f t="shared" si="31"/>
        <v>48945.600000000006</v>
      </c>
      <c r="R3489">
        <f>K3489/J3489</f>
        <v>0.55555555555555558</v>
      </c>
    </row>
    <row r="3490" spans="1:18" x14ac:dyDescent="0.3">
      <c r="A3490">
        <v>47</v>
      </c>
      <c r="B3490">
        <v>217</v>
      </c>
      <c r="C3490" t="s">
        <v>14</v>
      </c>
      <c r="D3490" t="s">
        <v>15</v>
      </c>
      <c r="E3490">
        <v>49</v>
      </c>
      <c r="F3490" t="s">
        <v>16</v>
      </c>
      <c r="G3490">
        <v>15147.000000000002</v>
      </c>
      <c r="H3490">
        <v>10225</v>
      </c>
      <c r="I3490">
        <v>12</v>
      </c>
      <c r="J3490">
        <v>28</v>
      </c>
      <c r="K3490">
        <v>22</v>
      </c>
      <c r="L3490">
        <v>2</v>
      </c>
      <c r="M3490">
        <v>11</v>
      </c>
      <c r="N3490">
        <v>13</v>
      </c>
      <c r="P3490">
        <f>G3490*I3490/100</f>
        <v>1817.6400000000003</v>
      </c>
      <c r="Q3490">
        <f t="shared" si="31"/>
        <v>181764.00000000003</v>
      </c>
      <c r="R3490">
        <f>K3490/J3490</f>
        <v>0.7857142857142857</v>
      </c>
    </row>
    <row r="3491" spans="1:18" x14ac:dyDescent="0.3">
      <c r="A3491">
        <v>30</v>
      </c>
      <c r="B3491">
        <v>501</v>
      </c>
      <c r="C3491" t="s">
        <v>14</v>
      </c>
      <c r="D3491" t="s">
        <v>18</v>
      </c>
      <c r="E3491">
        <v>99</v>
      </c>
      <c r="F3491" t="s">
        <v>16</v>
      </c>
      <c r="G3491">
        <v>5834.4000000000005</v>
      </c>
      <c r="H3491">
        <v>25275</v>
      </c>
      <c r="I3491">
        <v>23</v>
      </c>
      <c r="J3491">
        <v>10</v>
      </c>
      <c r="K3491">
        <v>8</v>
      </c>
      <c r="L3491">
        <v>7</v>
      </c>
      <c r="M3491">
        <v>7</v>
      </c>
      <c r="N3491">
        <v>7</v>
      </c>
      <c r="P3491">
        <f>G3491*I3491/100</f>
        <v>1341.912</v>
      </c>
      <c r="Q3491">
        <f t="shared" si="31"/>
        <v>70012.800000000003</v>
      </c>
      <c r="R3491">
        <f>K3491/J3491</f>
        <v>0.8</v>
      </c>
    </row>
    <row r="3492" spans="1:18" x14ac:dyDescent="0.3">
      <c r="A3492">
        <v>29</v>
      </c>
      <c r="B3492">
        <v>1396</v>
      </c>
      <c r="C3492" t="s">
        <v>14</v>
      </c>
      <c r="D3492" t="s">
        <v>18</v>
      </c>
      <c r="E3492">
        <v>99</v>
      </c>
      <c r="F3492" t="s">
        <v>24</v>
      </c>
      <c r="G3492">
        <v>2906.2000000000003</v>
      </c>
      <c r="H3492">
        <v>2755</v>
      </c>
      <c r="I3492">
        <v>11</v>
      </c>
      <c r="J3492">
        <v>1</v>
      </c>
      <c r="K3492">
        <v>1</v>
      </c>
      <c r="L3492">
        <v>0</v>
      </c>
      <c r="M3492">
        <v>0</v>
      </c>
      <c r="N3492">
        <v>0</v>
      </c>
      <c r="P3492">
        <f>G3492*I3492/100</f>
        <v>319.68200000000002</v>
      </c>
      <c r="Q3492">
        <f t="shared" si="31"/>
        <v>34874.400000000001</v>
      </c>
      <c r="R3492">
        <f>K3492/J3492</f>
        <v>1</v>
      </c>
    </row>
    <row r="3493" spans="1:18" x14ac:dyDescent="0.3">
      <c r="A3493">
        <v>42</v>
      </c>
      <c r="B3493">
        <v>933</v>
      </c>
      <c r="C3493" t="s">
        <v>17</v>
      </c>
      <c r="D3493" t="s">
        <v>18</v>
      </c>
      <c r="E3493">
        <v>57</v>
      </c>
      <c r="F3493" t="s">
        <v>19</v>
      </c>
      <c r="G3493">
        <v>3034.9</v>
      </c>
      <c r="H3493">
        <v>20366</v>
      </c>
      <c r="I3493">
        <v>12</v>
      </c>
      <c r="J3493">
        <v>7</v>
      </c>
      <c r="K3493">
        <v>2</v>
      </c>
      <c r="L3493">
        <v>2</v>
      </c>
      <c r="M3493">
        <v>2</v>
      </c>
      <c r="N3493">
        <v>2</v>
      </c>
      <c r="P3493">
        <f>G3493*I3493/100</f>
        <v>364.18800000000005</v>
      </c>
      <c r="Q3493">
        <f t="shared" si="31"/>
        <v>36418.800000000003</v>
      </c>
      <c r="R3493">
        <f>K3493/J3493</f>
        <v>0.2857142857142857</v>
      </c>
    </row>
    <row r="3494" spans="1:18" x14ac:dyDescent="0.3">
      <c r="A3494">
        <v>43</v>
      </c>
      <c r="B3494">
        <v>775</v>
      </c>
      <c r="C3494" t="s">
        <v>14</v>
      </c>
      <c r="D3494" t="s">
        <v>18</v>
      </c>
      <c r="E3494">
        <v>47</v>
      </c>
      <c r="F3494" t="s">
        <v>16</v>
      </c>
      <c r="G3494">
        <v>7484.4000000000005</v>
      </c>
      <c r="H3494">
        <v>23683</v>
      </c>
      <c r="I3494">
        <v>18</v>
      </c>
      <c r="J3494">
        <v>7</v>
      </c>
      <c r="K3494">
        <v>2</v>
      </c>
      <c r="L3494">
        <v>2</v>
      </c>
      <c r="M3494">
        <v>2</v>
      </c>
      <c r="N3494">
        <v>2</v>
      </c>
      <c r="P3494">
        <f>G3494*I3494/100</f>
        <v>1347.192</v>
      </c>
      <c r="Q3494">
        <f t="shared" si="31"/>
        <v>89812.800000000003</v>
      </c>
      <c r="R3494">
        <f>K3494/J3494</f>
        <v>0.2857142857142857</v>
      </c>
    </row>
    <row r="3495" spans="1:18" x14ac:dyDescent="0.3">
      <c r="A3495">
        <v>34</v>
      </c>
      <c r="B3495">
        <v>970</v>
      </c>
      <c r="C3495" t="s">
        <v>17</v>
      </c>
      <c r="D3495" t="s">
        <v>15</v>
      </c>
      <c r="E3495">
        <v>96</v>
      </c>
      <c r="F3495" t="s">
        <v>22</v>
      </c>
      <c r="G3495">
        <v>6756.2000000000007</v>
      </c>
      <c r="H3495">
        <v>7360</v>
      </c>
      <c r="I3495">
        <v>11</v>
      </c>
      <c r="J3495">
        <v>10</v>
      </c>
      <c r="K3495">
        <v>5</v>
      </c>
      <c r="L3495">
        <v>1</v>
      </c>
      <c r="M3495">
        <v>4</v>
      </c>
      <c r="N3495">
        <v>3</v>
      </c>
      <c r="P3495">
        <f>G3495*I3495/100</f>
        <v>743.18200000000013</v>
      </c>
      <c r="Q3495">
        <f t="shared" si="31"/>
        <v>81074.400000000009</v>
      </c>
      <c r="R3495">
        <f>K3495/J3495</f>
        <v>0.5</v>
      </c>
    </row>
    <row r="3496" spans="1:18" x14ac:dyDescent="0.3">
      <c r="A3496">
        <v>23</v>
      </c>
      <c r="B3496">
        <v>650</v>
      </c>
      <c r="C3496" t="s">
        <v>17</v>
      </c>
      <c r="D3496" t="s">
        <v>18</v>
      </c>
      <c r="E3496">
        <v>37</v>
      </c>
      <c r="F3496" t="s">
        <v>20</v>
      </c>
      <c r="G3496">
        <v>2750</v>
      </c>
      <c r="H3496">
        <v>4344</v>
      </c>
      <c r="I3496">
        <v>14</v>
      </c>
      <c r="J3496">
        <v>5</v>
      </c>
      <c r="K3496">
        <v>4</v>
      </c>
      <c r="L3496">
        <v>3</v>
      </c>
      <c r="M3496">
        <v>0</v>
      </c>
      <c r="N3496">
        <v>2</v>
      </c>
      <c r="P3496">
        <f>G3496*I3496/100</f>
        <v>385</v>
      </c>
      <c r="Q3496">
        <f t="shared" si="31"/>
        <v>33000</v>
      </c>
      <c r="R3496">
        <f>K3496/J3496</f>
        <v>0.8</v>
      </c>
    </row>
    <row r="3497" spans="1:18" x14ac:dyDescent="0.3">
      <c r="A3497">
        <v>39</v>
      </c>
      <c r="B3497">
        <v>141</v>
      </c>
      <c r="C3497" t="s">
        <v>26</v>
      </c>
      <c r="D3497" t="s">
        <v>15</v>
      </c>
      <c r="E3497">
        <v>44</v>
      </c>
      <c r="F3497" t="s">
        <v>26</v>
      </c>
      <c r="G3497">
        <v>7027.9000000000005</v>
      </c>
      <c r="H3497">
        <v>18767</v>
      </c>
      <c r="I3497">
        <v>15</v>
      </c>
      <c r="J3497">
        <v>12</v>
      </c>
      <c r="K3497">
        <v>8</v>
      </c>
      <c r="L3497">
        <v>3</v>
      </c>
      <c r="M3497">
        <v>3</v>
      </c>
      <c r="N3497">
        <v>6</v>
      </c>
      <c r="P3497">
        <f>G3497*I3497/100</f>
        <v>1054.1850000000002</v>
      </c>
      <c r="Q3497">
        <f t="shared" si="31"/>
        <v>84334.8</v>
      </c>
      <c r="R3497">
        <f>K3497/J3497</f>
        <v>0.66666666666666663</v>
      </c>
    </row>
    <row r="3498" spans="1:18" x14ac:dyDescent="0.3">
      <c r="A3498">
        <v>56</v>
      </c>
      <c r="B3498">
        <v>832</v>
      </c>
      <c r="C3498" t="s">
        <v>17</v>
      </c>
      <c r="D3498" t="s">
        <v>18</v>
      </c>
      <c r="E3498">
        <v>81</v>
      </c>
      <c r="F3498" t="s">
        <v>22</v>
      </c>
      <c r="G3498">
        <v>12213.300000000001</v>
      </c>
      <c r="H3498">
        <v>20420</v>
      </c>
      <c r="I3498">
        <v>11</v>
      </c>
      <c r="J3498">
        <v>30</v>
      </c>
      <c r="K3498">
        <v>10</v>
      </c>
      <c r="L3498">
        <v>7</v>
      </c>
      <c r="M3498">
        <v>1</v>
      </c>
      <c r="N3498">
        <v>1</v>
      </c>
      <c r="P3498">
        <f>G3498*I3498/100</f>
        <v>1343.4630000000002</v>
      </c>
      <c r="Q3498">
        <f t="shared" si="31"/>
        <v>146559.6</v>
      </c>
      <c r="R3498">
        <f>K3498/J3498</f>
        <v>0.33333333333333331</v>
      </c>
    </row>
    <row r="3499" spans="1:18" x14ac:dyDescent="0.3">
      <c r="A3499">
        <v>40</v>
      </c>
      <c r="B3499">
        <v>804</v>
      </c>
      <c r="C3499" t="s">
        <v>17</v>
      </c>
      <c r="D3499" t="s">
        <v>15</v>
      </c>
      <c r="E3499">
        <v>86</v>
      </c>
      <c r="F3499" t="s">
        <v>19</v>
      </c>
      <c r="G3499">
        <v>2576.2000000000003</v>
      </c>
      <c r="H3499">
        <v>22929</v>
      </c>
      <c r="I3499">
        <v>20</v>
      </c>
      <c r="J3499">
        <v>5</v>
      </c>
      <c r="K3499">
        <v>4</v>
      </c>
      <c r="L3499">
        <v>2</v>
      </c>
      <c r="M3499">
        <v>2</v>
      </c>
      <c r="N3499">
        <v>3</v>
      </c>
      <c r="P3499">
        <f>G3499*I3499/100</f>
        <v>515.24000000000012</v>
      </c>
      <c r="Q3499">
        <f t="shared" si="31"/>
        <v>30914.400000000001</v>
      </c>
      <c r="R3499">
        <f>K3499/J3499</f>
        <v>0.8</v>
      </c>
    </row>
    <row r="3500" spans="1:18" x14ac:dyDescent="0.3">
      <c r="A3500">
        <v>27</v>
      </c>
      <c r="B3500">
        <v>975</v>
      </c>
      <c r="C3500" t="s">
        <v>17</v>
      </c>
      <c r="D3500" t="s">
        <v>15</v>
      </c>
      <c r="E3500">
        <v>55</v>
      </c>
      <c r="F3500" t="s">
        <v>22</v>
      </c>
      <c r="G3500">
        <v>7492.1</v>
      </c>
      <c r="H3500">
        <v>23398</v>
      </c>
      <c r="I3500">
        <v>19</v>
      </c>
      <c r="J3500">
        <v>9</v>
      </c>
      <c r="K3500">
        <v>7</v>
      </c>
      <c r="L3500">
        <v>6</v>
      </c>
      <c r="M3500">
        <v>0</v>
      </c>
      <c r="N3500">
        <v>7</v>
      </c>
      <c r="P3500">
        <f>G3500*I3500/100</f>
        <v>1423.499</v>
      </c>
      <c r="Q3500">
        <f t="shared" si="31"/>
        <v>89905.200000000012</v>
      </c>
      <c r="R3500">
        <f>K3500/J3500</f>
        <v>0.77777777777777779</v>
      </c>
    </row>
    <row r="3501" spans="1:18" x14ac:dyDescent="0.3">
      <c r="A3501">
        <v>29</v>
      </c>
      <c r="B3501">
        <v>1090</v>
      </c>
      <c r="C3501" t="s">
        <v>14</v>
      </c>
      <c r="D3501" t="s">
        <v>18</v>
      </c>
      <c r="E3501">
        <v>83</v>
      </c>
      <c r="F3501" t="s">
        <v>24</v>
      </c>
      <c r="G3501">
        <v>2526.7000000000003</v>
      </c>
      <c r="H3501">
        <v>17967</v>
      </c>
      <c r="I3501">
        <v>14</v>
      </c>
      <c r="J3501">
        <v>2</v>
      </c>
      <c r="K3501">
        <v>2</v>
      </c>
      <c r="L3501">
        <v>2</v>
      </c>
      <c r="M3501">
        <v>2</v>
      </c>
      <c r="N3501">
        <v>2</v>
      </c>
      <c r="P3501">
        <f>G3501*I3501/100</f>
        <v>353.73800000000006</v>
      </c>
      <c r="Q3501">
        <f t="shared" si="31"/>
        <v>30320.400000000001</v>
      </c>
      <c r="R3501">
        <f>K3501/J3501</f>
        <v>1</v>
      </c>
    </row>
    <row r="3502" spans="1:18" x14ac:dyDescent="0.3">
      <c r="A3502">
        <v>53</v>
      </c>
      <c r="B3502">
        <v>346</v>
      </c>
      <c r="C3502" t="s">
        <v>17</v>
      </c>
      <c r="D3502" t="s">
        <v>18</v>
      </c>
      <c r="E3502">
        <v>86</v>
      </c>
      <c r="F3502" t="s">
        <v>20</v>
      </c>
      <c r="G3502">
        <v>2695</v>
      </c>
      <c r="H3502">
        <v>10919</v>
      </c>
      <c r="I3502">
        <v>17</v>
      </c>
      <c r="J3502">
        <v>19</v>
      </c>
      <c r="K3502">
        <v>2</v>
      </c>
      <c r="L3502">
        <v>2</v>
      </c>
      <c r="M3502">
        <v>2</v>
      </c>
      <c r="N3502">
        <v>2</v>
      </c>
      <c r="P3502">
        <f>G3502*I3502/100</f>
        <v>458.15</v>
      </c>
      <c r="Q3502">
        <f t="shared" si="31"/>
        <v>32340</v>
      </c>
      <c r="R3502">
        <f>K3502/J3502</f>
        <v>0.10526315789473684</v>
      </c>
    </row>
    <row r="3503" spans="1:18" x14ac:dyDescent="0.3">
      <c r="A3503">
        <v>35</v>
      </c>
      <c r="B3503">
        <v>1225</v>
      </c>
      <c r="C3503" t="s">
        <v>17</v>
      </c>
      <c r="D3503" t="s">
        <v>15</v>
      </c>
      <c r="E3503">
        <v>61</v>
      </c>
      <c r="F3503" t="s">
        <v>22</v>
      </c>
      <c r="G3503">
        <v>5602.3</v>
      </c>
      <c r="H3503">
        <v>4761</v>
      </c>
      <c r="I3503">
        <v>11</v>
      </c>
      <c r="J3503">
        <v>16</v>
      </c>
      <c r="K3503">
        <v>1</v>
      </c>
      <c r="L3503">
        <v>0</v>
      </c>
      <c r="M3503">
        <v>0</v>
      </c>
      <c r="N3503">
        <v>0</v>
      </c>
      <c r="P3503">
        <f>G3503*I3503/100</f>
        <v>616.25300000000004</v>
      </c>
      <c r="Q3503">
        <f t="shared" si="31"/>
        <v>67227.600000000006</v>
      </c>
      <c r="R3503">
        <f>K3503/J3503</f>
        <v>6.25E-2</v>
      </c>
    </row>
    <row r="3504" spans="1:18" x14ac:dyDescent="0.3">
      <c r="A3504">
        <v>32</v>
      </c>
      <c r="B3504">
        <v>430</v>
      </c>
      <c r="C3504" t="s">
        <v>17</v>
      </c>
      <c r="D3504" t="s">
        <v>18</v>
      </c>
      <c r="E3504">
        <v>80</v>
      </c>
      <c r="F3504" t="s">
        <v>20</v>
      </c>
      <c r="G3504">
        <v>5839.9000000000005</v>
      </c>
      <c r="H3504">
        <v>21146</v>
      </c>
      <c r="I3504">
        <v>15</v>
      </c>
      <c r="J3504">
        <v>10</v>
      </c>
      <c r="K3504">
        <v>10</v>
      </c>
      <c r="L3504">
        <v>8</v>
      </c>
      <c r="M3504">
        <v>4</v>
      </c>
      <c r="N3504">
        <v>7</v>
      </c>
      <c r="P3504">
        <f>G3504*I3504/100</f>
        <v>875.98500000000013</v>
      </c>
      <c r="Q3504">
        <f t="shared" si="31"/>
        <v>70078.8</v>
      </c>
      <c r="R3504">
        <f>K3504/J3504</f>
        <v>1</v>
      </c>
    </row>
    <row r="3505" spans="1:18" x14ac:dyDescent="0.3">
      <c r="A3505">
        <v>38</v>
      </c>
      <c r="B3505">
        <v>268</v>
      </c>
      <c r="C3505" t="s">
        <v>17</v>
      </c>
      <c r="D3505" t="s">
        <v>18</v>
      </c>
      <c r="E3505">
        <v>92</v>
      </c>
      <c r="F3505" t="s">
        <v>19</v>
      </c>
      <c r="G3505">
        <v>3362.7000000000003</v>
      </c>
      <c r="H3505">
        <v>20471</v>
      </c>
      <c r="I3505">
        <v>13</v>
      </c>
      <c r="J3505">
        <v>6</v>
      </c>
      <c r="K3505">
        <v>1</v>
      </c>
      <c r="L3505">
        <v>0</v>
      </c>
      <c r="M3505">
        <v>0</v>
      </c>
      <c r="N3505">
        <v>1</v>
      </c>
      <c r="P3505">
        <f>G3505*I3505/100</f>
        <v>437.15100000000007</v>
      </c>
      <c r="Q3505">
        <f t="shared" si="31"/>
        <v>40352.400000000001</v>
      </c>
      <c r="R3505">
        <f>K3505/J3505</f>
        <v>0.16666666666666666</v>
      </c>
    </row>
    <row r="3506" spans="1:18" x14ac:dyDescent="0.3">
      <c r="A3506">
        <v>34</v>
      </c>
      <c r="B3506">
        <v>167</v>
      </c>
      <c r="C3506" t="s">
        <v>17</v>
      </c>
      <c r="D3506" t="s">
        <v>15</v>
      </c>
      <c r="E3506">
        <v>32</v>
      </c>
      <c r="F3506" t="s">
        <v>21</v>
      </c>
      <c r="G3506">
        <v>5633.1</v>
      </c>
      <c r="H3506">
        <v>4187</v>
      </c>
      <c r="I3506">
        <v>14</v>
      </c>
      <c r="J3506">
        <v>7</v>
      </c>
      <c r="K3506">
        <v>0</v>
      </c>
      <c r="L3506">
        <v>0</v>
      </c>
      <c r="M3506">
        <v>0</v>
      </c>
      <c r="N3506">
        <v>0</v>
      </c>
      <c r="P3506">
        <f>G3506*I3506/100</f>
        <v>788.63400000000013</v>
      </c>
      <c r="Q3506">
        <f t="shared" si="31"/>
        <v>67597.200000000012</v>
      </c>
      <c r="R3506">
        <f>K3506/J3506</f>
        <v>0</v>
      </c>
    </row>
    <row r="3507" spans="1:18" x14ac:dyDescent="0.3">
      <c r="A3507">
        <v>52</v>
      </c>
      <c r="B3507">
        <v>621</v>
      </c>
      <c r="C3507" t="s">
        <v>14</v>
      </c>
      <c r="D3507" t="s">
        <v>18</v>
      </c>
      <c r="E3507">
        <v>31</v>
      </c>
      <c r="F3507" t="s">
        <v>23</v>
      </c>
      <c r="G3507">
        <v>18541.600000000002</v>
      </c>
      <c r="H3507">
        <v>10084</v>
      </c>
      <c r="I3507">
        <v>11</v>
      </c>
      <c r="J3507">
        <v>34</v>
      </c>
      <c r="K3507">
        <v>34</v>
      </c>
      <c r="L3507">
        <v>6</v>
      </c>
      <c r="M3507">
        <v>1</v>
      </c>
      <c r="N3507">
        <v>16</v>
      </c>
      <c r="P3507">
        <f>G3507*I3507/100</f>
        <v>2039.5760000000002</v>
      </c>
      <c r="Q3507">
        <f t="shared" si="31"/>
        <v>222499.20000000001</v>
      </c>
      <c r="R3507">
        <f>K3507/J3507</f>
        <v>1</v>
      </c>
    </row>
    <row r="3508" spans="1:18" x14ac:dyDescent="0.3">
      <c r="A3508">
        <v>33</v>
      </c>
      <c r="B3508">
        <v>527</v>
      </c>
      <c r="C3508" t="s">
        <v>17</v>
      </c>
      <c r="D3508" t="s">
        <v>18</v>
      </c>
      <c r="E3508">
        <v>63</v>
      </c>
      <c r="F3508" t="s">
        <v>19</v>
      </c>
      <c r="G3508">
        <v>2954.6000000000004</v>
      </c>
      <c r="H3508">
        <v>5207</v>
      </c>
      <c r="I3508">
        <v>13</v>
      </c>
      <c r="J3508">
        <v>10</v>
      </c>
      <c r="K3508">
        <v>10</v>
      </c>
      <c r="L3508">
        <v>9</v>
      </c>
      <c r="M3508">
        <v>7</v>
      </c>
      <c r="N3508">
        <v>8</v>
      </c>
      <c r="P3508">
        <f>G3508*I3508/100</f>
        <v>384.09800000000001</v>
      </c>
      <c r="Q3508">
        <f t="shared" si="31"/>
        <v>35455.200000000004</v>
      </c>
      <c r="R3508">
        <f>K3508/J3508</f>
        <v>1</v>
      </c>
    </row>
    <row r="3509" spans="1:18" x14ac:dyDescent="0.3">
      <c r="A3509">
        <v>25</v>
      </c>
      <c r="B3509">
        <v>883</v>
      </c>
      <c r="C3509" t="s">
        <v>14</v>
      </c>
      <c r="D3509" t="s">
        <v>15</v>
      </c>
      <c r="E3509">
        <v>32</v>
      </c>
      <c r="F3509" t="s">
        <v>16</v>
      </c>
      <c r="G3509">
        <v>6798.0000000000009</v>
      </c>
      <c r="H3509">
        <v>22807</v>
      </c>
      <c r="I3509">
        <v>23</v>
      </c>
      <c r="J3509">
        <v>6</v>
      </c>
      <c r="K3509">
        <v>6</v>
      </c>
      <c r="L3509">
        <v>5</v>
      </c>
      <c r="M3509">
        <v>1</v>
      </c>
      <c r="N3509">
        <v>4</v>
      </c>
      <c r="P3509">
        <f>G3509*I3509/100</f>
        <v>1563.5400000000002</v>
      </c>
      <c r="Q3509">
        <f t="shared" si="31"/>
        <v>81576.000000000015</v>
      </c>
      <c r="R3509">
        <f>K3509/J3509</f>
        <v>1</v>
      </c>
    </row>
    <row r="3510" spans="1:18" x14ac:dyDescent="0.3">
      <c r="A3510">
        <v>45</v>
      </c>
      <c r="B3510">
        <v>954</v>
      </c>
      <c r="C3510" t="s">
        <v>14</v>
      </c>
      <c r="D3510" t="s">
        <v>18</v>
      </c>
      <c r="E3510">
        <v>46</v>
      </c>
      <c r="F3510" t="s">
        <v>24</v>
      </c>
      <c r="G3510">
        <v>7295.2000000000007</v>
      </c>
      <c r="H3510">
        <v>12388</v>
      </c>
      <c r="I3510">
        <v>13</v>
      </c>
      <c r="J3510">
        <v>9</v>
      </c>
      <c r="K3510">
        <v>8</v>
      </c>
      <c r="L3510">
        <v>7</v>
      </c>
      <c r="M3510">
        <v>3</v>
      </c>
      <c r="N3510">
        <v>1</v>
      </c>
      <c r="P3510">
        <f>G3510*I3510/100</f>
        <v>948.37600000000009</v>
      </c>
      <c r="Q3510">
        <f t="shared" si="31"/>
        <v>87542.400000000009</v>
      </c>
      <c r="R3510">
        <f>K3510/J3510</f>
        <v>0.88888888888888884</v>
      </c>
    </row>
    <row r="3511" spans="1:18" x14ac:dyDescent="0.3">
      <c r="A3511">
        <v>23</v>
      </c>
      <c r="B3511">
        <v>310</v>
      </c>
      <c r="C3511" t="s">
        <v>17</v>
      </c>
      <c r="D3511" t="s">
        <v>18</v>
      </c>
      <c r="E3511">
        <v>79</v>
      </c>
      <c r="F3511" t="s">
        <v>19</v>
      </c>
      <c r="G3511">
        <v>3855.5000000000005</v>
      </c>
      <c r="H3511">
        <v>19630</v>
      </c>
      <c r="I3511">
        <v>18</v>
      </c>
      <c r="J3511">
        <v>2</v>
      </c>
      <c r="K3511">
        <v>2</v>
      </c>
      <c r="L3511">
        <v>2</v>
      </c>
      <c r="M3511">
        <v>0</v>
      </c>
      <c r="N3511">
        <v>2</v>
      </c>
      <c r="P3511">
        <f>G3511*I3511/100</f>
        <v>693.99000000000012</v>
      </c>
      <c r="Q3511">
        <f t="shared" si="31"/>
        <v>46266.000000000007</v>
      </c>
      <c r="R3511">
        <f>K3511/J3511</f>
        <v>1</v>
      </c>
    </row>
    <row r="3512" spans="1:18" x14ac:dyDescent="0.3">
      <c r="A3512">
        <v>47</v>
      </c>
      <c r="B3512">
        <v>719</v>
      </c>
      <c r="C3512" t="s">
        <v>14</v>
      </c>
      <c r="D3512" t="s">
        <v>15</v>
      </c>
      <c r="E3512">
        <v>77</v>
      </c>
      <c r="F3512" t="s">
        <v>16</v>
      </c>
      <c r="G3512">
        <v>7036.7000000000007</v>
      </c>
      <c r="H3512">
        <v>10339</v>
      </c>
      <c r="I3512">
        <v>12</v>
      </c>
      <c r="J3512">
        <v>8</v>
      </c>
      <c r="K3512">
        <v>5</v>
      </c>
      <c r="L3512">
        <v>4</v>
      </c>
      <c r="M3512">
        <v>1</v>
      </c>
      <c r="N3512">
        <v>3</v>
      </c>
      <c r="P3512">
        <f>G3512*I3512/100</f>
        <v>844.40400000000011</v>
      </c>
      <c r="Q3512">
        <f t="shared" si="31"/>
        <v>84440.400000000009</v>
      </c>
      <c r="R3512">
        <f>K3512/J3512</f>
        <v>0.625</v>
      </c>
    </row>
    <row r="3513" spans="1:18" x14ac:dyDescent="0.3">
      <c r="A3513">
        <v>34</v>
      </c>
      <c r="B3513">
        <v>304</v>
      </c>
      <c r="C3513" t="s">
        <v>14</v>
      </c>
      <c r="D3513" t="s">
        <v>18</v>
      </c>
      <c r="E3513">
        <v>60</v>
      </c>
      <c r="F3513" t="s">
        <v>16</v>
      </c>
      <c r="G3513">
        <v>6901.4000000000005</v>
      </c>
      <c r="H3513">
        <v>18686</v>
      </c>
      <c r="I3513">
        <v>22</v>
      </c>
      <c r="J3513">
        <v>6</v>
      </c>
      <c r="K3513">
        <v>6</v>
      </c>
      <c r="L3513">
        <v>5</v>
      </c>
      <c r="M3513">
        <v>1</v>
      </c>
      <c r="N3513">
        <v>4</v>
      </c>
      <c r="P3513">
        <f>G3513*I3513/100</f>
        <v>1518.3080000000002</v>
      </c>
      <c r="Q3513">
        <f t="shared" si="31"/>
        <v>82816.800000000003</v>
      </c>
      <c r="R3513">
        <f>K3513/J3513</f>
        <v>1</v>
      </c>
    </row>
    <row r="3514" spans="1:18" x14ac:dyDescent="0.3">
      <c r="A3514">
        <v>55</v>
      </c>
      <c r="B3514">
        <v>725</v>
      </c>
      <c r="C3514" t="s">
        <v>17</v>
      </c>
      <c r="D3514" t="s">
        <v>18</v>
      </c>
      <c r="E3514">
        <v>78</v>
      </c>
      <c r="F3514" t="s">
        <v>23</v>
      </c>
      <c r="G3514">
        <v>21844.9</v>
      </c>
      <c r="H3514">
        <v>21199</v>
      </c>
      <c r="I3514">
        <v>13</v>
      </c>
      <c r="J3514">
        <v>24</v>
      </c>
      <c r="K3514">
        <v>5</v>
      </c>
      <c r="L3514">
        <v>2</v>
      </c>
      <c r="M3514">
        <v>1</v>
      </c>
      <c r="N3514">
        <v>4</v>
      </c>
      <c r="P3514">
        <f>G3514*I3514/100</f>
        <v>2839.837</v>
      </c>
      <c r="Q3514">
        <f t="shared" si="31"/>
        <v>262138.80000000002</v>
      </c>
      <c r="R3514">
        <f>K3514/J3514</f>
        <v>0.20833333333333334</v>
      </c>
    </row>
    <row r="3515" spans="1:18" x14ac:dyDescent="0.3">
      <c r="A3515">
        <v>36</v>
      </c>
      <c r="B3515">
        <v>1434</v>
      </c>
      <c r="C3515" t="s">
        <v>14</v>
      </c>
      <c r="D3515" t="s">
        <v>18</v>
      </c>
      <c r="E3515">
        <v>76</v>
      </c>
      <c r="F3515" t="s">
        <v>16</v>
      </c>
      <c r="G3515">
        <v>8345.7000000000007</v>
      </c>
      <c r="H3515">
        <v>14229</v>
      </c>
      <c r="I3515">
        <v>15</v>
      </c>
      <c r="J3515">
        <v>10</v>
      </c>
      <c r="K3515">
        <v>10</v>
      </c>
      <c r="L3515">
        <v>7</v>
      </c>
      <c r="M3515">
        <v>0</v>
      </c>
      <c r="N3515">
        <v>9</v>
      </c>
      <c r="P3515">
        <f>G3515*I3515/100</f>
        <v>1251.8550000000002</v>
      </c>
      <c r="Q3515">
        <f t="shared" si="31"/>
        <v>100148.40000000001</v>
      </c>
      <c r="R3515">
        <f>K3515/J3515</f>
        <v>1</v>
      </c>
    </row>
    <row r="3516" spans="1:18" x14ac:dyDescent="0.3">
      <c r="A3516">
        <v>52</v>
      </c>
      <c r="B3516">
        <v>715</v>
      </c>
      <c r="C3516" t="s">
        <v>17</v>
      </c>
      <c r="D3516" t="s">
        <v>18</v>
      </c>
      <c r="E3516">
        <v>41</v>
      </c>
      <c r="F3516" t="s">
        <v>19</v>
      </c>
      <c r="G3516">
        <v>4683.8</v>
      </c>
      <c r="H3516">
        <v>26589</v>
      </c>
      <c r="I3516">
        <v>18</v>
      </c>
      <c r="J3516">
        <v>5</v>
      </c>
      <c r="K3516">
        <v>4</v>
      </c>
      <c r="L3516">
        <v>3</v>
      </c>
      <c r="M3516">
        <v>1</v>
      </c>
      <c r="N3516">
        <v>2</v>
      </c>
      <c r="P3516">
        <f>G3516*I3516/100</f>
        <v>843.08400000000006</v>
      </c>
      <c r="Q3516">
        <f t="shared" si="31"/>
        <v>56205.600000000006</v>
      </c>
      <c r="R3516">
        <f>K3516/J3516</f>
        <v>0.8</v>
      </c>
    </row>
    <row r="3517" spans="1:18" x14ac:dyDescent="0.3">
      <c r="A3517">
        <v>26</v>
      </c>
      <c r="B3517">
        <v>575</v>
      </c>
      <c r="C3517" t="s">
        <v>17</v>
      </c>
      <c r="D3517" t="s">
        <v>15</v>
      </c>
      <c r="E3517">
        <v>71</v>
      </c>
      <c r="F3517" t="s">
        <v>20</v>
      </c>
      <c r="G3517">
        <v>4800.4000000000005</v>
      </c>
      <c r="H3517">
        <v>5288</v>
      </c>
      <c r="I3517">
        <v>14</v>
      </c>
      <c r="J3517">
        <v>5</v>
      </c>
      <c r="K3517">
        <v>2</v>
      </c>
      <c r="L3517">
        <v>2</v>
      </c>
      <c r="M3517">
        <v>2</v>
      </c>
      <c r="N3517">
        <v>0</v>
      </c>
      <c r="P3517">
        <f>G3517*I3517/100</f>
        <v>672.05600000000004</v>
      </c>
      <c r="Q3517">
        <f t="shared" si="31"/>
        <v>57604.800000000003</v>
      </c>
      <c r="R3517">
        <f>K3517/J3517</f>
        <v>0.4</v>
      </c>
    </row>
    <row r="3518" spans="1:18" x14ac:dyDescent="0.3">
      <c r="A3518">
        <v>29</v>
      </c>
      <c r="B3518">
        <v>657</v>
      </c>
      <c r="C3518" t="s">
        <v>17</v>
      </c>
      <c r="D3518" t="s">
        <v>15</v>
      </c>
      <c r="E3518">
        <v>66</v>
      </c>
      <c r="F3518" t="s">
        <v>22</v>
      </c>
      <c r="G3518">
        <v>4768.5</v>
      </c>
      <c r="H3518">
        <v>25549</v>
      </c>
      <c r="I3518">
        <v>12</v>
      </c>
      <c r="J3518">
        <v>11</v>
      </c>
      <c r="K3518">
        <v>8</v>
      </c>
      <c r="L3518">
        <v>7</v>
      </c>
      <c r="M3518">
        <v>1</v>
      </c>
      <c r="N3518">
        <v>1</v>
      </c>
      <c r="P3518">
        <f>G3518*I3518/100</f>
        <v>572.22</v>
      </c>
      <c r="Q3518">
        <f t="shared" si="31"/>
        <v>57222</v>
      </c>
      <c r="R3518">
        <f>K3518/J3518</f>
        <v>0.72727272727272729</v>
      </c>
    </row>
    <row r="3519" spans="1:18" x14ac:dyDescent="0.3">
      <c r="A3519">
        <v>26</v>
      </c>
      <c r="B3519">
        <v>1146</v>
      </c>
      <c r="C3519" t="s">
        <v>14</v>
      </c>
      <c r="D3519" t="s">
        <v>18</v>
      </c>
      <c r="E3519">
        <v>38</v>
      </c>
      <c r="F3519" t="s">
        <v>16</v>
      </c>
      <c r="G3519">
        <v>5858.6</v>
      </c>
      <c r="H3519">
        <v>3064</v>
      </c>
      <c r="I3519">
        <v>17</v>
      </c>
      <c r="J3519">
        <v>6</v>
      </c>
      <c r="K3519">
        <v>4</v>
      </c>
      <c r="L3519">
        <v>3</v>
      </c>
      <c r="M3519">
        <v>1</v>
      </c>
      <c r="N3519">
        <v>2</v>
      </c>
      <c r="P3519">
        <f>G3519*I3519/100</f>
        <v>995.9620000000001</v>
      </c>
      <c r="Q3519">
        <f t="shared" si="31"/>
        <v>70303.200000000012</v>
      </c>
      <c r="R3519">
        <f>K3519/J3519</f>
        <v>0.66666666666666663</v>
      </c>
    </row>
    <row r="3520" spans="1:18" x14ac:dyDescent="0.3">
      <c r="A3520">
        <v>34</v>
      </c>
      <c r="B3520">
        <v>182</v>
      </c>
      <c r="C3520" t="s">
        <v>17</v>
      </c>
      <c r="D3520" t="s">
        <v>15</v>
      </c>
      <c r="E3520">
        <v>72</v>
      </c>
      <c r="F3520" t="s">
        <v>19</v>
      </c>
      <c r="G3520">
        <v>3608.0000000000005</v>
      </c>
      <c r="H3520">
        <v>13551</v>
      </c>
      <c r="I3520">
        <v>16</v>
      </c>
      <c r="J3520">
        <v>10</v>
      </c>
      <c r="K3520">
        <v>4</v>
      </c>
      <c r="L3520">
        <v>2</v>
      </c>
      <c r="M3520">
        <v>1</v>
      </c>
      <c r="N3520">
        <v>3</v>
      </c>
      <c r="P3520">
        <f>G3520*I3520/100</f>
        <v>577.28000000000009</v>
      </c>
      <c r="Q3520">
        <f t="shared" si="31"/>
        <v>43296.000000000007</v>
      </c>
      <c r="R3520">
        <f>K3520/J3520</f>
        <v>0.4</v>
      </c>
    </row>
    <row r="3521" spans="1:18" x14ac:dyDescent="0.3">
      <c r="A3521">
        <v>54</v>
      </c>
      <c r="B3521">
        <v>376</v>
      </c>
      <c r="C3521" t="s">
        <v>17</v>
      </c>
      <c r="D3521" t="s">
        <v>15</v>
      </c>
      <c r="E3521">
        <v>95</v>
      </c>
      <c r="F3521" t="s">
        <v>21</v>
      </c>
      <c r="G3521">
        <v>6033.5000000000009</v>
      </c>
      <c r="H3521">
        <v>22670</v>
      </c>
      <c r="I3521">
        <v>11</v>
      </c>
      <c r="J3521">
        <v>9</v>
      </c>
      <c r="K3521">
        <v>5</v>
      </c>
      <c r="L3521">
        <v>3</v>
      </c>
      <c r="M3521">
        <v>1</v>
      </c>
      <c r="N3521">
        <v>4</v>
      </c>
      <c r="P3521">
        <f>G3521*I3521/100</f>
        <v>663.68500000000017</v>
      </c>
      <c r="Q3521">
        <f t="shared" si="31"/>
        <v>72402.000000000015</v>
      </c>
      <c r="R3521">
        <f>K3521/J3521</f>
        <v>0.55555555555555558</v>
      </c>
    </row>
    <row r="3522" spans="1:18" x14ac:dyDescent="0.3">
      <c r="A3522">
        <v>27</v>
      </c>
      <c r="B3522">
        <v>829</v>
      </c>
      <c r="C3522" t="s">
        <v>14</v>
      </c>
      <c r="D3522" t="s">
        <v>18</v>
      </c>
      <c r="E3522">
        <v>84</v>
      </c>
      <c r="F3522" t="s">
        <v>16</v>
      </c>
      <c r="G3522">
        <v>4776.2000000000007</v>
      </c>
      <c r="H3522">
        <v>24008</v>
      </c>
      <c r="I3522">
        <v>19</v>
      </c>
      <c r="J3522">
        <v>5</v>
      </c>
      <c r="K3522">
        <v>4</v>
      </c>
      <c r="L3522">
        <v>2</v>
      </c>
      <c r="M3522">
        <v>1</v>
      </c>
      <c r="N3522">
        <v>1</v>
      </c>
      <c r="P3522">
        <f>G3522*I3522/100</f>
        <v>907.47800000000018</v>
      </c>
      <c r="Q3522">
        <f t="shared" si="31"/>
        <v>57314.400000000009</v>
      </c>
      <c r="R3522">
        <f>K3522/J3522</f>
        <v>0.8</v>
      </c>
    </row>
    <row r="3523" spans="1:18" x14ac:dyDescent="0.3">
      <c r="A3523">
        <v>37</v>
      </c>
      <c r="B3523">
        <v>571</v>
      </c>
      <c r="C3523" t="s">
        <v>17</v>
      </c>
      <c r="D3523" t="s">
        <v>15</v>
      </c>
      <c r="E3523">
        <v>82</v>
      </c>
      <c r="F3523" t="s">
        <v>19</v>
      </c>
      <c r="G3523">
        <v>3060.2000000000003</v>
      </c>
      <c r="H3523">
        <v>19905</v>
      </c>
      <c r="I3523">
        <v>13</v>
      </c>
      <c r="J3523">
        <v>6</v>
      </c>
      <c r="K3523">
        <v>5</v>
      </c>
      <c r="L3523">
        <v>3</v>
      </c>
      <c r="M3523">
        <v>4</v>
      </c>
      <c r="N3523">
        <v>3</v>
      </c>
      <c r="P3523">
        <f>G3523*I3523/100</f>
        <v>397.82600000000008</v>
      </c>
      <c r="Q3523">
        <f t="shared" ref="Q3523:Q3586" si="32">G3523*12</f>
        <v>36722.400000000001</v>
      </c>
      <c r="R3523">
        <f>K3523/J3523</f>
        <v>0.83333333333333337</v>
      </c>
    </row>
    <row r="3524" spans="1:18" x14ac:dyDescent="0.3">
      <c r="A3524">
        <v>38</v>
      </c>
      <c r="B3524">
        <v>240</v>
      </c>
      <c r="C3524" t="s">
        <v>17</v>
      </c>
      <c r="D3524" t="s">
        <v>15</v>
      </c>
      <c r="E3524">
        <v>75</v>
      </c>
      <c r="F3524" t="s">
        <v>21</v>
      </c>
      <c r="G3524">
        <v>6578.0000000000009</v>
      </c>
      <c r="H3524">
        <v>26085</v>
      </c>
      <c r="I3524">
        <v>12</v>
      </c>
      <c r="J3524">
        <v>17</v>
      </c>
      <c r="K3524">
        <v>15</v>
      </c>
      <c r="L3524">
        <v>7</v>
      </c>
      <c r="M3524">
        <v>4</v>
      </c>
      <c r="N3524">
        <v>12</v>
      </c>
      <c r="P3524">
        <f>G3524*I3524/100</f>
        <v>789.36000000000013</v>
      </c>
      <c r="Q3524">
        <f t="shared" si="32"/>
        <v>78936.000000000015</v>
      </c>
      <c r="R3524">
        <f>K3524/J3524</f>
        <v>0.88235294117647056</v>
      </c>
    </row>
    <row r="3525" spans="1:18" x14ac:dyDescent="0.3">
      <c r="A3525">
        <v>34</v>
      </c>
      <c r="B3525">
        <v>121</v>
      </c>
      <c r="C3525" t="s">
        <v>17</v>
      </c>
      <c r="D3525" t="s">
        <v>15</v>
      </c>
      <c r="E3525">
        <v>86</v>
      </c>
      <c r="F3525" t="s">
        <v>19</v>
      </c>
      <c r="G3525">
        <v>4819.1000000000004</v>
      </c>
      <c r="H3525">
        <v>7530</v>
      </c>
      <c r="I3525">
        <v>11</v>
      </c>
      <c r="J3525">
        <v>6</v>
      </c>
      <c r="K3525">
        <v>6</v>
      </c>
      <c r="L3525">
        <v>5</v>
      </c>
      <c r="M3525">
        <v>1</v>
      </c>
      <c r="N3525">
        <v>3</v>
      </c>
      <c r="P3525">
        <f>G3525*I3525/100</f>
        <v>530.10100000000011</v>
      </c>
      <c r="Q3525">
        <f t="shared" si="32"/>
        <v>57829.200000000004</v>
      </c>
      <c r="R3525">
        <f>K3525/J3525</f>
        <v>1</v>
      </c>
    </row>
    <row r="3526" spans="1:18" x14ac:dyDescent="0.3">
      <c r="A3526">
        <v>35</v>
      </c>
      <c r="B3526">
        <v>384</v>
      </c>
      <c r="C3526" t="s">
        <v>14</v>
      </c>
      <c r="D3526" t="s">
        <v>15</v>
      </c>
      <c r="E3526">
        <v>72</v>
      </c>
      <c r="F3526" t="s">
        <v>24</v>
      </c>
      <c r="G3526">
        <v>2829.2000000000003</v>
      </c>
      <c r="H3526">
        <v>20317</v>
      </c>
      <c r="I3526">
        <v>16</v>
      </c>
      <c r="J3526">
        <v>3</v>
      </c>
      <c r="K3526">
        <v>3</v>
      </c>
      <c r="L3526">
        <v>2</v>
      </c>
      <c r="M3526">
        <v>0</v>
      </c>
      <c r="N3526">
        <v>2</v>
      </c>
      <c r="P3526">
        <f>G3526*I3526/100</f>
        <v>452.67200000000003</v>
      </c>
      <c r="Q3526">
        <f t="shared" si="32"/>
        <v>33950.400000000001</v>
      </c>
      <c r="R3526">
        <f>K3526/J3526</f>
        <v>1</v>
      </c>
    </row>
    <row r="3527" spans="1:18" x14ac:dyDescent="0.3">
      <c r="A3527">
        <v>30</v>
      </c>
      <c r="B3527">
        <v>921</v>
      </c>
      <c r="C3527" t="s">
        <v>17</v>
      </c>
      <c r="D3527" t="s">
        <v>18</v>
      </c>
      <c r="E3527">
        <v>38</v>
      </c>
      <c r="F3527" t="s">
        <v>20</v>
      </c>
      <c r="G3527">
        <v>4216.3</v>
      </c>
      <c r="H3527">
        <v>24375</v>
      </c>
      <c r="I3527">
        <v>21</v>
      </c>
      <c r="J3527">
        <v>7</v>
      </c>
      <c r="K3527">
        <v>2</v>
      </c>
      <c r="L3527">
        <v>2</v>
      </c>
      <c r="M3527">
        <v>0</v>
      </c>
      <c r="N3527">
        <v>2</v>
      </c>
      <c r="P3527">
        <f>G3527*I3527/100</f>
        <v>885.423</v>
      </c>
      <c r="Q3527">
        <f t="shared" si="32"/>
        <v>50595.600000000006</v>
      </c>
      <c r="R3527">
        <f>K3527/J3527</f>
        <v>0.2857142857142857</v>
      </c>
    </row>
    <row r="3528" spans="1:18" x14ac:dyDescent="0.3">
      <c r="A3528">
        <v>40</v>
      </c>
      <c r="B3528">
        <v>791</v>
      </c>
      <c r="C3528" t="s">
        <v>17</v>
      </c>
      <c r="D3528" t="s">
        <v>15</v>
      </c>
      <c r="E3528">
        <v>38</v>
      </c>
      <c r="F3528" t="s">
        <v>22</v>
      </c>
      <c r="G3528">
        <v>4668.4000000000005</v>
      </c>
      <c r="H3528">
        <v>9931</v>
      </c>
      <c r="I3528">
        <v>24</v>
      </c>
      <c r="J3528">
        <v>8</v>
      </c>
      <c r="K3528">
        <v>8</v>
      </c>
      <c r="L3528">
        <v>7</v>
      </c>
      <c r="M3528">
        <v>3</v>
      </c>
      <c r="N3528">
        <v>7</v>
      </c>
      <c r="P3528">
        <f>G3528*I3528/100</f>
        <v>1120.4160000000002</v>
      </c>
      <c r="Q3528">
        <f t="shared" si="32"/>
        <v>56020.800000000003</v>
      </c>
      <c r="R3528">
        <f>K3528/J3528</f>
        <v>1</v>
      </c>
    </row>
    <row r="3529" spans="1:18" x14ac:dyDescent="0.3">
      <c r="A3529">
        <v>34</v>
      </c>
      <c r="B3529">
        <v>1111</v>
      </c>
      <c r="C3529" t="s">
        <v>14</v>
      </c>
      <c r="D3529" t="s">
        <v>15</v>
      </c>
      <c r="E3529">
        <v>93</v>
      </c>
      <c r="F3529" t="s">
        <v>16</v>
      </c>
      <c r="G3529">
        <v>7150.0000000000009</v>
      </c>
      <c r="H3529">
        <v>13305</v>
      </c>
      <c r="I3529">
        <v>17</v>
      </c>
      <c r="J3529">
        <v>6</v>
      </c>
      <c r="K3529">
        <v>3</v>
      </c>
      <c r="L3529">
        <v>2</v>
      </c>
      <c r="M3529">
        <v>1</v>
      </c>
      <c r="N3529">
        <v>2</v>
      </c>
      <c r="P3529">
        <f>G3529*I3529/100</f>
        <v>1215.5000000000002</v>
      </c>
      <c r="Q3529">
        <f t="shared" si="32"/>
        <v>85800.000000000015</v>
      </c>
      <c r="R3529">
        <f>K3529/J3529</f>
        <v>0.5</v>
      </c>
    </row>
    <row r="3530" spans="1:18" x14ac:dyDescent="0.3">
      <c r="A3530">
        <v>42</v>
      </c>
      <c r="B3530">
        <v>570</v>
      </c>
      <c r="C3530" t="s">
        <v>17</v>
      </c>
      <c r="D3530" t="s">
        <v>18</v>
      </c>
      <c r="E3530">
        <v>66</v>
      </c>
      <c r="F3530" t="s">
        <v>23</v>
      </c>
      <c r="G3530">
        <v>20273</v>
      </c>
      <c r="H3530">
        <v>16225</v>
      </c>
      <c r="I3530">
        <v>13</v>
      </c>
      <c r="J3530">
        <v>24</v>
      </c>
      <c r="K3530">
        <v>24</v>
      </c>
      <c r="L3530">
        <v>7</v>
      </c>
      <c r="M3530">
        <v>14</v>
      </c>
      <c r="N3530">
        <v>9</v>
      </c>
      <c r="P3530">
        <f>G3530*I3530/100</f>
        <v>2635.49</v>
      </c>
      <c r="Q3530">
        <f t="shared" si="32"/>
        <v>243276</v>
      </c>
      <c r="R3530">
        <f>K3530/J3530</f>
        <v>1</v>
      </c>
    </row>
    <row r="3531" spans="1:18" x14ac:dyDescent="0.3">
      <c r="A3531">
        <v>23</v>
      </c>
      <c r="B3531">
        <v>1243</v>
      </c>
      <c r="C3531" t="s">
        <v>17</v>
      </c>
      <c r="D3531" t="s">
        <v>18</v>
      </c>
      <c r="E3531">
        <v>63</v>
      </c>
      <c r="F3531" t="s">
        <v>20</v>
      </c>
      <c r="G3531">
        <v>1761.1000000000001</v>
      </c>
      <c r="H3531">
        <v>3445</v>
      </c>
      <c r="I3531">
        <v>21</v>
      </c>
      <c r="J3531">
        <v>1</v>
      </c>
      <c r="K3531">
        <v>0</v>
      </c>
      <c r="L3531">
        <v>0</v>
      </c>
      <c r="M3531">
        <v>0</v>
      </c>
      <c r="N3531">
        <v>0</v>
      </c>
      <c r="P3531">
        <f>G3531*I3531/100</f>
        <v>369.83100000000007</v>
      </c>
      <c r="Q3531">
        <f t="shared" si="32"/>
        <v>21133.200000000001</v>
      </c>
      <c r="R3531">
        <f>K3531/J3531</f>
        <v>0</v>
      </c>
    </row>
    <row r="3532" spans="1:18" x14ac:dyDescent="0.3">
      <c r="A3532">
        <v>24</v>
      </c>
      <c r="B3532">
        <v>1092</v>
      </c>
      <c r="C3532" t="s">
        <v>17</v>
      </c>
      <c r="D3532" t="s">
        <v>18</v>
      </c>
      <c r="E3532">
        <v>60</v>
      </c>
      <c r="F3532" t="s">
        <v>20</v>
      </c>
      <c r="G3532">
        <v>2963.4</v>
      </c>
      <c r="H3532">
        <v>26551</v>
      </c>
      <c r="I3532">
        <v>11</v>
      </c>
      <c r="J3532">
        <v>1</v>
      </c>
      <c r="K3532">
        <v>1</v>
      </c>
      <c r="L3532">
        <v>0</v>
      </c>
      <c r="M3532">
        <v>0</v>
      </c>
      <c r="N3532">
        <v>0</v>
      </c>
      <c r="P3532">
        <f>G3532*I3532/100</f>
        <v>325.97399999999999</v>
      </c>
      <c r="Q3532">
        <f t="shared" si="32"/>
        <v>35560.800000000003</v>
      </c>
      <c r="R3532">
        <f>K3532/J3532</f>
        <v>1</v>
      </c>
    </row>
    <row r="3533" spans="1:18" x14ac:dyDescent="0.3">
      <c r="A3533">
        <v>52</v>
      </c>
      <c r="B3533">
        <v>1325</v>
      </c>
      <c r="C3533" t="s">
        <v>17</v>
      </c>
      <c r="D3533" t="s">
        <v>15</v>
      </c>
      <c r="E3533">
        <v>82</v>
      </c>
      <c r="F3533" t="s">
        <v>20</v>
      </c>
      <c r="G3533">
        <v>3463.9</v>
      </c>
      <c r="H3533">
        <v>21821</v>
      </c>
      <c r="I3533">
        <v>20</v>
      </c>
      <c r="J3533">
        <v>9</v>
      </c>
      <c r="K3533">
        <v>5</v>
      </c>
      <c r="L3533">
        <v>2</v>
      </c>
      <c r="M3533">
        <v>1</v>
      </c>
      <c r="N3533">
        <v>4</v>
      </c>
      <c r="P3533">
        <f>G3533*I3533/100</f>
        <v>692.78</v>
      </c>
      <c r="Q3533">
        <f t="shared" si="32"/>
        <v>41566.800000000003</v>
      </c>
      <c r="R3533">
        <f>K3533/J3533</f>
        <v>0.55555555555555558</v>
      </c>
    </row>
    <row r="3534" spans="1:18" x14ac:dyDescent="0.3">
      <c r="A3534">
        <v>50</v>
      </c>
      <c r="B3534">
        <v>691</v>
      </c>
      <c r="C3534" t="s">
        <v>17</v>
      </c>
      <c r="D3534" t="s">
        <v>18</v>
      </c>
      <c r="E3534">
        <v>64</v>
      </c>
      <c r="F3534" t="s">
        <v>25</v>
      </c>
      <c r="G3534">
        <v>19402.900000000001</v>
      </c>
      <c r="H3534">
        <v>6881</v>
      </c>
      <c r="I3534">
        <v>16</v>
      </c>
      <c r="J3534">
        <v>30</v>
      </c>
      <c r="K3534">
        <v>4</v>
      </c>
      <c r="L3534">
        <v>3</v>
      </c>
      <c r="M3534">
        <v>0</v>
      </c>
      <c r="N3534">
        <v>3</v>
      </c>
      <c r="P3534">
        <f>G3534*I3534/100</f>
        <v>3104.4640000000004</v>
      </c>
      <c r="Q3534">
        <f t="shared" si="32"/>
        <v>232834.80000000002</v>
      </c>
      <c r="R3534">
        <f>K3534/J3534</f>
        <v>0.13333333333333333</v>
      </c>
    </row>
    <row r="3535" spans="1:18" x14ac:dyDescent="0.3">
      <c r="A3535">
        <v>29</v>
      </c>
      <c r="B3535">
        <v>805</v>
      </c>
      <c r="C3535" t="s">
        <v>17</v>
      </c>
      <c r="D3535" t="s">
        <v>15</v>
      </c>
      <c r="E3535">
        <v>36</v>
      </c>
      <c r="F3535" t="s">
        <v>20</v>
      </c>
      <c r="G3535">
        <v>2550.9</v>
      </c>
      <c r="H3535">
        <v>6689</v>
      </c>
      <c r="I3535">
        <v>11</v>
      </c>
      <c r="J3535">
        <v>1</v>
      </c>
      <c r="K3535">
        <v>1</v>
      </c>
      <c r="L3535">
        <v>0</v>
      </c>
      <c r="M3535">
        <v>0</v>
      </c>
      <c r="N3535">
        <v>0</v>
      </c>
      <c r="P3535">
        <f>G3535*I3535/100</f>
        <v>280.59899999999999</v>
      </c>
      <c r="Q3535">
        <f t="shared" si="32"/>
        <v>30610.800000000003</v>
      </c>
      <c r="R3535">
        <f>K3535/J3535</f>
        <v>1</v>
      </c>
    </row>
    <row r="3536" spans="1:18" x14ac:dyDescent="0.3">
      <c r="A3536">
        <v>33</v>
      </c>
      <c r="B3536">
        <v>213</v>
      </c>
      <c r="C3536" t="s">
        <v>17</v>
      </c>
      <c r="D3536" t="s">
        <v>18</v>
      </c>
      <c r="E3536">
        <v>49</v>
      </c>
      <c r="F3536" t="s">
        <v>25</v>
      </c>
      <c r="G3536">
        <v>12860.1</v>
      </c>
      <c r="H3536">
        <v>25995</v>
      </c>
      <c r="I3536">
        <v>11</v>
      </c>
      <c r="J3536">
        <v>14</v>
      </c>
      <c r="K3536">
        <v>13</v>
      </c>
      <c r="L3536">
        <v>9</v>
      </c>
      <c r="M3536">
        <v>3</v>
      </c>
      <c r="N3536">
        <v>7</v>
      </c>
      <c r="P3536">
        <f>G3536*I3536/100</f>
        <v>1414.6110000000001</v>
      </c>
      <c r="Q3536">
        <f t="shared" si="32"/>
        <v>154321.20000000001</v>
      </c>
      <c r="R3536">
        <f>K3536/J3536</f>
        <v>0.9285714285714286</v>
      </c>
    </row>
    <row r="3537" spans="1:18" x14ac:dyDescent="0.3">
      <c r="A3537">
        <v>33</v>
      </c>
      <c r="B3537">
        <v>118</v>
      </c>
      <c r="C3537" t="s">
        <v>14</v>
      </c>
      <c r="D3537" t="s">
        <v>15</v>
      </c>
      <c r="E3537">
        <v>69</v>
      </c>
      <c r="F3537" t="s">
        <v>16</v>
      </c>
      <c r="G3537">
        <v>5856.4000000000005</v>
      </c>
      <c r="H3537">
        <v>26507</v>
      </c>
      <c r="I3537">
        <v>15</v>
      </c>
      <c r="J3537">
        <v>6</v>
      </c>
      <c r="K3537">
        <v>3</v>
      </c>
      <c r="L3537">
        <v>2</v>
      </c>
      <c r="M3537">
        <v>0</v>
      </c>
      <c r="N3537">
        <v>2</v>
      </c>
      <c r="P3537">
        <f>G3537*I3537/100</f>
        <v>878.46000000000015</v>
      </c>
      <c r="Q3537">
        <f t="shared" si="32"/>
        <v>70276.800000000003</v>
      </c>
      <c r="R3537">
        <f>K3537/J3537</f>
        <v>0.5</v>
      </c>
    </row>
    <row r="3538" spans="1:18" x14ac:dyDescent="0.3">
      <c r="A3538">
        <v>47</v>
      </c>
      <c r="B3538">
        <v>202</v>
      </c>
      <c r="C3538" t="s">
        <v>17</v>
      </c>
      <c r="D3538" t="s">
        <v>15</v>
      </c>
      <c r="E3538">
        <v>33</v>
      </c>
      <c r="F3538" t="s">
        <v>23</v>
      </c>
      <c r="G3538">
        <v>18427.2</v>
      </c>
      <c r="H3538">
        <v>12982</v>
      </c>
      <c r="I3538">
        <v>11</v>
      </c>
      <c r="J3538">
        <v>26</v>
      </c>
      <c r="K3538">
        <v>26</v>
      </c>
      <c r="L3538">
        <v>14</v>
      </c>
      <c r="M3538">
        <v>3</v>
      </c>
      <c r="N3538">
        <v>0</v>
      </c>
      <c r="P3538">
        <f>G3538*I3538/100</f>
        <v>2026.9920000000002</v>
      </c>
      <c r="Q3538">
        <f t="shared" si="32"/>
        <v>221126.40000000002</v>
      </c>
      <c r="R3538">
        <f>K3538/J3538</f>
        <v>1</v>
      </c>
    </row>
    <row r="3539" spans="1:18" x14ac:dyDescent="0.3">
      <c r="A3539">
        <v>36</v>
      </c>
      <c r="B3539">
        <v>676</v>
      </c>
      <c r="C3539" t="s">
        <v>17</v>
      </c>
      <c r="D3539" t="s">
        <v>15</v>
      </c>
      <c r="E3539">
        <v>35</v>
      </c>
      <c r="F3539" t="s">
        <v>21</v>
      </c>
      <c r="G3539">
        <v>5750.8</v>
      </c>
      <c r="H3539">
        <v>23361</v>
      </c>
      <c r="I3539">
        <v>15</v>
      </c>
      <c r="J3539">
        <v>10</v>
      </c>
      <c r="K3539">
        <v>9</v>
      </c>
      <c r="L3539">
        <v>7</v>
      </c>
      <c r="M3539">
        <v>0</v>
      </c>
      <c r="N3539">
        <v>5</v>
      </c>
      <c r="P3539">
        <f>G3539*I3539/100</f>
        <v>862.62</v>
      </c>
      <c r="Q3539">
        <f t="shared" si="32"/>
        <v>69009.600000000006</v>
      </c>
      <c r="R3539">
        <f>K3539/J3539</f>
        <v>0.9</v>
      </c>
    </row>
    <row r="3540" spans="1:18" x14ac:dyDescent="0.3">
      <c r="A3540">
        <v>29</v>
      </c>
      <c r="B3540">
        <v>1252</v>
      </c>
      <c r="C3540" t="s">
        <v>17</v>
      </c>
      <c r="D3540" t="s">
        <v>18</v>
      </c>
      <c r="E3540">
        <v>81</v>
      </c>
      <c r="F3540" t="s">
        <v>19</v>
      </c>
      <c r="G3540">
        <v>2970.0000000000005</v>
      </c>
      <c r="H3540">
        <v>23779</v>
      </c>
      <c r="I3540">
        <v>24</v>
      </c>
      <c r="J3540">
        <v>10</v>
      </c>
      <c r="K3540">
        <v>10</v>
      </c>
      <c r="L3540">
        <v>7</v>
      </c>
      <c r="M3540">
        <v>0</v>
      </c>
      <c r="N3540">
        <v>7</v>
      </c>
      <c r="P3540">
        <f>G3540*I3540/100</f>
        <v>712.80000000000018</v>
      </c>
      <c r="Q3540">
        <f t="shared" si="32"/>
        <v>35640.000000000007</v>
      </c>
      <c r="R3540">
        <f>K3540/J3540</f>
        <v>1</v>
      </c>
    </row>
    <row r="3541" spans="1:18" x14ac:dyDescent="0.3">
      <c r="A3541">
        <v>58</v>
      </c>
      <c r="B3541">
        <v>286</v>
      </c>
      <c r="C3541" t="s">
        <v>17</v>
      </c>
      <c r="D3541" t="s">
        <v>18</v>
      </c>
      <c r="E3541">
        <v>31</v>
      </c>
      <c r="F3541" t="s">
        <v>25</v>
      </c>
      <c r="G3541">
        <v>21170.600000000002</v>
      </c>
      <c r="H3541">
        <v>25761</v>
      </c>
      <c r="I3541">
        <v>12</v>
      </c>
      <c r="J3541">
        <v>40</v>
      </c>
      <c r="K3541">
        <v>31</v>
      </c>
      <c r="L3541">
        <v>15</v>
      </c>
      <c r="M3541">
        <v>13</v>
      </c>
      <c r="N3541">
        <v>8</v>
      </c>
      <c r="P3541">
        <f>G3541*I3541/100</f>
        <v>2540.4720000000002</v>
      </c>
      <c r="Q3541">
        <f t="shared" si="32"/>
        <v>254047.2</v>
      </c>
      <c r="R3541">
        <f>K3541/J3541</f>
        <v>0.77500000000000002</v>
      </c>
    </row>
    <row r="3542" spans="1:18" x14ac:dyDescent="0.3">
      <c r="A3542">
        <v>35</v>
      </c>
      <c r="B3542">
        <v>1258</v>
      </c>
      <c r="C3542" t="s">
        <v>17</v>
      </c>
      <c r="D3542" t="s">
        <v>15</v>
      </c>
      <c r="E3542">
        <v>40</v>
      </c>
      <c r="F3542" t="s">
        <v>19</v>
      </c>
      <c r="G3542">
        <v>2756.6000000000004</v>
      </c>
      <c r="H3542">
        <v>13301</v>
      </c>
      <c r="I3542">
        <v>13</v>
      </c>
      <c r="J3542">
        <v>7</v>
      </c>
      <c r="K3542">
        <v>2</v>
      </c>
      <c r="L3542">
        <v>2</v>
      </c>
      <c r="M3542">
        <v>2</v>
      </c>
      <c r="N3542">
        <v>2</v>
      </c>
      <c r="P3542">
        <f>G3542*I3542/100</f>
        <v>358.358</v>
      </c>
      <c r="Q3542">
        <f t="shared" si="32"/>
        <v>33079.200000000004</v>
      </c>
      <c r="R3542">
        <f>K3542/J3542</f>
        <v>0.2857142857142857</v>
      </c>
    </row>
    <row r="3543" spans="1:18" x14ac:dyDescent="0.3">
      <c r="A3543">
        <v>42</v>
      </c>
      <c r="B3543">
        <v>932</v>
      </c>
      <c r="C3543" t="s">
        <v>17</v>
      </c>
      <c r="D3543" t="s">
        <v>15</v>
      </c>
      <c r="E3543">
        <v>43</v>
      </c>
      <c r="F3543" t="s">
        <v>21</v>
      </c>
      <c r="G3543">
        <v>6668.2000000000007</v>
      </c>
      <c r="H3543">
        <v>4051</v>
      </c>
      <c r="I3543">
        <v>13</v>
      </c>
      <c r="J3543">
        <v>8</v>
      </c>
      <c r="K3543">
        <v>4</v>
      </c>
      <c r="L3543">
        <v>3</v>
      </c>
      <c r="M3543">
        <v>0</v>
      </c>
      <c r="N3543">
        <v>2</v>
      </c>
      <c r="P3543">
        <f>G3543*I3543/100</f>
        <v>866.8660000000001</v>
      </c>
      <c r="Q3543">
        <f t="shared" si="32"/>
        <v>80018.400000000009</v>
      </c>
      <c r="R3543">
        <f>K3543/J3543</f>
        <v>0.5</v>
      </c>
    </row>
    <row r="3544" spans="1:18" x14ac:dyDescent="0.3">
      <c r="A3544">
        <v>28</v>
      </c>
      <c r="B3544">
        <v>890</v>
      </c>
      <c r="C3544" t="s">
        <v>17</v>
      </c>
      <c r="D3544" t="s">
        <v>18</v>
      </c>
      <c r="E3544">
        <v>46</v>
      </c>
      <c r="F3544" t="s">
        <v>19</v>
      </c>
      <c r="G3544">
        <v>4820.2000000000007</v>
      </c>
      <c r="H3544">
        <v>16374</v>
      </c>
      <c r="I3544">
        <v>17</v>
      </c>
      <c r="J3544">
        <v>5</v>
      </c>
      <c r="K3544">
        <v>2</v>
      </c>
      <c r="L3544">
        <v>2</v>
      </c>
      <c r="M3544">
        <v>2</v>
      </c>
      <c r="N3544">
        <v>1</v>
      </c>
      <c r="P3544">
        <f>G3544*I3544/100</f>
        <v>819.43400000000008</v>
      </c>
      <c r="Q3544">
        <f t="shared" si="32"/>
        <v>57842.400000000009</v>
      </c>
      <c r="R3544">
        <f>K3544/J3544</f>
        <v>0.4</v>
      </c>
    </row>
    <row r="3545" spans="1:18" x14ac:dyDescent="0.3">
      <c r="A3545">
        <v>36</v>
      </c>
      <c r="B3545">
        <v>1041</v>
      </c>
      <c r="C3545" t="s">
        <v>26</v>
      </c>
      <c r="D3545" t="s">
        <v>18</v>
      </c>
      <c r="E3545">
        <v>36</v>
      </c>
      <c r="F3545" t="s">
        <v>26</v>
      </c>
      <c r="G3545">
        <v>2357.3000000000002</v>
      </c>
      <c r="H3545">
        <v>25527</v>
      </c>
      <c r="I3545">
        <v>13</v>
      </c>
      <c r="J3545">
        <v>8</v>
      </c>
      <c r="K3545">
        <v>5</v>
      </c>
      <c r="L3545">
        <v>2</v>
      </c>
      <c r="M3545">
        <v>0</v>
      </c>
      <c r="N3545">
        <v>4</v>
      </c>
      <c r="P3545">
        <f>G3545*I3545/100</f>
        <v>306.44900000000001</v>
      </c>
      <c r="Q3545">
        <f t="shared" si="32"/>
        <v>28287.600000000002</v>
      </c>
      <c r="R3545">
        <f>K3545/J3545</f>
        <v>0.625</v>
      </c>
    </row>
    <row r="3546" spans="1:18" x14ac:dyDescent="0.3">
      <c r="A3546">
        <v>32</v>
      </c>
      <c r="B3546">
        <v>859</v>
      </c>
      <c r="C3546" t="s">
        <v>17</v>
      </c>
      <c r="D3546" t="s">
        <v>15</v>
      </c>
      <c r="E3546">
        <v>98</v>
      </c>
      <c r="F3546" t="s">
        <v>21</v>
      </c>
      <c r="G3546">
        <v>6778.2000000000007</v>
      </c>
      <c r="H3546">
        <v>19124</v>
      </c>
      <c r="I3546">
        <v>12</v>
      </c>
      <c r="J3546">
        <v>14</v>
      </c>
      <c r="K3546">
        <v>14</v>
      </c>
      <c r="L3546">
        <v>13</v>
      </c>
      <c r="M3546">
        <v>6</v>
      </c>
      <c r="N3546">
        <v>8</v>
      </c>
      <c r="P3546">
        <f>G3546*I3546/100</f>
        <v>813.38400000000013</v>
      </c>
      <c r="Q3546">
        <f t="shared" si="32"/>
        <v>81338.400000000009</v>
      </c>
      <c r="R3546">
        <f>K3546/J3546</f>
        <v>1</v>
      </c>
    </row>
    <row r="3547" spans="1:18" x14ac:dyDescent="0.3">
      <c r="A3547">
        <v>40</v>
      </c>
      <c r="B3547">
        <v>720</v>
      </c>
      <c r="C3547" t="s">
        <v>17</v>
      </c>
      <c r="D3547" t="s">
        <v>18</v>
      </c>
      <c r="E3547">
        <v>51</v>
      </c>
      <c r="F3547" t="s">
        <v>20</v>
      </c>
      <c r="G3547">
        <v>5603.4000000000005</v>
      </c>
      <c r="H3547">
        <v>11983</v>
      </c>
      <c r="I3547">
        <v>14</v>
      </c>
      <c r="J3547">
        <v>10</v>
      </c>
      <c r="K3547">
        <v>1</v>
      </c>
      <c r="L3547">
        <v>0</v>
      </c>
      <c r="M3547">
        <v>0</v>
      </c>
      <c r="N3547">
        <v>0</v>
      </c>
      <c r="P3547">
        <f>G3547*I3547/100</f>
        <v>784.47600000000011</v>
      </c>
      <c r="Q3547">
        <f t="shared" si="32"/>
        <v>67240.800000000003</v>
      </c>
      <c r="R3547">
        <f>K3547/J3547</f>
        <v>0.1</v>
      </c>
    </row>
    <row r="3548" spans="1:18" x14ac:dyDescent="0.3">
      <c r="A3548">
        <v>30</v>
      </c>
      <c r="B3548">
        <v>946</v>
      </c>
      <c r="C3548" t="s">
        <v>17</v>
      </c>
      <c r="D3548" t="s">
        <v>15</v>
      </c>
      <c r="E3548">
        <v>52</v>
      </c>
      <c r="F3548" t="s">
        <v>21</v>
      </c>
      <c r="G3548">
        <v>7564.7000000000007</v>
      </c>
      <c r="H3548">
        <v>20234</v>
      </c>
      <c r="I3548">
        <v>24</v>
      </c>
      <c r="J3548">
        <v>12</v>
      </c>
      <c r="K3548">
        <v>0</v>
      </c>
      <c r="L3548">
        <v>0</v>
      </c>
      <c r="M3548">
        <v>0</v>
      </c>
      <c r="N3548">
        <v>0</v>
      </c>
      <c r="P3548">
        <f>G3548*I3548/100</f>
        <v>1815.5280000000002</v>
      </c>
      <c r="Q3548">
        <f t="shared" si="32"/>
        <v>90776.400000000009</v>
      </c>
      <c r="R3548">
        <f>K3548/J3548</f>
        <v>0</v>
      </c>
    </row>
    <row r="3549" spans="1:18" x14ac:dyDescent="0.3">
      <c r="A3549">
        <v>45</v>
      </c>
      <c r="B3549">
        <v>252</v>
      </c>
      <c r="C3549" t="s">
        <v>17</v>
      </c>
      <c r="D3549" t="s">
        <v>15</v>
      </c>
      <c r="E3549">
        <v>95</v>
      </c>
      <c r="F3549" t="s">
        <v>19</v>
      </c>
      <c r="G3549">
        <v>2501.4</v>
      </c>
      <c r="H3549">
        <v>6153</v>
      </c>
      <c r="I3549">
        <v>14</v>
      </c>
      <c r="J3549">
        <v>1</v>
      </c>
      <c r="K3549">
        <v>1</v>
      </c>
      <c r="L3549">
        <v>0</v>
      </c>
      <c r="M3549">
        <v>0</v>
      </c>
      <c r="N3549">
        <v>0</v>
      </c>
      <c r="P3549">
        <f>G3549*I3549/100</f>
        <v>350.19599999999997</v>
      </c>
      <c r="Q3549">
        <f t="shared" si="32"/>
        <v>30016.800000000003</v>
      </c>
      <c r="R3549">
        <f>K3549/J3549</f>
        <v>1</v>
      </c>
    </row>
    <row r="3550" spans="1:18" x14ac:dyDescent="0.3">
      <c r="A3550">
        <v>42</v>
      </c>
      <c r="B3550">
        <v>933</v>
      </c>
      <c r="C3550" t="s">
        <v>17</v>
      </c>
      <c r="D3550" t="s">
        <v>18</v>
      </c>
      <c r="E3550">
        <v>98</v>
      </c>
      <c r="F3550" t="s">
        <v>21</v>
      </c>
      <c r="G3550">
        <v>4877.4000000000005</v>
      </c>
      <c r="H3550">
        <v>11806</v>
      </c>
      <c r="I3550">
        <v>13</v>
      </c>
      <c r="J3550">
        <v>10</v>
      </c>
      <c r="K3550">
        <v>9</v>
      </c>
      <c r="L3550">
        <v>8</v>
      </c>
      <c r="M3550">
        <v>7</v>
      </c>
      <c r="N3550">
        <v>8</v>
      </c>
      <c r="P3550">
        <f>G3550*I3550/100</f>
        <v>634.06200000000001</v>
      </c>
      <c r="Q3550">
        <f t="shared" si="32"/>
        <v>58528.800000000003</v>
      </c>
      <c r="R3550">
        <f>K3550/J3550</f>
        <v>0.9</v>
      </c>
    </row>
    <row r="3551" spans="1:18" x14ac:dyDescent="0.3">
      <c r="A3551">
        <v>38</v>
      </c>
      <c r="B3551">
        <v>471</v>
      </c>
      <c r="C3551" t="s">
        <v>17</v>
      </c>
      <c r="D3551" t="s">
        <v>18</v>
      </c>
      <c r="E3551">
        <v>45</v>
      </c>
      <c r="F3551" t="s">
        <v>22</v>
      </c>
      <c r="G3551">
        <v>6916.8</v>
      </c>
      <c r="H3551">
        <v>4284</v>
      </c>
      <c r="I3551">
        <v>15</v>
      </c>
      <c r="J3551">
        <v>13</v>
      </c>
      <c r="K3551">
        <v>4</v>
      </c>
      <c r="L3551">
        <v>3</v>
      </c>
      <c r="M3551">
        <v>1</v>
      </c>
      <c r="N3551">
        <v>2</v>
      </c>
      <c r="P3551">
        <f>G3551*I3551/100</f>
        <v>1037.52</v>
      </c>
      <c r="Q3551">
        <f t="shared" si="32"/>
        <v>83001.600000000006</v>
      </c>
      <c r="R3551">
        <f>K3551/J3551</f>
        <v>0.30769230769230771</v>
      </c>
    </row>
    <row r="3552" spans="1:18" x14ac:dyDescent="0.3">
      <c r="A3552">
        <v>34</v>
      </c>
      <c r="B3552">
        <v>702</v>
      </c>
      <c r="C3552" t="s">
        <v>17</v>
      </c>
      <c r="D3552" t="s">
        <v>15</v>
      </c>
      <c r="E3552">
        <v>100</v>
      </c>
      <c r="F3552" t="s">
        <v>19</v>
      </c>
      <c r="G3552">
        <v>2808.3</v>
      </c>
      <c r="H3552">
        <v>8306</v>
      </c>
      <c r="I3552">
        <v>16</v>
      </c>
      <c r="J3552">
        <v>6</v>
      </c>
      <c r="K3552">
        <v>5</v>
      </c>
      <c r="L3552">
        <v>2</v>
      </c>
      <c r="M3552">
        <v>1</v>
      </c>
      <c r="N3552">
        <v>3</v>
      </c>
      <c r="P3552">
        <f>G3552*I3552/100</f>
        <v>449.32800000000003</v>
      </c>
      <c r="Q3552">
        <f t="shared" si="32"/>
        <v>33699.600000000006</v>
      </c>
      <c r="R3552">
        <f>K3552/J3552</f>
        <v>0.83333333333333337</v>
      </c>
    </row>
    <row r="3553" spans="1:18" x14ac:dyDescent="0.3">
      <c r="A3553">
        <v>49</v>
      </c>
      <c r="B3553">
        <v>1184</v>
      </c>
      <c r="C3553" t="s">
        <v>14</v>
      </c>
      <c r="D3553" t="s">
        <v>15</v>
      </c>
      <c r="E3553">
        <v>43</v>
      </c>
      <c r="F3553" t="s">
        <v>16</v>
      </c>
      <c r="G3553">
        <v>8419.4000000000015</v>
      </c>
      <c r="H3553">
        <v>5860</v>
      </c>
      <c r="I3553">
        <v>18</v>
      </c>
      <c r="J3553">
        <v>9</v>
      </c>
      <c r="K3553">
        <v>9</v>
      </c>
      <c r="L3553">
        <v>8</v>
      </c>
      <c r="M3553">
        <v>7</v>
      </c>
      <c r="N3553">
        <v>7</v>
      </c>
      <c r="P3553">
        <f>G3553*I3553/100</f>
        <v>1515.4920000000002</v>
      </c>
      <c r="Q3553">
        <f t="shared" si="32"/>
        <v>101032.80000000002</v>
      </c>
      <c r="R3553">
        <f>K3553/J3553</f>
        <v>1</v>
      </c>
    </row>
    <row r="3554" spans="1:18" x14ac:dyDescent="0.3">
      <c r="A3554">
        <v>55</v>
      </c>
      <c r="B3554">
        <v>436</v>
      </c>
      <c r="C3554" t="s">
        <v>14</v>
      </c>
      <c r="D3554" t="s">
        <v>18</v>
      </c>
      <c r="E3554">
        <v>37</v>
      </c>
      <c r="F3554" t="s">
        <v>16</v>
      </c>
      <c r="G3554">
        <v>5676.0000000000009</v>
      </c>
      <c r="H3554">
        <v>21519</v>
      </c>
      <c r="I3554">
        <v>16</v>
      </c>
      <c r="J3554">
        <v>12</v>
      </c>
      <c r="K3554">
        <v>9</v>
      </c>
      <c r="L3554">
        <v>7</v>
      </c>
      <c r="M3554">
        <v>7</v>
      </c>
      <c r="N3554">
        <v>3</v>
      </c>
      <c r="P3554">
        <f>G3554*I3554/100</f>
        <v>908.1600000000002</v>
      </c>
      <c r="Q3554">
        <f t="shared" si="32"/>
        <v>68112.000000000015</v>
      </c>
      <c r="R3554">
        <f>K3554/J3554</f>
        <v>0.75</v>
      </c>
    </row>
    <row r="3555" spans="1:18" x14ac:dyDescent="0.3">
      <c r="A3555">
        <v>43</v>
      </c>
      <c r="B3555">
        <v>589</v>
      </c>
      <c r="C3555" t="s">
        <v>17</v>
      </c>
      <c r="D3555" t="s">
        <v>18</v>
      </c>
      <c r="E3555">
        <v>94</v>
      </c>
      <c r="F3555" t="s">
        <v>25</v>
      </c>
      <c r="G3555">
        <v>18874.900000000001</v>
      </c>
      <c r="H3555">
        <v>5200</v>
      </c>
      <c r="I3555">
        <v>24</v>
      </c>
      <c r="J3555">
        <v>22</v>
      </c>
      <c r="K3555">
        <v>4</v>
      </c>
      <c r="L3555">
        <v>1</v>
      </c>
      <c r="M3555">
        <v>1</v>
      </c>
      <c r="N3555">
        <v>0</v>
      </c>
      <c r="P3555">
        <f>G3555*I3555/100</f>
        <v>4529.9760000000006</v>
      </c>
      <c r="Q3555">
        <f t="shared" si="32"/>
        <v>226498.80000000002</v>
      </c>
      <c r="R3555">
        <f>K3555/J3555</f>
        <v>0.18181818181818182</v>
      </c>
    </row>
    <row r="3556" spans="1:18" x14ac:dyDescent="0.3">
      <c r="A3556">
        <v>27</v>
      </c>
      <c r="B3556">
        <v>269</v>
      </c>
      <c r="C3556" t="s">
        <v>17</v>
      </c>
      <c r="D3556" t="s">
        <v>18</v>
      </c>
      <c r="E3556">
        <v>42</v>
      </c>
      <c r="F3556" t="s">
        <v>25</v>
      </c>
      <c r="G3556">
        <v>14088.800000000001</v>
      </c>
      <c r="H3556">
        <v>8842</v>
      </c>
      <c r="I3556">
        <v>16</v>
      </c>
      <c r="J3556">
        <v>9</v>
      </c>
      <c r="K3556">
        <v>9</v>
      </c>
      <c r="L3556">
        <v>8</v>
      </c>
      <c r="M3556">
        <v>0</v>
      </c>
      <c r="N3556">
        <v>8</v>
      </c>
      <c r="P3556">
        <f>G3556*I3556/100</f>
        <v>2254.2080000000001</v>
      </c>
      <c r="Q3556">
        <f t="shared" si="32"/>
        <v>169065.60000000001</v>
      </c>
      <c r="R3556">
        <f>K3556/J3556</f>
        <v>1</v>
      </c>
    </row>
    <row r="3557" spans="1:18" x14ac:dyDescent="0.3">
      <c r="A3557">
        <v>35</v>
      </c>
      <c r="B3557">
        <v>950</v>
      </c>
      <c r="C3557" t="s">
        <v>17</v>
      </c>
      <c r="D3557" t="s">
        <v>18</v>
      </c>
      <c r="E3557">
        <v>59</v>
      </c>
      <c r="F3557" t="s">
        <v>21</v>
      </c>
      <c r="G3557">
        <v>11243.1</v>
      </c>
      <c r="H3557">
        <v>18869</v>
      </c>
      <c r="I3557">
        <v>21</v>
      </c>
      <c r="J3557">
        <v>17</v>
      </c>
      <c r="K3557">
        <v>8</v>
      </c>
      <c r="L3557">
        <v>5</v>
      </c>
      <c r="M3557">
        <v>1</v>
      </c>
      <c r="N3557">
        <v>6</v>
      </c>
      <c r="P3557">
        <f>G3557*I3557/100</f>
        <v>2361.0509999999999</v>
      </c>
      <c r="Q3557">
        <f t="shared" si="32"/>
        <v>134917.20000000001</v>
      </c>
      <c r="R3557">
        <f>K3557/J3557</f>
        <v>0.47058823529411764</v>
      </c>
    </row>
    <row r="3558" spans="1:18" x14ac:dyDescent="0.3">
      <c r="A3558">
        <v>28</v>
      </c>
      <c r="B3558">
        <v>760</v>
      </c>
      <c r="C3558" t="s">
        <v>14</v>
      </c>
      <c r="D3558" t="s">
        <v>15</v>
      </c>
      <c r="E3558">
        <v>81</v>
      </c>
      <c r="F3558" t="s">
        <v>16</v>
      </c>
      <c r="G3558">
        <v>5256.9000000000005</v>
      </c>
      <c r="H3558">
        <v>3698</v>
      </c>
      <c r="I3558">
        <v>20</v>
      </c>
      <c r="J3558">
        <v>8</v>
      </c>
      <c r="K3558">
        <v>8</v>
      </c>
      <c r="L3558">
        <v>7</v>
      </c>
      <c r="M3558">
        <v>7</v>
      </c>
      <c r="N3558">
        <v>5</v>
      </c>
      <c r="P3558">
        <f>G3558*I3558/100</f>
        <v>1051.3800000000001</v>
      </c>
      <c r="Q3558">
        <f t="shared" si="32"/>
        <v>63082.8</v>
      </c>
      <c r="R3558">
        <f>K3558/J3558</f>
        <v>1</v>
      </c>
    </row>
    <row r="3559" spans="1:18" x14ac:dyDescent="0.3">
      <c r="A3559">
        <v>34</v>
      </c>
      <c r="B3559">
        <v>829</v>
      </c>
      <c r="C3559" t="s">
        <v>26</v>
      </c>
      <c r="D3559" t="s">
        <v>18</v>
      </c>
      <c r="E3559">
        <v>88</v>
      </c>
      <c r="F3559" t="s">
        <v>26</v>
      </c>
      <c r="G3559">
        <v>4110.7000000000007</v>
      </c>
      <c r="H3559">
        <v>2243</v>
      </c>
      <c r="I3559">
        <v>19</v>
      </c>
      <c r="J3559">
        <v>4</v>
      </c>
      <c r="K3559">
        <v>3</v>
      </c>
      <c r="L3559">
        <v>2</v>
      </c>
      <c r="M3559">
        <v>0</v>
      </c>
      <c r="N3559">
        <v>2</v>
      </c>
      <c r="P3559">
        <f>G3559*I3559/100</f>
        <v>781.03300000000013</v>
      </c>
      <c r="Q3559">
        <f t="shared" si="32"/>
        <v>49328.400000000009</v>
      </c>
      <c r="R3559">
        <f>K3559/J3559</f>
        <v>0.75</v>
      </c>
    </row>
    <row r="3560" spans="1:18" x14ac:dyDescent="0.3">
      <c r="A3560">
        <v>26</v>
      </c>
      <c r="B3560">
        <v>887</v>
      </c>
      <c r="C3560" t="s">
        <v>17</v>
      </c>
      <c r="D3560" t="s">
        <v>15</v>
      </c>
      <c r="E3560">
        <v>88</v>
      </c>
      <c r="F3560" t="s">
        <v>19</v>
      </c>
      <c r="G3560">
        <v>2602.6000000000004</v>
      </c>
      <c r="H3560">
        <v>20898</v>
      </c>
      <c r="I3560">
        <v>14</v>
      </c>
      <c r="J3560">
        <v>8</v>
      </c>
      <c r="K3560">
        <v>8</v>
      </c>
      <c r="L3560">
        <v>7</v>
      </c>
      <c r="M3560">
        <v>1</v>
      </c>
      <c r="N3560">
        <v>7</v>
      </c>
      <c r="P3560">
        <f>G3560*I3560/100</f>
        <v>364.36400000000009</v>
      </c>
      <c r="Q3560">
        <f t="shared" si="32"/>
        <v>31231.200000000004</v>
      </c>
      <c r="R3560">
        <f>K3560/J3560</f>
        <v>1</v>
      </c>
    </row>
    <row r="3561" spans="1:18" x14ac:dyDescent="0.3">
      <c r="A3561">
        <v>27</v>
      </c>
      <c r="B3561">
        <v>443</v>
      </c>
      <c r="C3561" t="s">
        <v>17</v>
      </c>
      <c r="D3561" t="s">
        <v>18</v>
      </c>
      <c r="E3561">
        <v>50</v>
      </c>
      <c r="F3561" t="s">
        <v>19</v>
      </c>
      <c r="G3561">
        <v>1876.6000000000001</v>
      </c>
      <c r="H3561">
        <v>16571</v>
      </c>
      <c r="I3561">
        <v>11</v>
      </c>
      <c r="J3561">
        <v>0</v>
      </c>
      <c r="K3561">
        <v>0</v>
      </c>
      <c r="L3561">
        <v>0</v>
      </c>
      <c r="M3561">
        <v>0</v>
      </c>
      <c r="N3561">
        <v>0</v>
      </c>
      <c r="P3561">
        <f>G3561*I3561/100</f>
        <v>206.42600000000002</v>
      </c>
      <c r="Q3561">
        <f t="shared" si="32"/>
        <v>22519.200000000001</v>
      </c>
      <c r="R3561" t="e">
        <f>K3561/J3561</f>
        <v>#DIV/0!</v>
      </c>
    </row>
    <row r="3562" spans="1:18" x14ac:dyDescent="0.3">
      <c r="A3562">
        <v>51</v>
      </c>
      <c r="B3562">
        <v>1318</v>
      </c>
      <c r="C3562" t="s">
        <v>14</v>
      </c>
      <c r="D3562" t="s">
        <v>15</v>
      </c>
      <c r="E3562">
        <v>66</v>
      </c>
      <c r="F3562" t="s">
        <v>23</v>
      </c>
      <c r="G3562">
        <v>17937.7</v>
      </c>
      <c r="H3562">
        <v>5594</v>
      </c>
      <c r="I3562">
        <v>14</v>
      </c>
      <c r="J3562">
        <v>29</v>
      </c>
      <c r="K3562">
        <v>20</v>
      </c>
      <c r="L3562">
        <v>6</v>
      </c>
      <c r="M3562">
        <v>4</v>
      </c>
      <c r="N3562">
        <v>17</v>
      </c>
      <c r="P3562">
        <f>G3562*I3562/100</f>
        <v>2511.2780000000002</v>
      </c>
      <c r="Q3562">
        <f t="shared" si="32"/>
        <v>215252.40000000002</v>
      </c>
      <c r="R3562">
        <f>K3562/J3562</f>
        <v>0.68965517241379315</v>
      </c>
    </row>
    <row r="3563" spans="1:18" x14ac:dyDescent="0.3">
      <c r="A3563">
        <v>44</v>
      </c>
      <c r="B3563">
        <v>625</v>
      </c>
      <c r="C3563" t="s">
        <v>17</v>
      </c>
      <c r="D3563" t="s">
        <v>18</v>
      </c>
      <c r="E3563">
        <v>50</v>
      </c>
      <c r="F3563" t="s">
        <v>22</v>
      </c>
      <c r="G3563">
        <v>6526.3</v>
      </c>
      <c r="H3563">
        <v>5197</v>
      </c>
      <c r="I3563">
        <v>12</v>
      </c>
      <c r="J3563">
        <v>10</v>
      </c>
      <c r="K3563">
        <v>5</v>
      </c>
      <c r="L3563">
        <v>2</v>
      </c>
      <c r="M3563">
        <v>2</v>
      </c>
      <c r="N3563">
        <v>3</v>
      </c>
      <c r="P3563">
        <f>G3563*I3563/100</f>
        <v>783.15600000000006</v>
      </c>
      <c r="Q3563">
        <f t="shared" si="32"/>
        <v>78315.600000000006</v>
      </c>
      <c r="R3563">
        <f>K3563/J3563</f>
        <v>0.5</v>
      </c>
    </row>
    <row r="3564" spans="1:18" x14ac:dyDescent="0.3">
      <c r="A3564">
        <v>25</v>
      </c>
      <c r="B3564">
        <v>180</v>
      </c>
      <c r="C3564" t="s">
        <v>17</v>
      </c>
      <c r="D3564" t="s">
        <v>18</v>
      </c>
      <c r="E3564">
        <v>65</v>
      </c>
      <c r="F3564" t="s">
        <v>19</v>
      </c>
      <c r="G3564">
        <v>3766.4</v>
      </c>
      <c r="H3564">
        <v>21632</v>
      </c>
      <c r="I3564">
        <v>13</v>
      </c>
      <c r="J3564">
        <v>6</v>
      </c>
      <c r="K3564">
        <v>4</v>
      </c>
      <c r="L3564">
        <v>3</v>
      </c>
      <c r="M3564">
        <v>0</v>
      </c>
      <c r="N3564">
        <v>1</v>
      </c>
      <c r="P3564">
        <f>G3564*I3564/100</f>
        <v>489.63200000000006</v>
      </c>
      <c r="Q3564">
        <f t="shared" si="32"/>
        <v>45196.800000000003</v>
      </c>
      <c r="R3564">
        <f>K3564/J3564</f>
        <v>0.66666666666666663</v>
      </c>
    </row>
    <row r="3565" spans="1:18" x14ac:dyDescent="0.3">
      <c r="A3565">
        <v>33</v>
      </c>
      <c r="B3565">
        <v>586</v>
      </c>
      <c r="C3565" t="s">
        <v>14</v>
      </c>
      <c r="D3565" t="s">
        <v>18</v>
      </c>
      <c r="E3565">
        <v>48</v>
      </c>
      <c r="F3565" t="s">
        <v>16</v>
      </c>
      <c r="G3565">
        <v>4440.7000000000007</v>
      </c>
      <c r="H3565">
        <v>21816</v>
      </c>
      <c r="I3565">
        <v>22</v>
      </c>
      <c r="J3565">
        <v>9</v>
      </c>
      <c r="K3565">
        <v>9</v>
      </c>
      <c r="L3565">
        <v>8</v>
      </c>
      <c r="M3565">
        <v>0</v>
      </c>
      <c r="N3565">
        <v>8</v>
      </c>
      <c r="P3565">
        <f>G3565*I3565/100</f>
        <v>976.95400000000018</v>
      </c>
      <c r="Q3565">
        <f t="shared" si="32"/>
        <v>53288.400000000009</v>
      </c>
      <c r="R3565">
        <f>K3565/J3565</f>
        <v>1</v>
      </c>
    </row>
    <row r="3566" spans="1:18" x14ac:dyDescent="0.3">
      <c r="A3566">
        <v>35</v>
      </c>
      <c r="B3566">
        <v>1343</v>
      </c>
      <c r="C3566" t="s">
        <v>17</v>
      </c>
      <c r="D3566" t="s">
        <v>15</v>
      </c>
      <c r="E3566">
        <v>53</v>
      </c>
      <c r="F3566" t="s">
        <v>19</v>
      </c>
      <c r="G3566">
        <v>2814.9</v>
      </c>
      <c r="H3566">
        <v>17852</v>
      </c>
      <c r="I3566">
        <v>11</v>
      </c>
      <c r="J3566">
        <v>6</v>
      </c>
      <c r="K3566">
        <v>6</v>
      </c>
      <c r="L3566">
        <v>5</v>
      </c>
      <c r="M3566">
        <v>1</v>
      </c>
      <c r="N3566">
        <v>1</v>
      </c>
      <c r="P3566">
        <f>G3566*I3566/100</f>
        <v>309.63900000000001</v>
      </c>
      <c r="Q3566">
        <f t="shared" si="32"/>
        <v>33778.800000000003</v>
      </c>
      <c r="R3566">
        <f>K3566/J3566</f>
        <v>1</v>
      </c>
    </row>
    <row r="3567" spans="1:18" x14ac:dyDescent="0.3">
      <c r="A3567">
        <v>36</v>
      </c>
      <c r="B3567">
        <v>928</v>
      </c>
      <c r="C3567" t="s">
        <v>14</v>
      </c>
      <c r="D3567" t="s">
        <v>18</v>
      </c>
      <c r="E3567">
        <v>56</v>
      </c>
      <c r="F3567" t="s">
        <v>16</v>
      </c>
      <c r="G3567">
        <v>6821.1</v>
      </c>
      <c r="H3567">
        <v>2823</v>
      </c>
      <c r="I3567">
        <v>14</v>
      </c>
      <c r="J3567">
        <v>18</v>
      </c>
      <c r="K3567">
        <v>18</v>
      </c>
      <c r="L3567">
        <v>14</v>
      </c>
      <c r="M3567">
        <v>4</v>
      </c>
      <c r="N3567">
        <v>11</v>
      </c>
      <c r="P3567">
        <f>G3567*I3567/100</f>
        <v>954.95400000000006</v>
      </c>
      <c r="Q3567">
        <f t="shared" si="32"/>
        <v>81853.200000000012</v>
      </c>
      <c r="R3567">
        <f>K3567/J3567</f>
        <v>1</v>
      </c>
    </row>
    <row r="3568" spans="1:18" x14ac:dyDescent="0.3">
      <c r="A3568">
        <v>32</v>
      </c>
      <c r="B3568">
        <v>117</v>
      </c>
      <c r="C3568" t="s">
        <v>14</v>
      </c>
      <c r="D3568" t="s">
        <v>18</v>
      </c>
      <c r="E3568">
        <v>73</v>
      </c>
      <c r="F3568" t="s">
        <v>16</v>
      </c>
      <c r="G3568">
        <v>4843.3</v>
      </c>
      <c r="H3568">
        <v>9250</v>
      </c>
      <c r="I3568">
        <v>11</v>
      </c>
      <c r="J3568">
        <v>8</v>
      </c>
      <c r="K3568">
        <v>5</v>
      </c>
      <c r="L3568">
        <v>2</v>
      </c>
      <c r="M3568">
        <v>0</v>
      </c>
      <c r="N3568">
        <v>3</v>
      </c>
      <c r="P3568">
        <f>G3568*I3568/100</f>
        <v>532.76300000000003</v>
      </c>
      <c r="Q3568">
        <f t="shared" si="32"/>
        <v>58119.600000000006</v>
      </c>
      <c r="R3568">
        <f>K3568/J3568</f>
        <v>0.625</v>
      </c>
    </row>
    <row r="3569" spans="1:18" x14ac:dyDescent="0.3">
      <c r="A3569">
        <v>30</v>
      </c>
      <c r="B3569">
        <v>1012</v>
      </c>
      <c r="C3569" t="s">
        <v>17</v>
      </c>
      <c r="D3569" t="s">
        <v>18</v>
      </c>
      <c r="E3569">
        <v>75</v>
      </c>
      <c r="F3569" t="s">
        <v>19</v>
      </c>
      <c r="G3569">
        <v>4137.1000000000004</v>
      </c>
      <c r="H3569">
        <v>2373</v>
      </c>
      <c r="I3569">
        <v>12</v>
      </c>
      <c r="J3569">
        <v>10</v>
      </c>
      <c r="K3569">
        <v>5</v>
      </c>
      <c r="L3569">
        <v>4</v>
      </c>
      <c r="M3569">
        <v>0</v>
      </c>
      <c r="N3569">
        <v>3</v>
      </c>
      <c r="P3569">
        <f>G3569*I3569/100</f>
        <v>496.45200000000006</v>
      </c>
      <c r="Q3569">
        <f t="shared" si="32"/>
        <v>49645.200000000004</v>
      </c>
      <c r="R3569">
        <f>K3569/J3569</f>
        <v>0.5</v>
      </c>
    </row>
    <row r="3570" spans="1:18" x14ac:dyDescent="0.3">
      <c r="A3570">
        <v>53</v>
      </c>
      <c r="B3570">
        <v>661</v>
      </c>
      <c r="C3570" t="s">
        <v>14</v>
      </c>
      <c r="D3570" t="s">
        <v>15</v>
      </c>
      <c r="E3570">
        <v>78</v>
      </c>
      <c r="F3570" t="s">
        <v>16</v>
      </c>
      <c r="G3570">
        <v>12027.400000000001</v>
      </c>
      <c r="H3570">
        <v>20715</v>
      </c>
      <c r="I3570">
        <v>18</v>
      </c>
      <c r="J3570">
        <v>35</v>
      </c>
      <c r="K3570">
        <v>5</v>
      </c>
      <c r="L3570">
        <v>2</v>
      </c>
      <c r="M3570">
        <v>0</v>
      </c>
      <c r="N3570">
        <v>4</v>
      </c>
      <c r="P3570">
        <f>G3570*I3570/100</f>
        <v>2164.9320000000002</v>
      </c>
      <c r="Q3570">
        <f t="shared" si="32"/>
        <v>144328.80000000002</v>
      </c>
      <c r="R3570">
        <f>K3570/J3570</f>
        <v>0.14285714285714285</v>
      </c>
    </row>
    <row r="3571" spans="1:18" x14ac:dyDescent="0.3">
      <c r="A3571">
        <v>45</v>
      </c>
      <c r="B3571">
        <v>930</v>
      </c>
      <c r="C3571" t="s">
        <v>14</v>
      </c>
      <c r="D3571" t="s">
        <v>18</v>
      </c>
      <c r="E3571">
        <v>74</v>
      </c>
      <c r="F3571" t="s">
        <v>16</v>
      </c>
      <c r="G3571">
        <v>11837.1</v>
      </c>
      <c r="H3571">
        <v>19239</v>
      </c>
      <c r="I3571">
        <v>12</v>
      </c>
      <c r="J3571">
        <v>18</v>
      </c>
      <c r="K3571">
        <v>5</v>
      </c>
      <c r="L3571">
        <v>4</v>
      </c>
      <c r="M3571">
        <v>0</v>
      </c>
      <c r="N3571">
        <v>2</v>
      </c>
      <c r="P3571">
        <f>G3571*I3571/100</f>
        <v>1420.4520000000002</v>
      </c>
      <c r="Q3571">
        <f t="shared" si="32"/>
        <v>142045.20000000001</v>
      </c>
      <c r="R3571">
        <f>K3571/J3571</f>
        <v>0.27777777777777779</v>
      </c>
    </row>
    <row r="3572" spans="1:18" x14ac:dyDescent="0.3">
      <c r="A3572">
        <v>32</v>
      </c>
      <c r="B3572">
        <v>638</v>
      </c>
      <c r="C3572" t="s">
        <v>17</v>
      </c>
      <c r="D3572" t="s">
        <v>15</v>
      </c>
      <c r="E3572">
        <v>91</v>
      </c>
      <c r="F3572" t="s">
        <v>19</v>
      </c>
      <c r="G3572">
        <v>5692.5000000000009</v>
      </c>
      <c r="H3572">
        <v>22162</v>
      </c>
      <c r="I3572">
        <v>12</v>
      </c>
      <c r="J3572">
        <v>9</v>
      </c>
      <c r="K3572">
        <v>5</v>
      </c>
      <c r="L3572">
        <v>3</v>
      </c>
      <c r="M3572">
        <v>1</v>
      </c>
      <c r="N3572">
        <v>3</v>
      </c>
      <c r="P3572">
        <f>G3572*I3572/100</f>
        <v>683.10000000000014</v>
      </c>
      <c r="Q3572">
        <f t="shared" si="32"/>
        <v>68310.000000000015</v>
      </c>
      <c r="R3572">
        <f>K3572/J3572</f>
        <v>0.55555555555555558</v>
      </c>
    </row>
    <row r="3573" spans="1:18" x14ac:dyDescent="0.3">
      <c r="A3573">
        <v>52</v>
      </c>
      <c r="B3573">
        <v>890</v>
      </c>
      <c r="C3573" t="s">
        <v>17</v>
      </c>
      <c r="D3573" t="s">
        <v>15</v>
      </c>
      <c r="E3573">
        <v>81</v>
      </c>
      <c r="F3573" t="s">
        <v>21</v>
      </c>
      <c r="G3573">
        <v>15208.6</v>
      </c>
      <c r="H3573">
        <v>19028</v>
      </c>
      <c r="I3573">
        <v>22</v>
      </c>
      <c r="J3573">
        <v>31</v>
      </c>
      <c r="K3573">
        <v>9</v>
      </c>
      <c r="L3573">
        <v>8</v>
      </c>
      <c r="M3573">
        <v>0</v>
      </c>
      <c r="N3573">
        <v>0</v>
      </c>
      <c r="P3573">
        <f>G3573*I3573/100</f>
        <v>3345.8920000000003</v>
      </c>
      <c r="Q3573">
        <f t="shared" si="32"/>
        <v>182503.2</v>
      </c>
      <c r="R3573">
        <f>K3573/J3573</f>
        <v>0.29032258064516131</v>
      </c>
    </row>
    <row r="3574" spans="1:18" x14ac:dyDescent="0.3">
      <c r="A3574">
        <v>37</v>
      </c>
      <c r="B3574">
        <v>342</v>
      </c>
      <c r="C3574" t="s">
        <v>14</v>
      </c>
      <c r="D3574" t="s">
        <v>18</v>
      </c>
      <c r="E3574">
        <v>66</v>
      </c>
      <c r="F3574" t="s">
        <v>16</v>
      </c>
      <c r="G3574">
        <v>6967.4000000000005</v>
      </c>
      <c r="H3574">
        <v>24558</v>
      </c>
      <c r="I3574">
        <v>19</v>
      </c>
      <c r="J3574">
        <v>9</v>
      </c>
      <c r="K3574">
        <v>1</v>
      </c>
      <c r="L3574">
        <v>0</v>
      </c>
      <c r="M3574">
        <v>0</v>
      </c>
      <c r="N3574">
        <v>0</v>
      </c>
      <c r="P3574">
        <f>G3574*I3574/100</f>
        <v>1323.806</v>
      </c>
      <c r="Q3574">
        <f t="shared" si="32"/>
        <v>83608.800000000003</v>
      </c>
      <c r="R3574">
        <f>K3574/J3574</f>
        <v>0.1111111111111111</v>
      </c>
    </row>
    <row r="3575" spans="1:18" x14ac:dyDescent="0.3">
      <c r="A3575">
        <v>28</v>
      </c>
      <c r="B3575">
        <v>1169</v>
      </c>
      <c r="C3575" t="s">
        <v>26</v>
      </c>
      <c r="D3575" t="s">
        <v>18</v>
      </c>
      <c r="E3575">
        <v>63</v>
      </c>
      <c r="F3575" t="s">
        <v>26</v>
      </c>
      <c r="G3575">
        <v>5429.6</v>
      </c>
      <c r="H3575">
        <v>23965</v>
      </c>
      <c r="I3575">
        <v>13</v>
      </c>
      <c r="J3575">
        <v>6</v>
      </c>
      <c r="K3575">
        <v>5</v>
      </c>
      <c r="L3575">
        <v>1</v>
      </c>
      <c r="M3575">
        <v>0</v>
      </c>
      <c r="N3575">
        <v>4</v>
      </c>
      <c r="P3575">
        <f>G3575*I3575/100</f>
        <v>705.84800000000007</v>
      </c>
      <c r="Q3575">
        <f t="shared" si="32"/>
        <v>65155.200000000004</v>
      </c>
      <c r="R3575">
        <f>K3575/J3575</f>
        <v>0.83333333333333337</v>
      </c>
    </row>
    <row r="3576" spans="1:18" x14ac:dyDescent="0.3">
      <c r="A3576">
        <v>22</v>
      </c>
      <c r="B3576">
        <v>1230</v>
      </c>
      <c r="C3576" t="s">
        <v>17</v>
      </c>
      <c r="D3576" t="s">
        <v>18</v>
      </c>
      <c r="E3576">
        <v>33</v>
      </c>
      <c r="F3576" t="s">
        <v>21</v>
      </c>
      <c r="G3576">
        <v>5252.5</v>
      </c>
      <c r="H3576">
        <v>19146</v>
      </c>
      <c r="I3576">
        <v>22</v>
      </c>
      <c r="J3576">
        <v>4</v>
      </c>
      <c r="K3576">
        <v>2</v>
      </c>
      <c r="L3576">
        <v>2</v>
      </c>
      <c r="M3576">
        <v>2</v>
      </c>
      <c r="N3576">
        <v>2</v>
      </c>
      <c r="P3576">
        <f>G3576*I3576/100</f>
        <v>1155.55</v>
      </c>
      <c r="Q3576">
        <f t="shared" si="32"/>
        <v>63030</v>
      </c>
      <c r="R3576">
        <f>K3576/J3576</f>
        <v>0.5</v>
      </c>
    </row>
    <row r="3577" spans="1:18" x14ac:dyDescent="0.3">
      <c r="A3577">
        <v>44</v>
      </c>
      <c r="B3577">
        <v>986</v>
      </c>
      <c r="C3577" t="s">
        <v>17</v>
      </c>
      <c r="D3577" t="s">
        <v>18</v>
      </c>
      <c r="E3577">
        <v>62</v>
      </c>
      <c r="F3577" t="s">
        <v>20</v>
      </c>
      <c r="G3577">
        <v>3099.8</v>
      </c>
      <c r="H3577">
        <v>5044</v>
      </c>
      <c r="I3577">
        <v>24</v>
      </c>
      <c r="J3577">
        <v>10</v>
      </c>
      <c r="K3577">
        <v>3</v>
      </c>
      <c r="L3577">
        <v>2</v>
      </c>
      <c r="M3577">
        <v>0</v>
      </c>
      <c r="N3577">
        <v>2</v>
      </c>
      <c r="P3577">
        <f>G3577*I3577/100</f>
        <v>743.95200000000011</v>
      </c>
      <c r="Q3577">
        <f t="shared" si="32"/>
        <v>37197.600000000006</v>
      </c>
      <c r="R3577">
        <f>K3577/J3577</f>
        <v>0.3</v>
      </c>
    </row>
    <row r="3578" spans="1:18" x14ac:dyDescent="0.3">
      <c r="A3578">
        <v>42</v>
      </c>
      <c r="B3578">
        <v>1271</v>
      </c>
      <c r="C3578" t="s">
        <v>17</v>
      </c>
      <c r="D3578" t="s">
        <v>18</v>
      </c>
      <c r="E3578">
        <v>35</v>
      </c>
      <c r="F3578" t="s">
        <v>19</v>
      </c>
      <c r="G3578">
        <v>2766.5</v>
      </c>
      <c r="H3578">
        <v>9068</v>
      </c>
      <c r="I3578">
        <v>14</v>
      </c>
      <c r="J3578">
        <v>8</v>
      </c>
      <c r="K3578">
        <v>2</v>
      </c>
      <c r="L3578">
        <v>1</v>
      </c>
      <c r="M3578">
        <v>2</v>
      </c>
      <c r="N3578">
        <v>2</v>
      </c>
      <c r="P3578">
        <f>G3578*I3578/100</f>
        <v>387.31</v>
      </c>
      <c r="Q3578">
        <f t="shared" si="32"/>
        <v>33198</v>
      </c>
      <c r="R3578">
        <f>K3578/J3578</f>
        <v>0.25</v>
      </c>
    </row>
    <row r="3579" spans="1:18" x14ac:dyDescent="0.3">
      <c r="A3579">
        <v>36</v>
      </c>
      <c r="B3579">
        <v>1278</v>
      </c>
      <c r="C3579" t="s">
        <v>26</v>
      </c>
      <c r="D3579" t="s">
        <v>18</v>
      </c>
      <c r="E3579">
        <v>77</v>
      </c>
      <c r="F3579" t="s">
        <v>26</v>
      </c>
      <c r="G3579">
        <v>2576.2000000000003</v>
      </c>
      <c r="H3579">
        <v>8635</v>
      </c>
      <c r="I3579">
        <v>21</v>
      </c>
      <c r="J3579">
        <v>6</v>
      </c>
      <c r="K3579">
        <v>5</v>
      </c>
      <c r="L3579">
        <v>4</v>
      </c>
      <c r="M3579">
        <v>0</v>
      </c>
      <c r="N3579">
        <v>3</v>
      </c>
      <c r="P3579">
        <f>G3579*I3579/100</f>
        <v>541.00200000000007</v>
      </c>
      <c r="Q3579">
        <f t="shared" si="32"/>
        <v>30914.400000000001</v>
      </c>
      <c r="R3579">
        <f>K3579/J3579</f>
        <v>0.83333333333333337</v>
      </c>
    </row>
    <row r="3580" spans="1:18" x14ac:dyDescent="0.3">
      <c r="A3580">
        <v>25</v>
      </c>
      <c r="B3580">
        <v>141</v>
      </c>
      <c r="C3580" t="s">
        <v>14</v>
      </c>
      <c r="D3580" t="s">
        <v>18</v>
      </c>
      <c r="E3580">
        <v>98</v>
      </c>
      <c r="F3580" t="s">
        <v>16</v>
      </c>
      <c r="G3580">
        <v>4613.4000000000005</v>
      </c>
      <c r="H3580">
        <v>14363</v>
      </c>
      <c r="I3580">
        <v>18</v>
      </c>
      <c r="J3580">
        <v>5</v>
      </c>
      <c r="K3580">
        <v>5</v>
      </c>
      <c r="L3580">
        <v>3</v>
      </c>
      <c r="M3580">
        <v>0</v>
      </c>
      <c r="N3580">
        <v>3</v>
      </c>
      <c r="P3580">
        <f>G3580*I3580/100</f>
        <v>830.41200000000015</v>
      </c>
      <c r="Q3580">
        <f t="shared" si="32"/>
        <v>55360.800000000003</v>
      </c>
      <c r="R3580">
        <f>K3580/J3580</f>
        <v>1</v>
      </c>
    </row>
    <row r="3581" spans="1:18" x14ac:dyDescent="0.3">
      <c r="A3581">
        <v>35</v>
      </c>
      <c r="B3581">
        <v>607</v>
      </c>
      <c r="C3581" t="s">
        <v>17</v>
      </c>
      <c r="D3581" t="s">
        <v>15</v>
      </c>
      <c r="E3581">
        <v>66</v>
      </c>
      <c r="F3581" t="s">
        <v>21</v>
      </c>
      <c r="G3581">
        <v>11753.500000000002</v>
      </c>
      <c r="H3581">
        <v>23457</v>
      </c>
      <c r="I3581">
        <v>20</v>
      </c>
      <c r="J3581">
        <v>17</v>
      </c>
      <c r="K3581">
        <v>17</v>
      </c>
      <c r="L3581">
        <v>14</v>
      </c>
      <c r="M3581">
        <v>5</v>
      </c>
      <c r="N3581">
        <v>15</v>
      </c>
      <c r="P3581">
        <f>G3581*I3581/100</f>
        <v>2350.7000000000003</v>
      </c>
      <c r="Q3581">
        <f t="shared" si="32"/>
        <v>141042.00000000003</v>
      </c>
      <c r="R3581">
        <f>K3581/J3581</f>
        <v>1</v>
      </c>
    </row>
    <row r="3582" spans="1:18" x14ac:dyDescent="0.3">
      <c r="A3582">
        <v>35</v>
      </c>
      <c r="B3582">
        <v>130</v>
      </c>
      <c r="C3582" t="s">
        <v>17</v>
      </c>
      <c r="D3582" t="s">
        <v>15</v>
      </c>
      <c r="E3582">
        <v>96</v>
      </c>
      <c r="F3582" t="s">
        <v>19</v>
      </c>
      <c r="G3582">
        <v>2224.2000000000003</v>
      </c>
      <c r="H3582">
        <v>16612</v>
      </c>
      <c r="I3582">
        <v>19</v>
      </c>
      <c r="J3582">
        <v>10</v>
      </c>
      <c r="K3582">
        <v>10</v>
      </c>
      <c r="L3582">
        <v>2</v>
      </c>
      <c r="M3582">
        <v>7</v>
      </c>
      <c r="N3582">
        <v>8</v>
      </c>
      <c r="P3582">
        <f>G3582*I3582/100</f>
        <v>422.59800000000001</v>
      </c>
      <c r="Q3582">
        <f t="shared" si="32"/>
        <v>26690.400000000001</v>
      </c>
      <c r="R3582">
        <f>K3582/J3582</f>
        <v>1</v>
      </c>
    </row>
    <row r="3583" spans="1:18" x14ac:dyDescent="0.3">
      <c r="A3583">
        <v>32</v>
      </c>
      <c r="B3583">
        <v>300</v>
      </c>
      <c r="C3583" t="s">
        <v>17</v>
      </c>
      <c r="D3583" t="s">
        <v>18</v>
      </c>
      <c r="E3583">
        <v>61</v>
      </c>
      <c r="F3583" t="s">
        <v>20</v>
      </c>
      <c r="G3583">
        <v>2545.4</v>
      </c>
      <c r="H3583">
        <v>9148</v>
      </c>
      <c r="I3583">
        <v>12</v>
      </c>
      <c r="J3583">
        <v>4</v>
      </c>
      <c r="K3583">
        <v>3</v>
      </c>
      <c r="L3583">
        <v>0</v>
      </c>
      <c r="M3583">
        <v>0</v>
      </c>
      <c r="N3583">
        <v>2</v>
      </c>
      <c r="P3583">
        <f>G3583*I3583/100</f>
        <v>305.44800000000004</v>
      </c>
      <c r="Q3583">
        <f t="shared" si="32"/>
        <v>30544.800000000003</v>
      </c>
      <c r="R3583">
        <f>K3583/J3583</f>
        <v>0.75</v>
      </c>
    </row>
    <row r="3584" spans="1:18" x14ac:dyDescent="0.3">
      <c r="A3584">
        <v>25</v>
      </c>
      <c r="B3584">
        <v>583</v>
      </c>
      <c r="C3584" t="s">
        <v>14</v>
      </c>
      <c r="D3584" t="s">
        <v>18</v>
      </c>
      <c r="E3584">
        <v>87</v>
      </c>
      <c r="F3584" t="s">
        <v>16</v>
      </c>
      <c r="G3584">
        <v>4681.6000000000004</v>
      </c>
      <c r="H3584">
        <v>18154</v>
      </c>
      <c r="I3584">
        <v>12</v>
      </c>
      <c r="J3584">
        <v>5</v>
      </c>
      <c r="K3584">
        <v>5</v>
      </c>
      <c r="L3584">
        <v>2</v>
      </c>
      <c r="M3584">
        <v>0</v>
      </c>
      <c r="N3584">
        <v>3</v>
      </c>
      <c r="P3584">
        <f>G3584*I3584/100</f>
        <v>561.79200000000003</v>
      </c>
      <c r="Q3584">
        <f t="shared" si="32"/>
        <v>56179.200000000004</v>
      </c>
      <c r="R3584">
        <f>K3584/J3584</f>
        <v>1</v>
      </c>
    </row>
    <row r="3585" spans="1:18" x14ac:dyDescent="0.3">
      <c r="A3585">
        <v>49</v>
      </c>
      <c r="B3585">
        <v>1418</v>
      </c>
      <c r="C3585" t="s">
        <v>17</v>
      </c>
      <c r="D3585" t="s">
        <v>15</v>
      </c>
      <c r="E3585">
        <v>36</v>
      </c>
      <c r="F3585" t="s">
        <v>19</v>
      </c>
      <c r="G3585">
        <v>3938.0000000000005</v>
      </c>
      <c r="H3585">
        <v>10554</v>
      </c>
      <c r="I3585">
        <v>16</v>
      </c>
      <c r="J3585">
        <v>7</v>
      </c>
      <c r="K3585">
        <v>4</v>
      </c>
      <c r="L3585">
        <v>2</v>
      </c>
      <c r="M3585">
        <v>0</v>
      </c>
      <c r="N3585">
        <v>2</v>
      </c>
      <c r="P3585">
        <f>G3585*I3585/100</f>
        <v>630.08000000000004</v>
      </c>
      <c r="Q3585">
        <f t="shared" si="32"/>
        <v>47256.000000000007</v>
      </c>
      <c r="R3585">
        <f>K3585/J3585</f>
        <v>0.5714285714285714</v>
      </c>
    </row>
    <row r="3586" spans="1:18" x14ac:dyDescent="0.3">
      <c r="A3586">
        <v>24</v>
      </c>
      <c r="B3586">
        <v>1269</v>
      </c>
      <c r="C3586" t="s">
        <v>17</v>
      </c>
      <c r="D3586" t="s">
        <v>18</v>
      </c>
      <c r="E3586">
        <v>46</v>
      </c>
      <c r="F3586" t="s">
        <v>20</v>
      </c>
      <c r="G3586">
        <v>3478.2000000000003</v>
      </c>
      <c r="H3586">
        <v>10778</v>
      </c>
      <c r="I3586">
        <v>17</v>
      </c>
      <c r="J3586">
        <v>6</v>
      </c>
      <c r="K3586">
        <v>5</v>
      </c>
      <c r="L3586">
        <v>2</v>
      </c>
      <c r="M3586">
        <v>3</v>
      </c>
      <c r="N3586">
        <v>4</v>
      </c>
      <c r="P3586">
        <f>G3586*I3586/100</f>
        <v>591.29399999999998</v>
      </c>
      <c r="Q3586">
        <f t="shared" si="32"/>
        <v>41738.400000000001</v>
      </c>
      <c r="R3586">
        <f>K3586/J3586</f>
        <v>0.83333333333333337</v>
      </c>
    </row>
    <row r="3587" spans="1:18" x14ac:dyDescent="0.3">
      <c r="A3587">
        <v>32</v>
      </c>
      <c r="B3587">
        <v>379</v>
      </c>
      <c r="C3587" t="s">
        <v>14</v>
      </c>
      <c r="D3587" t="s">
        <v>18</v>
      </c>
      <c r="E3587">
        <v>48</v>
      </c>
      <c r="F3587" t="s">
        <v>16</v>
      </c>
      <c r="G3587">
        <v>7176.4000000000005</v>
      </c>
      <c r="H3587">
        <v>8891</v>
      </c>
      <c r="I3587">
        <v>14</v>
      </c>
      <c r="J3587">
        <v>10</v>
      </c>
      <c r="K3587">
        <v>10</v>
      </c>
      <c r="L3587">
        <v>8</v>
      </c>
      <c r="M3587">
        <v>5</v>
      </c>
      <c r="N3587">
        <v>3</v>
      </c>
      <c r="P3587">
        <f>G3587*I3587/100</f>
        <v>1004.696</v>
      </c>
      <c r="Q3587">
        <f t="shared" ref="Q3587:Q3650" si="33">G3587*12</f>
        <v>86116.800000000003</v>
      </c>
      <c r="R3587">
        <f>K3587/J3587</f>
        <v>1</v>
      </c>
    </row>
    <row r="3588" spans="1:18" x14ac:dyDescent="0.3">
      <c r="A3588">
        <v>38</v>
      </c>
      <c r="B3588">
        <v>395</v>
      </c>
      <c r="C3588" t="s">
        <v>14</v>
      </c>
      <c r="D3588" t="s">
        <v>18</v>
      </c>
      <c r="E3588">
        <v>98</v>
      </c>
      <c r="F3588" t="s">
        <v>24</v>
      </c>
      <c r="G3588">
        <v>3188.9</v>
      </c>
      <c r="H3588">
        <v>12102</v>
      </c>
      <c r="I3588">
        <v>19</v>
      </c>
      <c r="J3588">
        <v>3</v>
      </c>
      <c r="K3588">
        <v>2</v>
      </c>
      <c r="L3588">
        <v>2</v>
      </c>
      <c r="M3588">
        <v>1</v>
      </c>
      <c r="N3588">
        <v>2</v>
      </c>
      <c r="P3588">
        <f>G3588*I3588/100</f>
        <v>605.89099999999996</v>
      </c>
      <c r="Q3588">
        <f t="shared" si="33"/>
        <v>38266.800000000003</v>
      </c>
      <c r="R3588">
        <f>K3588/J3588</f>
        <v>0.66666666666666663</v>
      </c>
    </row>
    <row r="3589" spans="1:18" x14ac:dyDescent="0.3">
      <c r="A3589">
        <v>42</v>
      </c>
      <c r="B3589">
        <v>1265</v>
      </c>
      <c r="C3589" t="s">
        <v>17</v>
      </c>
      <c r="D3589" t="s">
        <v>15</v>
      </c>
      <c r="E3589">
        <v>95</v>
      </c>
      <c r="F3589" t="s">
        <v>20</v>
      </c>
      <c r="G3589">
        <v>5754.1</v>
      </c>
      <c r="H3589">
        <v>23726</v>
      </c>
      <c r="I3589">
        <v>13</v>
      </c>
      <c r="J3589">
        <v>17</v>
      </c>
      <c r="K3589">
        <v>5</v>
      </c>
      <c r="L3589">
        <v>3</v>
      </c>
      <c r="M3589">
        <v>1</v>
      </c>
      <c r="N3589">
        <v>3</v>
      </c>
      <c r="P3589">
        <f>G3589*I3589/100</f>
        <v>748.03300000000002</v>
      </c>
      <c r="Q3589">
        <f t="shared" si="33"/>
        <v>69049.200000000012</v>
      </c>
      <c r="R3589">
        <f>K3589/J3589</f>
        <v>0.29411764705882354</v>
      </c>
    </row>
    <row r="3590" spans="1:18" x14ac:dyDescent="0.3">
      <c r="A3590">
        <v>31</v>
      </c>
      <c r="B3590">
        <v>1222</v>
      </c>
      <c r="C3590" t="s">
        <v>17</v>
      </c>
      <c r="D3590" t="s">
        <v>18</v>
      </c>
      <c r="E3590">
        <v>48</v>
      </c>
      <c r="F3590" t="s">
        <v>19</v>
      </c>
      <c r="G3590">
        <v>2591.6000000000004</v>
      </c>
      <c r="H3590">
        <v>14871</v>
      </c>
      <c r="I3590">
        <v>19</v>
      </c>
      <c r="J3590">
        <v>8</v>
      </c>
      <c r="K3590">
        <v>6</v>
      </c>
      <c r="L3590">
        <v>4</v>
      </c>
      <c r="M3590">
        <v>0</v>
      </c>
      <c r="N3590">
        <v>2</v>
      </c>
      <c r="P3590">
        <f>G3590*I3590/100</f>
        <v>492.40400000000011</v>
      </c>
      <c r="Q3590">
        <f t="shared" si="33"/>
        <v>31099.200000000004</v>
      </c>
      <c r="R3590">
        <f>K3590/J3590</f>
        <v>0.75</v>
      </c>
    </row>
    <row r="3591" spans="1:18" x14ac:dyDescent="0.3">
      <c r="A3591">
        <v>29</v>
      </c>
      <c r="B3591">
        <v>341</v>
      </c>
      <c r="C3591" t="s">
        <v>14</v>
      </c>
      <c r="D3591" t="s">
        <v>15</v>
      </c>
      <c r="E3591">
        <v>48</v>
      </c>
      <c r="F3591" t="s">
        <v>24</v>
      </c>
      <c r="G3591">
        <v>3080.0000000000005</v>
      </c>
      <c r="H3591">
        <v>23522</v>
      </c>
      <c r="I3591">
        <v>19</v>
      </c>
      <c r="J3591">
        <v>5</v>
      </c>
      <c r="K3591">
        <v>3</v>
      </c>
      <c r="L3591">
        <v>2</v>
      </c>
      <c r="M3591">
        <v>0</v>
      </c>
      <c r="N3591">
        <v>2</v>
      </c>
      <c r="P3591">
        <f>G3591*I3591/100</f>
        <v>585.20000000000005</v>
      </c>
      <c r="Q3591">
        <f t="shared" si="33"/>
        <v>36960.000000000007</v>
      </c>
      <c r="R3591">
        <f>K3591/J3591</f>
        <v>0.6</v>
      </c>
    </row>
    <row r="3592" spans="1:18" x14ac:dyDescent="0.3">
      <c r="A3592">
        <v>53</v>
      </c>
      <c r="B3592">
        <v>868</v>
      </c>
      <c r="C3592" t="s">
        <v>14</v>
      </c>
      <c r="D3592" t="s">
        <v>18</v>
      </c>
      <c r="E3592">
        <v>73</v>
      </c>
      <c r="F3592" t="s">
        <v>16</v>
      </c>
      <c r="G3592">
        <v>13019.6</v>
      </c>
      <c r="H3592">
        <v>22789</v>
      </c>
      <c r="I3592">
        <v>14</v>
      </c>
      <c r="J3592">
        <v>28</v>
      </c>
      <c r="K3592">
        <v>2</v>
      </c>
      <c r="L3592">
        <v>0</v>
      </c>
      <c r="M3592">
        <v>2</v>
      </c>
      <c r="N3592">
        <v>2</v>
      </c>
      <c r="P3592">
        <f>G3592*I3592/100</f>
        <v>1822.7439999999999</v>
      </c>
      <c r="Q3592">
        <f t="shared" si="33"/>
        <v>156235.20000000001</v>
      </c>
      <c r="R3592">
        <f>K3592/J3592</f>
        <v>7.1428571428571425E-2</v>
      </c>
    </row>
    <row r="3593" spans="1:18" x14ac:dyDescent="0.3">
      <c r="A3593">
        <v>35</v>
      </c>
      <c r="B3593">
        <v>672</v>
      </c>
      <c r="C3593" t="s">
        <v>17</v>
      </c>
      <c r="D3593" t="s">
        <v>18</v>
      </c>
      <c r="E3593">
        <v>78</v>
      </c>
      <c r="F3593" t="s">
        <v>21</v>
      </c>
      <c r="G3593">
        <v>11993.300000000001</v>
      </c>
      <c r="H3593">
        <v>9129</v>
      </c>
      <c r="I3593">
        <v>16</v>
      </c>
      <c r="J3593">
        <v>16</v>
      </c>
      <c r="K3593">
        <v>13</v>
      </c>
      <c r="L3593">
        <v>10</v>
      </c>
      <c r="M3593">
        <v>4</v>
      </c>
      <c r="N3593">
        <v>8</v>
      </c>
      <c r="P3593">
        <f>G3593*I3593/100</f>
        <v>1918.9280000000001</v>
      </c>
      <c r="Q3593">
        <f t="shared" si="33"/>
        <v>143919.6</v>
      </c>
      <c r="R3593">
        <f>K3593/J3593</f>
        <v>0.8125</v>
      </c>
    </row>
    <row r="3594" spans="1:18" x14ac:dyDescent="0.3">
      <c r="A3594">
        <v>37</v>
      </c>
      <c r="B3594">
        <v>1231</v>
      </c>
      <c r="C3594" t="s">
        <v>14</v>
      </c>
      <c r="D3594" t="s">
        <v>15</v>
      </c>
      <c r="E3594">
        <v>54</v>
      </c>
      <c r="F3594" t="s">
        <v>24</v>
      </c>
      <c r="G3594">
        <v>3270.3</v>
      </c>
      <c r="H3594">
        <v>21222</v>
      </c>
      <c r="I3594">
        <v>15</v>
      </c>
      <c r="J3594">
        <v>10</v>
      </c>
      <c r="K3594">
        <v>5</v>
      </c>
      <c r="L3594">
        <v>4</v>
      </c>
      <c r="M3594">
        <v>0</v>
      </c>
      <c r="N3594">
        <v>0</v>
      </c>
      <c r="P3594">
        <f>G3594*I3594/100</f>
        <v>490.54500000000002</v>
      </c>
      <c r="Q3594">
        <f t="shared" si="33"/>
        <v>39243.600000000006</v>
      </c>
      <c r="R3594">
        <f>K3594/J3594</f>
        <v>0.5</v>
      </c>
    </row>
    <row r="3595" spans="1:18" x14ac:dyDescent="0.3">
      <c r="A3595">
        <v>53</v>
      </c>
      <c r="B3595">
        <v>102</v>
      </c>
      <c r="C3595" t="s">
        <v>17</v>
      </c>
      <c r="D3595" t="s">
        <v>15</v>
      </c>
      <c r="E3595">
        <v>72</v>
      </c>
      <c r="F3595" t="s">
        <v>25</v>
      </c>
      <c r="G3595">
        <v>15702.500000000002</v>
      </c>
      <c r="H3595">
        <v>20206</v>
      </c>
      <c r="I3595">
        <v>18</v>
      </c>
      <c r="J3595">
        <v>33</v>
      </c>
      <c r="K3595">
        <v>12</v>
      </c>
      <c r="L3595">
        <v>9</v>
      </c>
      <c r="M3595">
        <v>3</v>
      </c>
      <c r="N3595">
        <v>8</v>
      </c>
      <c r="P3595">
        <f>G3595*I3595/100</f>
        <v>2826.4500000000007</v>
      </c>
      <c r="Q3595">
        <f t="shared" si="33"/>
        <v>188430.00000000003</v>
      </c>
      <c r="R3595">
        <f>K3595/J3595</f>
        <v>0.36363636363636365</v>
      </c>
    </row>
    <row r="3596" spans="1:18" x14ac:dyDescent="0.3">
      <c r="A3596">
        <v>43</v>
      </c>
      <c r="B3596">
        <v>422</v>
      </c>
      <c r="C3596" t="s">
        <v>17</v>
      </c>
      <c r="D3596" t="s">
        <v>15</v>
      </c>
      <c r="E3596">
        <v>33</v>
      </c>
      <c r="F3596" t="s">
        <v>22</v>
      </c>
      <c r="G3596">
        <v>6118.2000000000007</v>
      </c>
      <c r="H3596">
        <v>21782</v>
      </c>
      <c r="I3596">
        <v>13</v>
      </c>
      <c r="J3596">
        <v>12</v>
      </c>
      <c r="K3596">
        <v>5</v>
      </c>
      <c r="L3596">
        <v>2</v>
      </c>
      <c r="M3596">
        <v>2</v>
      </c>
      <c r="N3596">
        <v>2</v>
      </c>
      <c r="P3596">
        <f>G3596*I3596/100</f>
        <v>795.3660000000001</v>
      </c>
      <c r="Q3596">
        <f t="shared" si="33"/>
        <v>73418.400000000009</v>
      </c>
      <c r="R3596">
        <f>K3596/J3596</f>
        <v>0.41666666666666669</v>
      </c>
    </row>
    <row r="3597" spans="1:18" x14ac:dyDescent="0.3">
      <c r="A3597">
        <v>47</v>
      </c>
      <c r="B3597">
        <v>249</v>
      </c>
      <c r="C3597" t="s">
        <v>14</v>
      </c>
      <c r="D3597" t="s">
        <v>15</v>
      </c>
      <c r="E3597">
        <v>35</v>
      </c>
      <c r="F3597" t="s">
        <v>16</v>
      </c>
      <c r="G3597">
        <v>4990.7000000000007</v>
      </c>
      <c r="H3597">
        <v>17783</v>
      </c>
      <c r="I3597">
        <v>22</v>
      </c>
      <c r="J3597">
        <v>8</v>
      </c>
      <c r="K3597">
        <v>7</v>
      </c>
      <c r="L3597">
        <v>6</v>
      </c>
      <c r="M3597">
        <v>7</v>
      </c>
      <c r="N3597">
        <v>7</v>
      </c>
      <c r="P3597">
        <f>G3597*I3597/100</f>
        <v>1097.9540000000002</v>
      </c>
      <c r="Q3597">
        <f t="shared" si="33"/>
        <v>59888.400000000009</v>
      </c>
      <c r="R3597">
        <f>K3597/J3597</f>
        <v>0.875</v>
      </c>
    </row>
    <row r="3598" spans="1:18" x14ac:dyDescent="0.3">
      <c r="A3598">
        <v>37</v>
      </c>
      <c r="B3598">
        <v>1252</v>
      </c>
      <c r="C3598" t="s">
        <v>14</v>
      </c>
      <c r="D3598" t="s">
        <v>18</v>
      </c>
      <c r="E3598">
        <v>32</v>
      </c>
      <c r="F3598" t="s">
        <v>16</v>
      </c>
      <c r="G3598">
        <v>8406.2000000000007</v>
      </c>
      <c r="H3598">
        <v>4814</v>
      </c>
      <c r="I3598">
        <v>13</v>
      </c>
      <c r="J3598">
        <v>10</v>
      </c>
      <c r="K3598">
        <v>10</v>
      </c>
      <c r="L3598">
        <v>0</v>
      </c>
      <c r="M3598">
        <v>0</v>
      </c>
      <c r="N3598">
        <v>9</v>
      </c>
      <c r="P3598">
        <f>G3598*I3598/100</f>
        <v>1092.806</v>
      </c>
      <c r="Q3598">
        <f t="shared" si="33"/>
        <v>100874.40000000001</v>
      </c>
      <c r="R3598">
        <f>K3598/J3598</f>
        <v>1</v>
      </c>
    </row>
    <row r="3599" spans="1:18" x14ac:dyDescent="0.3">
      <c r="A3599">
        <v>50</v>
      </c>
      <c r="B3599">
        <v>881</v>
      </c>
      <c r="C3599" t="s">
        <v>17</v>
      </c>
      <c r="D3599" t="s">
        <v>18</v>
      </c>
      <c r="E3599">
        <v>98</v>
      </c>
      <c r="F3599" t="s">
        <v>23</v>
      </c>
      <c r="G3599">
        <v>19716.400000000001</v>
      </c>
      <c r="H3599">
        <v>4544</v>
      </c>
      <c r="I3599">
        <v>11</v>
      </c>
      <c r="J3599">
        <v>31</v>
      </c>
      <c r="K3599">
        <v>31</v>
      </c>
      <c r="L3599">
        <v>6</v>
      </c>
      <c r="M3599">
        <v>14</v>
      </c>
      <c r="N3599">
        <v>7</v>
      </c>
      <c r="P3599">
        <f>G3599*I3599/100</f>
        <v>2168.8040000000001</v>
      </c>
      <c r="Q3599">
        <f t="shared" si="33"/>
        <v>236596.80000000002</v>
      </c>
      <c r="R3599">
        <f>K3599/J3599</f>
        <v>1</v>
      </c>
    </row>
    <row r="3600" spans="1:18" x14ac:dyDescent="0.3">
      <c r="A3600">
        <v>39</v>
      </c>
      <c r="B3600">
        <v>1383</v>
      </c>
      <c r="C3600" t="s">
        <v>26</v>
      </c>
      <c r="D3600" t="s">
        <v>15</v>
      </c>
      <c r="E3600">
        <v>42</v>
      </c>
      <c r="F3600" t="s">
        <v>26</v>
      </c>
      <c r="G3600">
        <v>5724.4000000000005</v>
      </c>
      <c r="H3600">
        <v>7790</v>
      </c>
      <c r="I3600">
        <v>11</v>
      </c>
      <c r="J3600">
        <v>13</v>
      </c>
      <c r="K3600">
        <v>5</v>
      </c>
      <c r="L3600">
        <v>4</v>
      </c>
      <c r="M3600">
        <v>0</v>
      </c>
      <c r="N3600">
        <v>4</v>
      </c>
      <c r="P3600">
        <f>G3600*I3600/100</f>
        <v>629.68400000000008</v>
      </c>
      <c r="Q3600">
        <f t="shared" si="33"/>
        <v>68692.800000000003</v>
      </c>
      <c r="R3600">
        <f>K3600/J3600</f>
        <v>0.38461538461538464</v>
      </c>
    </row>
    <row r="3601" spans="1:18" x14ac:dyDescent="0.3">
      <c r="A3601">
        <v>33</v>
      </c>
      <c r="B3601">
        <v>1075</v>
      </c>
      <c r="C3601" t="s">
        <v>26</v>
      </c>
      <c r="D3601" t="s">
        <v>18</v>
      </c>
      <c r="E3601">
        <v>57</v>
      </c>
      <c r="F3601" t="s">
        <v>26</v>
      </c>
      <c r="G3601">
        <v>2504.7000000000003</v>
      </c>
      <c r="H3601">
        <v>22650</v>
      </c>
      <c r="I3601">
        <v>11</v>
      </c>
      <c r="J3601">
        <v>7</v>
      </c>
      <c r="K3601">
        <v>4</v>
      </c>
      <c r="L3601">
        <v>3</v>
      </c>
      <c r="M3601">
        <v>0</v>
      </c>
      <c r="N3601">
        <v>3</v>
      </c>
      <c r="P3601">
        <f>G3601*I3601/100</f>
        <v>275.51700000000005</v>
      </c>
      <c r="Q3601">
        <f t="shared" si="33"/>
        <v>30056.400000000001</v>
      </c>
      <c r="R3601">
        <f>K3601/J3601</f>
        <v>0.5714285714285714</v>
      </c>
    </row>
    <row r="3602" spans="1:18" x14ac:dyDescent="0.3">
      <c r="A3602">
        <v>32</v>
      </c>
      <c r="B3602">
        <v>374</v>
      </c>
      <c r="C3602" t="s">
        <v>17</v>
      </c>
      <c r="D3602" t="s">
        <v>18</v>
      </c>
      <c r="E3602">
        <v>87</v>
      </c>
      <c r="F3602" t="s">
        <v>20</v>
      </c>
      <c r="G3602">
        <v>3074.5000000000005</v>
      </c>
      <c r="H3602">
        <v>18016</v>
      </c>
      <c r="I3602">
        <v>24</v>
      </c>
      <c r="J3602">
        <v>1</v>
      </c>
      <c r="K3602">
        <v>1</v>
      </c>
      <c r="L3602">
        <v>0</v>
      </c>
      <c r="M3602">
        <v>0</v>
      </c>
      <c r="N3602">
        <v>1</v>
      </c>
      <c r="P3602">
        <f>G3602*I3602/100</f>
        <v>737.88000000000011</v>
      </c>
      <c r="Q3602">
        <f t="shared" si="33"/>
        <v>36894.000000000007</v>
      </c>
      <c r="R3602">
        <f>K3602/J3602</f>
        <v>1</v>
      </c>
    </row>
    <row r="3603" spans="1:18" x14ac:dyDescent="0.3">
      <c r="A3603">
        <v>29</v>
      </c>
      <c r="B3603">
        <v>1086</v>
      </c>
      <c r="C3603" t="s">
        <v>17</v>
      </c>
      <c r="D3603" t="s">
        <v>15</v>
      </c>
      <c r="E3603">
        <v>62</v>
      </c>
      <c r="F3603" t="s">
        <v>20</v>
      </c>
      <c r="G3603">
        <v>2785.2000000000003</v>
      </c>
      <c r="H3603">
        <v>6054</v>
      </c>
      <c r="I3603">
        <v>14</v>
      </c>
      <c r="J3603">
        <v>8</v>
      </c>
      <c r="K3603">
        <v>4</v>
      </c>
      <c r="L3603">
        <v>3</v>
      </c>
      <c r="M3603">
        <v>0</v>
      </c>
      <c r="N3603">
        <v>3</v>
      </c>
      <c r="P3603">
        <f>G3603*I3603/100</f>
        <v>389.92800000000005</v>
      </c>
      <c r="Q3603">
        <f t="shared" si="33"/>
        <v>33422.400000000001</v>
      </c>
      <c r="R3603">
        <f>K3603/J3603</f>
        <v>0.5</v>
      </c>
    </row>
    <row r="3604" spans="1:18" x14ac:dyDescent="0.3">
      <c r="A3604">
        <v>44</v>
      </c>
      <c r="B3604">
        <v>661</v>
      </c>
      <c r="C3604" t="s">
        <v>17</v>
      </c>
      <c r="D3604" t="s">
        <v>18</v>
      </c>
      <c r="E3604">
        <v>61</v>
      </c>
      <c r="F3604" t="s">
        <v>19</v>
      </c>
      <c r="G3604">
        <v>2814.9</v>
      </c>
      <c r="H3604">
        <v>7508</v>
      </c>
      <c r="I3604">
        <v>13</v>
      </c>
      <c r="J3604">
        <v>8</v>
      </c>
      <c r="K3604">
        <v>8</v>
      </c>
      <c r="L3604">
        <v>7</v>
      </c>
      <c r="M3604">
        <v>7</v>
      </c>
      <c r="N3604">
        <v>1</v>
      </c>
      <c r="P3604">
        <f>G3604*I3604/100</f>
        <v>365.93700000000007</v>
      </c>
      <c r="Q3604">
        <f t="shared" si="33"/>
        <v>33778.800000000003</v>
      </c>
      <c r="R3604">
        <f>K3604/J3604</f>
        <v>1</v>
      </c>
    </row>
    <row r="3605" spans="1:18" x14ac:dyDescent="0.3">
      <c r="A3605">
        <v>28</v>
      </c>
      <c r="B3605">
        <v>821</v>
      </c>
      <c r="C3605" t="s">
        <v>14</v>
      </c>
      <c r="D3605" t="s">
        <v>18</v>
      </c>
      <c r="E3605">
        <v>98</v>
      </c>
      <c r="F3605" t="s">
        <v>16</v>
      </c>
      <c r="G3605">
        <v>5398.8</v>
      </c>
      <c r="H3605">
        <v>24252</v>
      </c>
      <c r="I3605">
        <v>14</v>
      </c>
      <c r="J3605">
        <v>4</v>
      </c>
      <c r="K3605">
        <v>4</v>
      </c>
      <c r="L3605">
        <v>2</v>
      </c>
      <c r="M3605">
        <v>0</v>
      </c>
      <c r="N3605">
        <v>2</v>
      </c>
      <c r="P3605">
        <f>G3605*I3605/100</f>
        <v>755.83199999999999</v>
      </c>
      <c r="Q3605">
        <f t="shared" si="33"/>
        <v>64785.600000000006</v>
      </c>
      <c r="R3605">
        <f>K3605/J3605</f>
        <v>1</v>
      </c>
    </row>
    <row r="3606" spans="1:18" x14ac:dyDescent="0.3">
      <c r="A3606">
        <v>58</v>
      </c>
      <c r="B3606">
        <v>781</v>
      </c>
      <c r="C3606" t="s">
        <v>17</v>
      </c>
      <c r="D3606" t="s">
        <v>18</v>
      </c>
      <c r="E3606">
        <v>57</v>
      </c>
      <c r="F3606" t="s">
        <v>20</v>
      </c>
      <c r="G3606">
        <v>2618</v>
      </c>
      <c r="H3606">
        <v>13384</v>
      </c>
      <c r="I3606">
        <v>14</v>
      </c>
      <c r="J3606">
        <v>3</v>
      </c>
      <c r="K3606">
        <v>1</v>
      </c>
      <c r="L3606">
        <v>0</v>
      </c>
      <c r="M3606">
        <v>0</v>
      </c>
      <c r="N3606">
        <v>0</v>
      </c>
      <c r="P3606">
        <f>G3606*I3606/100</f>
        <v>366.52</v>
      </c>
      <c r="Q3606">
        <f t="shared" si="33"/>
        <v>31416</v>
      </c>
      <c r="R3606">
        <f>K3606/J3606</f>
        <v>0.33333333333333331</v>
      </c>
    </row>
    <row r="3607" spans="1:18" x14ac:dyDescent="0.3">
      <c r="A3607">
        <v>43</v>
      </c>
      <c r="B3607">
        <v>177</v>
      </c>
      <c r="C3607" t="s">
        <v>17</v>
      </c>
      <c r="D3607" t="s">
        <v>15</v>
      </c>
      <c r="E3607">
        <v>55</v>
      </c>
      <c r="F3607" t="s">
        <v>21</v>
      </c>
      <c r="G3607">
        <v>5241.5</v>
      </c>
      <c r="H3607">
        <v>23814</v>
      </c>
      <c r="I3607">
        <v>21</v>
      </c>
      <c r="J3607">
        <v>4</v>
      </c>
      <c r="K3607">
        <v>1</v>
      </c>
      <c r="L3607">
        <v>0</v>
      </c>
      <c r="M3607">
        <v>0</v>
      </c>
      <c r="N3607">
        <v>0</v>
      </c>
      <c r="P3607">
        <f>G3607*I3607/100</f>
        <v>1100.7149999999999</v>
      </c>
      <c r="Q3607">
        <f t="shared" si="33"/>
        <v>62898</v>
      </c>
      <c r="R3607">
        <f>K3607/J3607</f>
        <v>0.25</v>
      </c>
    </row>
    <row r="3608" spans="1:18" x14ac:dyDescent="0.3">
      <c r="A3608">
        <v>20</v>
      </c>
      <c r="B3608">
        <v>500</v>
      </c>
      <c r="C3608" t="s">
        <v>14</v>
      </c>
      <c r="D3608" t="s">
        <v>15</v>
      </c>
      <c r="E3608">
        <v>49</v>
      </c>
      <c r="F3608" t="s">
        <v>24</v>
      </c>
      <c r="G3608">
        <v>2248.4</v>
      </c>
      <c r="H3608">
        <v>22052</v>
      </c>
      <c r="I3608">
        <v>13</v>
      </c>
      <c r="J3608">
        <v>2</v>
      </c>
      <c r="K3608">
        <v>2</v>
      </c>
      <c r="L3608">
        <v>2</v>
      </c>
      <c r="M3608">
        <v>0</v>
      </c>
      <c r="N3608">
        <v>2</v>
      </c>
      <c r="P3608">
        <f>G3608*I3608/100</f>
        <v>292.29200000000003</v>
      </c>
      <c r="Q3608">
        <f t="shared" si="33"/>
        <v>26980.800000000003</v>
      </c>
      <c r="R3608">
        <f>K3608/J3608</f>
        <v>1</v>
      </c>
    </row>
    <row r="3609" spans="1:18" x14ac:dyDescent="0.3">
      <c r="A3609">
        <v>21</v>
      </c>
      <c r="B3609">
        <v>1427</v>
      </c>
      <c r="C3609" t="s">
        <v>17</v>
      </c>
      <c r="D3609" t="s">
        <v>15</v>
      </c>
      <c r="E3609">
        <v>65</v>
      </c>
      <c r="F3609" t="s">
        <v>19</v>
      </c>
      <c r="G3609">
        <v>2962.3</v>
      </c>
      <c r="H3609">
        <v>8870</v>
      </c>
      <c r="I3609">
        <v>19</v>
      </c>
      <c r="J3609">
        <v>1</v>
      </c>
      <c r="K3609">
        <v>1</v>
      </c>
      <c r="L3609">
        <v>0</v>
      </c>
      <c r="M3609">
        <v>0</v>
      </c>
      <c r="N3609">
        <v>0</v>
      </c>
      <c r="P3609">
        <f>G3609*I3609/100</f>
        <v>562.83699999999999</v>
      </c>
      <c r="Q3609">
        <f t="shared" si="33"/>
        <v>35547.600000000006</v>
      </c>
      <c r="R3609">
        <f>K3609/J3609</f>
        <v>1</v>
      </c>
    </row>
    <row r="3610" spans="1:18" x14ac:dyDescent="0.3">
      <c r="A3610">
        <v>36</v>
      </c>
      <c r="B3610">
        <v>1425</v>
      </c>
      <c r="C3610" t="s">
        <v>17</v>
      </c>
      <c r="D3610" t="s">
        <v>18</v>
      </c>
      <c r="E3610">
        <v>68</v>
      </c>
      <c r="F3610" t="s">
        <v>22</v>
      </c>
      <c r="G3610">
        <v>7244.6</v>
      </c>
      <c r="H3610">
        <v>4821</v>
      </c>
      <c r="I3610">
        <v>17</v>
      </c>
      <c r="J3610">
        <v>17</v>
      </c>
      <c r="K3610">
        <v>16</v>
      </c>
      <c r="L3610">
        <v>8</v>
      </c>
      <c r="M3610">
        <v>4</v>
      </c>
      <c r="N3610">
        <v>11</v>
      </c>
      <c r="P3610">
        <f>G3610*I3610/100</f>
        <v>1231.5820000000001</v>
      </c>
      <c r="Q3610">
        <f t="shared" si="33"/>
        <v>86935.200000000012</v>
      </c>
      <c r="R3610">
        <f>K3610/J3610</f>
        <v>0.94117647058823528</v>
      </c>
    </row>
    <row r="3611" spans="1:18" x14ac:dyDescent="0.3">
      <c r="A3611">
        <v>47</v>
      </c>
      <c r="B3611">
        <v>1454</v>
      </c>
      <c r="C3611" t="s">
        <v>14</v>
      </c>
      <c r="D3611" t="s">
        <v>15</v>
      </c>
      <c r="E3611">
        <v>65</v>
      </c>
      <c r="F3611" t="s">
        <v>24</v>
      </c>
      <c r="G3611">
        <v>3623.4</v>
      </c>
      <c r="H3611">
        <v>13137</v>
      </c>
      <c r="I3611">
        <v>18</v>
      </c>
      <c r="J3611">
        <v>3</v>
      </c>
      <c r="K3611">
        <v>3</v>
      </c>
      <c r="L3611">
        <v>2</v>
      </c>
      <c r="M3611">
        <v>1</v>
      </c>
      <c r="N3611">
        <v>2</v>
      </c>
      <c r="P3611">
        <f>G3611*I3611/100</f>
        <v>652.21199999999999</v>
      </c>
      <c r="Q3611">
        <f t="shared" si="33"/>
        <v>43480.800000000003</v>
      </c>
      <c r="R3611">
        <f>K3611/J3611</f>
        <v>1</v>
      </c>
    </row>
    <row r="3612" spans="1:18" x14ac:dyDescent="0.3">
      <c r="A3612">
        <v>22</v>
      </c>
      <c r="B3612">
        <v>617</v>
      </c>
      <c r="C3612" t="s">
        <v>17</v>
      </c>
      <c r="D3612" t="s">
        <v>15</v>
      </c>
      <c r="E3612">
        <v>34</v>
      </c>
      <c r="F3612" t="s">
        <v>21</v>
      </c>
      <c r="G3612">
        <v>4588.1000000000004</v>
      </c>
      <c r="H3612">
        <v>10022</v>
      </c>
      <c r="I3612">
        <v>19</v>
      </c>
      <c r="J3612">
        <v>4</v>
      </c>
      <c r="K3612">
        <v>3</v>
      </c>
      <c r="L3612">
        <v>2</v>
      </c>
      <c r="M3612">
        <v>0</v>
      </c>
      <c r="N3612">
        <v>2</v>
      </c>
      <c r="P3612">
        <f>G3612*I3612/100</f>
        <v>871.73900000000003</v>
      </c>
      <c r="Q3612">
        <f t="shared" si="33"/>
        <v>55057.200000000004</v>
      </c>
      <c r="R3612">
        <f>K3612/J3612</f>
        <v>0.75</v>
      </c>
    </row>
    <row r="3613" spans="1:18" x14ac:dyDescent="0.3">
      <c r="A3613">
        <v>41</v>
      </c>
      <c r="B3613">
        <v>1085</v>
      </c>
      <c r="C3613" t="s">
        <v>17</v>
      </c>
      <c r="D3613" t="s">
        <v>15</v>
      </c>
      <c r="E3613">
        <v>57</v>
      </c>
      <c r="F3613" t="s">
        <v>20</v>
      </c>
      <c r="G3613">
        <v>3055.8</v>
      </c>
      <c r="H3613">
        <v>17725</v>
      </c>
      <c r="I3613">
        <v>13</v>
      </c>
      <c r="J3613">
        <v>10</v>
      </c>
      <c r="K3613">
        <v>7</v>
      </c>
      <c r="L3613">
        <v>7</v>
      </c>
      <c r="M3613">
        <v>1</v>
      </c>
      <c r="N3613">
        <v>0</v>
      </c>
      <c r="P3613">
        <f>G3613*I3613/100</f>
        <v>397.25400000000002</v>
      </c>
      <c r="Q3613">
        <f t="shared" si="33"/>
        <v>36669.600000000006</v>
      </c>
      <c r="R3613">
        <f>K3613/J3613</f>
        <v>0.7</v>
      </c>
    </row>
    <row r="3614" spans="1:18" x14ac:dyDescent="0.3">
      <c r="A3614">
        <v>28</v>
      </c>
      <c r="B3614">
        <v>995</v>
      </c>
      <c r="C3614" t="s">
        <v>17</v>
      </c>
      <c r="D3614" t="s">
        <v>15</v>
      </c>
      <c r="E3614">
        <v>77</v>
      </c>
      <c r="F3614" t="s">
        <v>19</v>
      </c>
      <c r="G3614">
        <v>2614.7000000000003</v>
      </c>
      <c r="H3614">
        <v>9834</v>
      </c>
      <c r="I3614">
        <v>18</v>
      </c>
      <c r="J3614">
        <v>6</v>
      </c>
      <c r="K3614">
        <v>2</v>
      </c>
      <c r="L3614">
        <v>2</v>
      </c>
      <c r="M3614">
        <v>2</v>
      </c>
      <c r="N3614">
        <v>2</v>
      </c>
      <c r="P3614">
        <f>G3614*I3614/100</f>
        <v>470.64600000000007</v>
      </c>
      <c r="Q3614">
        <f t="shared" si="33"/>
        <v>31376.400000000001</v>
      </c>
      <c r="R3614">
        <f>K3614/J3614</f>
        <v>0.33333333333333331</v>
      </c>
    </row>
    <row r="3615" spans="1:18" x14ac:dyDescent="0.3">
      <c r="A3615">
        <v>39</v>
      </c>
      <c r="B3615">
        <v>1122</v>
      </c>
      <c r="C3615" t="s">
        <v>17</v>
      </c>
      <c r="D3615" t="s">
        <v>18</v>
      </c>
      <c r="E3615">
        <v>70</v>
      </c>
      <c r="F3615" t="s">
        <v>20</v>
      </c>
      <c r="G3615">
        <v>2644.4</v>
      </c>
      <c r="H3615">
        <v>4303</v>
      </c>
      <c r="I3615">
        <v>21</v>
      </c>
      <c r="J3615">
        <v>8</v>
      </c>
      <c r="K3615">
        <v>2</v>
      </c>
      <c r="L3615">
        <v>2</v>
      </c>
      <c r="M3615">
        <v>2</v>
      </c>
      <c r="N3615">
        <v>2</v>
      </c>
      <c r="P3615">
        <f>G3615*I3615/100</f>
        <v>555.32400000000007</v>
      </c>
      <c r="Q3615">
        <f t="shared" si="33"/>
        <v>31732.800000000003</v>
      </c>
      <c r="R3615">
        <f>K3615/J3615</f>
        <v>0.25</v>
      </c>
    </row>
    <row r="3616" spans="1:18" x14ac:dyDescent="0.3">
      <c r="A3616">
        <v>27</v>
      </c>
      <c r="B3616">
        <v>618</v>
      </c>
      <c r="C3616" t="s">
        <v>17</v>
      </c>
      <c r="D3616" t="s">
        <v>15</v>
      </c>
      <c r="E3616">
        <v>76</v>
      </c>
      <c r="F3616" t="s">
        <v>19</v>
      </c>
      <c r="G3616">
        <v>2549.8000000000002</v>
      </c>
      <c r="H3616">
        <v>17808</v>
      </c>
      <c r="I3616">
        <v>19</v>
      </c>
      <c r="J3616">
        <v>1</v>
      </c>
      <c r="K3616">
        <v>1</v>
      </c>
      <c r="L3616">
        <v>1</v>
      </c>
      <c r="M3616">
        <v>0</v>
      </c>
      <c r="N3616">
        <v>0</v>
      </c>
      <c r="P3616">
        <f>G3616*I3616/100</f>
        <v>484.46200000000005</v>
      </c>
      <c r="Q3616">
        <f t="shared" si="33"/>
        <v>30597.600000000002</v>
      </c>
      <c r="R3616">
        <f>K3616/J3616</f>
        <v>1</v>
      </c>
    </row>
    <row r="3617" spans="1:18" x14ac:dyDescent="0.3">
      <c r="A3617">
        <v>34</v>
      </c>
      <c r="B3617">
        <v>546</v>
      </c>
      <c r="C3617" t="s">
        <v>17</v>
      </c>
      <c r="D3617" t="s">
        <v>18</v>
      </c>
      <c r="E3617">
        <v>83</v>
      </c>
      <c r="F3617" t="s">
        <v>20</v>
      </c>
      <c r="G3617">
        <v>2208.8000000000002</v>
      </c>
      <c r="H3617">
        <v>6896</v>
      </c>
      <c r="I3617">
        <v>14</v>
      </c>
      <c r="J3617">
        <v>1</v>
      </c>
      <c r="K3617">
        <v>1</v>
      </c>
      <c r="L3617">
        <v>0</v>
      </c>
      <c r="M3617">
        <v>1</v>
      </c>
      <c r="N3617">
        <v>0</v>
      </c>
      <c r="P3617">
        <f>G3617*I3617/100</f>
        <v>309.23200000000003</v>
      </c>
      <c r="Q3617">
        <f t="shared" si="33"/>
        <v>26505.600000000002</v>
      </c>
      <c r="R3617">
        <f>K3617/J3617</f>
        <v>1</v>
      </c>
    </row>
    <row r="3618" spans="1:18" x14ac:dyDescent="0.3">
      <c r="A3618">
        <v>42</v>
      </c>
      <c r="B3618">
        <v>462</v>
      </c>
      <c r="C3618" t="s">
        <v>14</v>
      </c>
      <c r="D3618" t="s">
        <v>15</v>
      </c>
      <c r="E3618">
        <v>68</v>
      </c>
      <c r="F3618" t="s">
        <v>16</v>
      </c>
      <c r="G3618">
        <v>6868.4000000000005</v>
      </c>
      <c r="H3618">
        <v>7824</v>
      </c>
      <c r="I3618">
        <v>17</v>
      </c>
      <c r="J3618">
        <v>10</v>
      </c>
      <c r="K3618">
        <v>5</v>
      </c>
      <c r="L3618">
        <v>4</v>
      </c>
      <c r="M3618">
        <v>0</v>
      </c>
      <c r="N3618">
        <v>3</v>
      </c>
      <c r="P3618">
        <f>G3618*I3618/100</f>
        <v>1167.6279999999999</v>
      </c>
      <c r="Q3618">
        <f t="shared" si="33"/>
        <v>82420.800000000003</v>
      </c>
      <c r="R3618">
        <f>K3618/J3618</f>
        <v>0.5</v>
      </c>
    </row>
    <row r="3619" spans="1:18" x14ac:dyDescent="0.3">
      <c r="A3619">
        <v>33</v>
      </c>
      <c r="B3619">
        <v>1198</v>
      </c>
      <c r="C3619" t="s">
        <v>17</v>
      </c>
      <c r="D3619" t="s">
        <v>18</v>
      </c>
      <c r="E3619">
        <v>100</v>
      </c>
      <c r="F3619" t="s">
        <v>19</v>
      </c>
      <c r="G3619">
        <v>3078.9</v>
      </c>
      <c r="H3619">
        <v>3339</v>
      </c>
      <c r="I3619">
        <v>11</v>
      </c>
      <c r="J3619">
        <v>6</v>
      </c>
      <c r="K3619">
        <v>3</v>
      </c>
      <c r="L3619">
        <v>2</v>
      </c>
      <c r="M3619">
        <v>0</v>
      </c>
      <c r="N3619">
        <v>2</v>
      </c>
      <c r="P3619">
        <f>G3619*I3619/100</f>
        <v>338.67900000000003</v>
      </c>
      <c r="Q3619">
        <f t="shared" si="33"/>
        <v>36946.800000000003</v>
      </c>
      <c r="R3619">
        <f>K3619/J3619</f>
        <v>0.5</v>
      </c>
    </row>
    <row r="3620" spans="1:18" x14ac:dyDescent="0.3">
      <c r="A3620">
        <v>58</v>
      </c>
      <c r="B3620">
        <v>1272</v>
      </c>
      <c r="C3620" t="s">
        <v>17</v>
      </c>
      <c r="D3620" t="s">
        <v>15</v>
      </c>
      <c r="E3620">
        <v>37</v>
      </c>
      <c r="F3620" t="s">
        <v>22</v>
      </c>
      <c r="G3620">
        <v>11607.2</v>
      </c>
      <c r="H3620">
        <v>9255</v>
      </c>
      <c r="I3620">
        <v>13</v>
      </c>
      <c r="J3620">
        <v>24</v>
      </c>
      <c r="K3620">
        <v>6</v>
      </c>
      <c r="L3620">
        <v>0</v>
      </c>
      <c r="M3620">
        <v>0</v>
      </c>
      <c r="N3620">
        <v>4</v>
      </c>
      <c r="P3620">
        <f>G3620*I3620/100</f>
        <v>1508.9360000000001</v>
      </c>
      <c r="Q3620">
        <f t="shared" si="33"/>
        <v>139286.40000000002</v>
      </c>
      <c r="R3620">
        <f>K3620/J3620</f>
        <v>0.25</v>
      </c>
    </row>
    <row r="3621" spans="1:18" x14ac:dyDescent="0.3">
      <c r="A3621">
        <v>31</v>
      </c>
      <c r="B3621">
        <v>154</v>
      </c>
      <c r="C3621" t="s">
        <v>14</v>
      </c>
      <c r="D3621" t="s">
        <v>18</v>
      </c>
      <c r="E3621">
        <v>41</v>
      </c>
      <c r="F3621" t="s">
        <v>24</v>
      </c>
      <c r="G3621">
        <v>2561.9</v>
      </c>
      <c r="H3621">
        <v>11737</v>
      </c>
      <c r="I3621">
        <v>15</v>
      </c>
      <c r="J3621">
        <v>13</v>
      </c>
      <c r="K3621">
        <v>7</v>
      </c>
      <c r="L3621">
        <v>7</v>
      </c>
      <c r="M3621">
        <v>5</v>
      </c>
      <c r="N3621">
        <v>2</v>
      </c>
      <c r="P3621">
        <f>G3621*I3621/100</f>
        <v>384.28500000000003</v>
      </c>
      <c r="Q3621">
        <f t="shared" si="33"/>
        <v>30742.800000000003</v>
      </c>
      <c r="R3621">
        <f>K3621/J3621</f>
        <v>0.53846153846153844</v>
      </c>
    </row>
    <row r="3622" spans="1:18" x14ac:dyDescent="0.3">
      <c r="A3622">
        <v>35</v>
      </c>
      <c r="B3622">
        <v>1137</v>
      </c>
      <c r="C3622" t="s">
        <v>17</v>
      </c>
      <c r="D3622" t="s">
        <v>15</v>
      </c>
      <c r="E3622">
        <v>51</v>
      </c>
      <c r="F3622" t="s">
        <v>22</v>
      </c>
      <c r="G3622">
        <v>4415.4000000000005</v>
      </c>
      <c r="H3622">
        <v>19170</v>
      </c>
      <c r="I3622">
        <v>25</v>
      </c>
      <c r="J3622">
        <v>10</v>
      </c>
      <c r="K3622">
        <v>10</v>
      </c>
      <c r="L3622">
        <v>6</v>
      </c>
      <c r="M3622">
        <v>0</v>
      </c>
      <c r="N3622">
        <v>7</v>
      </c>
      <c r="P3622">
        <f>G3622*I3622/100</f>
        <v>1103.8500000000001</v>
      </c>
      <c r="Q3622">
        <f t="shared" si="33"/>
        <v>52984.800000000003</v>
      </c>
      <c r="R3622">
        <f>K3622/J3622</f>
        <v>1</v>
      </c>
    </row>
    <row r="3623" spans="1:18" x14ac:dyDescent="0.3">
      <c r="A3623">
        <v>49</v>
      </c>
      <c r="B3623">
        <v>527</v>
      </c>
      <c r="C3623" t="s">
        <v>17</v>
      </c>
      <c r="D3623" t="s">
        <v>15</v>
      </c>
      <c r="E3623">
        <v>51</v>
      </c>
      <c r="F3623" t="s">
        <v>20</v>
      </c>
      <c r="G3623">
        <v>8143.3000000000011</v>
      </c>
      <c r="H3623">
        <v>22477</v>
      </c>
      <c r="I3623">
        <v>11</v>
      </c>
      <c r="J3623">
        <v>29</v>
      </c>
      <c r="K3623">
        <v>26</v>
      </c>
      <c r="L3623">
        <v>9</v>
      </c>
      <c r="M3623">
        <v>1</v>
      </c>
      <c r="N3623">
        <v>7</v>
      </c>
      <c r="P3623">
        <f>G3623*I3623/100</f>
        <v>895.76300000000015</v>
      </c>
      <c r="Q3623">
        <f t="shared" si="33"/>
        <v>97719.6</v>
      </c>
      <c r="R3623">
        <f>K3623/J3623</f>
        <v>0.89655172413793105</v>
      </c>
    </row>
    <row r="3624" spans="1:18" x14ac:dyDescent="0.3">
      <c r="A3624">
        <v>48</v>
      </c>
      <c r="B3624">
        <v>1469</v>
      </c>
      <c r="C3624" t="s">
        <v>17</v>
      </c>
      <c r="D3624" t="s">
        <v>18</v>
      </c>
      <c r="E3624">
        <v>51</v>
      </c>
      <c r="F3624" t="s">
        <v>19</v>
      </c>
      <c r="G3624">
        <v>2484.9</v>
      </c>
      <c r="H3624">
        <v>5543</v>
      </c>
      <c r="I3624">
        <v>17</v>
      </c>
      <c r="J3624">
        <v>13</v>
      </c>
      <c r="K3624">
        <v>0</v>
      </c>
      <c r="L3624">
        <v>0</v>
      </c>
      <c r="M3624">
        <v>0</v>
      </c>
      <c r="N3624">
        <v>0</v>
      </c>
      <c r="P3624">
        <f>G3624*I3624/100</f>
        <v>422.43300000000005</v>
      </c>
      <c r="Q3624">
        <f t="shared" si="33"/>
        <v>29818.800000000003</v>
      </c>
      <c r="R3624">
        <f>K3624/J3624</f>
        <v>0</v>
      </c>
    </row>
    <row r="3625" spans="1:18" x14ac:dyDescent="0.3">
      <c r="A3625">
        <v>31</v>
      </c>
      <c r="B3625">
        <v>1188</v>
      </c>
      <c r="C3625" t="s">
        <v>14</v>
      </c>
      <c r="D3625" t="s">
        <v>15</v>
      </c>
      <c r="E3625">
        <v>45</v>
      </c>
      <c r="F3625" t="s">
        <v>16</v>
      </c>
      <c r="G3625">
        <v>7625.2000000000007</v>
      </c>
      <c r="H3625">
        <v>24406</v>
      </c>
      <c r="I3625">
        <v>13</v>
      </c>
      <c r="J3625">
        <v>9</v>
      </c>
      <c r="K3625">
        <v>9</v>
      </c>
      <c r="L3625">
        <v>8</v>
      </c>
      <c r="M3625">
        <v>0</v>
      </c>
      <c r="N3625">
        <v>0</v>
      </c>
      <c r="P3625">
        <f>G3625*I3625/100</f>
        <v>991.27600000000007</v>
      </c>
      <c r="Q3625">
        <f t="shared" si="33"/>
        <v>91502.400000000009</v>
      </c>
      <c r="R3625">
        <f>K3625/J3625</f>
        <v>1</v>
      </c>
    </row>
    <row r="3626" spans="1:18" x14ac:dyDescent="0.3">
      <c r="A3626">
        <v>36</v>
      </c>
      <c r="B3626">
        <v>188</v>
      </c>
      <c r="C3626" t="s">
        <v>17</v>
      </c>
      <c r="D3626" t="s">
        <v>18</v>
      </c>
      <c r="E3626">
        <v>65</v>
      </c>
      <c r="F3626" t="s">
        <v>19</v>
      </c>
      <c r="G3626">
        <v>5145.8</v>
      </c>
      <c r="H3626">
        <v>23293</v>
      </c>
      <c r="I3626">
        <v>18</v>
      </c>
      <c r="J3626">
        <v>8</v>
      </c>
      <c r="K3626">
        <v>6</v>
      </c>
      <c r="L3626">
        <v>2</v>
      </c>
      <c r="M3626">
        <v>0</v>
      </c>
      <c r="N3626">
        <v>1</v>
      </c>
      <c r="P3626">
        <f>G3626*I3626/100</f>
        <v>926.24400000000014</v>
      </c>
      <c r="Q3626">
        <f t="shared" si="33"/>
        <v>61749.600000000006</v>
      </c>
      <c r="R3626">
        <f>K3626/J3626</f>
        <v>0.75</v>
      </c>
    </row>
    <row r="3627" spans="1:18" x14ac:dyDescent="0.3">
      <c r="A3627">
        <v>38</v>
      </c>
      <c r="B3627">
        <v>1333</v>
      </c>
      <c r="C3627" t="s">
        <v>17</v>
      </c>
      <c r="D3627" t="s">
        <v>15</v>
      </c>
      <c r="E3627">
        <v>80</v>
      </c>
      <c r="F3627" t="s">
        <v>25</v>
      </c>
      <c r="G3627">
        <v>14940.2</v>
      </c>
      <c r="H3627">
        <v>16292</v>
      </c>
      <c r="I3627">
        <v>13</v>
      </c>
      <c r="J3627">
        <v>15</v>
      </c>
      <c r="K3627">
        <v>15</v>
      </c>
      <c r="L3627">
        <v>12</v>
      </c>
      <c r="M3627">
        <v>5</v>
      </c>
      <c r="N3627">
        <v>11</v>
      </c>
      <c r="P3627">
        <f>G3627*I3627/100</f>
        <v>1942.2260000000001</v>
      </c>
      <c r="Q3627">
        <f t="shared" si="33"/>
        <v>179282.40000000002</v>
      </c>
      <c r="R3627">
        <f>K3627/J3627</f>
        <v>1</v>
      </c>
    </row>
    <row r="3628" spans="1:18" x14ac:dyDescent="0.3">
      <c r="A3628">
        <v>32</v>
      </c>
      <c r="B3628">
        <v>1184</v>
      </c>
      <c r="C3628" t="s">
        <v>17</v>
      </c>
      <c r="D3628" t="s">
        <v>15</v>
      </c>
      <c r="E3628">
        <v>70</v>
      </c>
      <c r="F3628" t="s">
        <v>20</v>
      </c>
      <c r="G3628">
        <v>2565.2000000000003</v>
      </c>
      <c r="H3628">
        <v>3974</v>
      </c>
      <c r="I3628">
        <v>20</v>
      </c>
      <c r="J3628">
        <v>5</v>
      </c>
      <c r="K3628">
        <v>3</v>
      </c>
      <c r="L3628">
        <v>0</v>
      </c>
      <c r="M3628">
        <v>0</v>
      </c>
      <c r="N3628">
        <v>2</v>
      </c>
      <c r="P3628">
        <f>G3628*I3628/100</f>
        <v>513.04000000000008</v>
      </c>
      <c r="Q3628">
        <f t="shared" si="33"/>
        <v>30782.400000000001</v>
      </c>
      <c r="R3628">
        <f>K3628/J3628</f>
        <v>0.6</v>
      </c>
    </row>
    <row r="3629" spans="1:18" x14ac:dyDescent="0.3">
      <c r="A3629">
        <v>25</v>
      </c>
      <c r="B3629">
        <v>867</v>
      </c>
      <c r="C3629" t="s">
        <v>14</v>
      </c>
      <c r="D3629" t="s">
        <v>18</v>
      </c>
      <c r="E3629">
        <v>36</v>
      </c>
      <c r="F3629" t="s">
        <v>24</v>
      </c>
      <c r="G3629">
        <v>2654.3</v>
      </c>
      <c r="H3629">
        <v>18798</v>
      </c>
      <c r="I3629">
        <v>18</v>
      </c>
      <c r="J3629">
        <v>1</v>
      </c>
      <c r="K3629">
        <v>1</v>
      </c>
      <c r="L3629">
        <v>0</v>
      </c>
      <c r="M3629">
        <v>0</v>
      </c>
      <c r="N3629">
        <v>0</v>
      </c>
      <c r="P3629">
        <f>G3629*I3629/100</f>
        <v>477.774</v>
      </c>
      <c r="Q3629">
        <f t="shared" si="33"/>
        <v>31851.600000000002</v>
      </c>
      <c r="R3629">
        <f>K3629/J3629</f>
        <v>1</v>
      </c>
    </row>
    <row r="3630" spans="1:18" x14ac:dyDescent="0.3">
      <c r="A3630">
        <v>40</v>
      </c>
      <c r="B3630">
        <v>658</v>
      </c>
      <c r="C3630" t="s">
        <v>14</v>
      </c>
      <c r="D3630" t="s">
        <v>18</v>
      </c>
      <c r="E3630">
        <v>67</v>
      </c>
      <c r="F3630" t="s">
        <v>16</v>
      </c>
      <c r="G3630">
        <v>10675.5</v>
      </c>
      <c r="H3630">
        <v>20652</v>
      </c>
      <c r="I3630">
        <v>12</v>
      </c>
      <c r="J3630">
        <v>11</v>
      </c>
      <c r="K3630">
        <v>1</v>
      </c>
      <c r="L3630">
        <v>0</v>
      </c>
      <c r="M3630">
        <v>0</v>
      </c>
      <c r="N3630">
        <v>0</v>
      </c>
      <c r="P3630">
        <f>G3630*I3630/100</f>
        <v>1281.06</v>
      </c>
      <c r="Q3630">
        <f t="shared" si="33"/>
        <v>128106</v>
      </c>
      <c r="R3630">
        <f>K3630/J3630</f>
        <v>9.0909090909090912E-2</v>
      </c>
    </row>
    <row r="3631" spans="1:18" x14ac:dyDescent="0.3">
      <c r="A3631">
        <v>26</v>
      </c>
      <c r="B3631">
        <v>1283</v>
      </c>
      <c r="C3631" t="s">
        <v>14</v>
      </c>
      <c r="D3631" t="s">
        <v>18</v>
      </c>
      <c r="E3631">
        <v>52</v>
      </c>
      <c r="F3631" t="s">
        <v>16</v>
      </c>
      <c r="G3631">
        <v>4723.4000000000005</v>
      </c>
      <c r="H3631">
        <v>11148</v>
      </c>
      <c r="I3631">
        <v>12</v>
      </c>
      <c r="J3631">
        <v>7</v>
      </c>
      <c r="K3631">
        <v>7</v>
      </c>
      <c r="L3631">
        <v>7</v>
      </c>
      <c r="M3631">
        <v>0</v>
      </c>
      <c r="N3631">
        <v>7</v>
      </c>
      <c r="P3631">
        <f>G3631*I3631/100</f>
        <v>566.80799999999999</v>
      </c>
      <c r="Q3631">
        <f t="shared" si="33"/>
        <v>56680.800000000003</v>
      </c>
      <c r="R3631">
        <f>K3631/J3631</f>
        <v>1</v>
      </c>
    </row>
    <row r="3632" spans="1:18" x14ac:dyDescent="0.3">
      <c r="A3632">
        <v>41</v>
      </c>
      <c r="B3632">
        <v>263</v>
      </c>
      <c r="C3632" t="s">
        <v>17</v>
      </c>
      <c r="D3632" t="s">
        <v>18</v>
      </c>
      <c r="E3632">
        <v>59</v>
      </c>
      <c r="F3632" t="s">
        <v>20</v>
      </c>
      <c r="G3632">
        <v>5193.1000000000004</v>
      </c>
      <c r="H3632">
        <v>3119</v>
      </c>
      <c r="I3632">
        <v>13</v>
      </c>
      <c r="J3632">
        <v>20</v>
      </c>
      <c r="K3632">
        <v>18</v>
      </c>
      <c r="L3632">
        <v>13</v>
      </c>
      <c r="M3632">
        <v>2</v>
      </c>
      <c r="N3632">
        <v>17</v>
      </c>
      <c r="P3632">
        <f>G3632*I3632/100</f>
        <v>675.10300000000007</v>
      </c>
      <c r="Q3632">
        <f t="shared" si="33"/>
        <v>62317.200000000004</v>
      </c>
      <c r="R3632">
        <f>K3632/J3632</f>
        <v>0.9</v>
      </c>
    </row>
    <row r="3633" spans="1:18" x14ac:dyDescent="0.3">
      <c r="A3633">
        <v>36</v>
      </c>
      <c r="B3633">
        <v>938</v>
      </c>
      <c r="C3633" t="s">
        <v>17</v>
      </c>
      <c r="D3633" t="s">
        <v>18</v>
      </c>
      <c r="E3633">
        <v>79</v>
      </c>
      <c r="F3633" t="s">
        <v>20</v>
      </c>
      <c r="G3633">
        <v>2770.9</v>
      </c>
      <c r="H3633">
        <v>12287</v>
      </c>
      <c r="I3633">
        <v>21</v>
      </c>
      <c r="J3633">
        <v>16</v>
      </c>
      <c r="K3633">
        <v>11</v>
      </c>
      <c r="L3633">
        <v>8</v>
      </c>
      <c r="M3633">
        <v>3</v>
      </c>
      <c r="N3633">
        <v>9</v>
      </c>
      <c r="P3633">
        <f>G3633*I3633/100</f>
        <v>581.88900000000001</v>
      </c>
      <c r="Q3633">
        <f t="shared" si="33"/>
        <v>33250.800000000003</v>
      </c>
      <c r="R3633">
        <f>K3633/J3633</f>
        <v>0.6875</v>
      </c>
    </row>
    <row r="3634" spans="1:18" x14ac:dyDescent="0.3">
      <c r="A3634">
        <v>19</v>
      </c>
      <c r="B3634">
        <v>419</v>
      </c>
      <c r="C3634" t="s">
        <v>14</v>
      </c>
      <c r="D3634" t="s">
        <v>18</v>
      </c>
      <c r="E3634">
        <v>37</v>
      </c>
      <c r="F3634" t="s">
        <v>24</v>
      </c>
      <c r="G3634">
        <v>2333.1000000000004</v>
      </c>
      <c r="H3634">
        <v>9947</v>
      </c>
      <c r="I3634">
        <v>13</v>
      </c>
      <c r="J3634">
        <v>1</v>
      </c>
      <c r="K3634">
        <v>1</v>
      </c>
      <c r="L3634">
        <v>0</v>
      </c>
      <c r="M3634">
        <v>0</v>
      </c>
      <c r="N3634">
        <v>0</v>
      </c>
      <c r="P3634">
        <f>G3634*I3634/100</f>
        <v>303.30300000000005</v>
      </c>
      <c r="Q3634">
        <f t="shared" si="33"/>
        <v>27997.200000000004</v>
      </c>
      <c r="R3634">
        <f>K3634/J3634</f>
        <v>1</v>
      </c>
    </row>
    <row r="3635" spans="1:18" x14ac:dyDescent="0.3">
      <c r="A3635">
        <v>20</v>
      </c>
      <c r="B3635">
        <v>129</v>
      </c>
      <c r="C3635" t="s">
        <v>17</v>
      </c>
      <c r="D3635" t="s">
        <v>18</v>
      </c>
      <c r="E3635">
        <v>84</v>
      </c>
      <c r="F3635" t="s">
        <v>20</v>
      </c>
      <c r="G3635">
        <v>3270.3</v>
      </c>
      <c r="H3635">
        <v>13008</v>
      </c>
      <c r="I3635">
        <v>19</v>
      </c>
      <c r="J3635">
        <v>1</v>
      </c>
      <c r="K3635">
        <v>1</v>
      </c>
      <c r="L3635">
        <v>0</v>
      </c>
      <c r="M3635">
        <v>0</v>
      </c>
      <c r="N3635">
        <v>0</v>
      </c>
      <c r="P3635">
        <f>G3635*I3635/100</f>
        <v>621.35700000000008</v>
      </c>
      <c r="Q3635">
        <f t="shared" si="33"/>
        <v>39243.600000000006</v>
      </c>
      <c r="R3635">
        <f>K3635/J3635</f>
        <v>1</v>
      </c>
    </row>
    <row r="3636" spans="1:18" x14ac:dyDescent="0.3">
      <c r="A3636">
        <v>31</v>
      </c>
      <c r="B3636">
        <v>616</v>
      </c>
      <c r="C3636" t="s">
        <v>17</v>
      </c>
      <c r="D3636" t="s">
        <v>15</v>
      </c>
      <c r="E3636">
        <v>41</v>
      </c>
      <c r="F3636" t="s">
        <v>22</v>
      </c>
      <c r="G3636">
        <v>6440.5000000000009</v>
      </c>
      <c r="H3636">
        <v>17369</v>
      </c>
      <c r="I3636">
        <v>11</v>
      </c>
      <c r="J3636">
        <v>10</v>
      </c>
      <c r="K3636">
        <v>9</v>
      </c>
      <c r="L3636">
        <v>7</v>
      </c>
      <c r="M3636">
        <v>8</v>
      </c>
      <c r="N3636">
        <v>5</v>
      </c>
      <c r="P3636">
        <f>G3636*I3636/100</f>
        <v>708.45500000000015</v>
      </c>
      <c r="Q3636">
        <f t="shared" si="33"/>
        <v>77286.000000000015</v>
      </c>
      <c r="R3636">
        <f>K3636/J3636</f>
        <v>0.9</v>
      </c>
    </row>
    <row r="3637" spans="1:18" x14ac:dyDescent="0.3">
      <c r="A3637">
        <v>40</v>
      </c>
      <c r="B3637">
        <v>1469</v>
      </c>
      <c r="C3637" t="s">
        <v>17</v>
      </c>
      <c r="D3637" t="s">
        <v>18</v>
      </c>
      <c r="E3637">
        <v>35</v>
      </c>
      <c r="F3637" t="s">
        <v>19</v>
      </c>
      <c r="G3637">
        <v>3978.7000000000003</v>
      </c>
      <c r="H3637">
        <v>25063</v>
      </c>
      <c r="I3637">
        <v>14</v>
      </c>
      <c r="J3637">
        <v>3</v>
      </c>
      <c r="K3637">
        <v>1</v>
      </c>
      <c r="L3637">
        <v>1</v>
      </c>
      <c r="M3637">
        <v>0</v>
      </c>
      <c r="N3637">
        <v>0</v>
      </c>
      <c r="P3637">
        <f>G3637*I3637/100</f>
        <v>557.01800000000003</v>
      </c>
      <c r="Q3637">
        <f t="shared" si="33"/>
        <v>47744.4</v>
      </c>
      <c r="R3637">
        <f>K3637/J3637</f>
        <v>0.33333333333333331</v>
      </c>
    </row>
    <row r="3638" spans="1:18" x14ac:dyDescent="0.3">
      <c r="A3638">
        <v>32</v>
      </c>
      <c r="B3638">
        <v>498</v>
      </c>
      <c r="C3638" t="s">
        <v>17</v>
      </c>
      <c r="D3638" t="s">
        <v>15</v>
      </c>
      <c r="E3638">
        <v>93</v>
      </c>
      <c r="F3638" t="s">
        <v>21</v>
      </c>
      <c r="G3638">
        <v>7397.5000000000009</v>
      </c>
      <c r="H3638">
        <v>13554</v>
      </c>
      <c r="I3638">
        <v>12</v>
      </c>
      <c r="J3638">
        <v>8</v>
      </c>
      <c r="K3638">
        <v>8</v>
      </c>
      <c r="L3638">
        <v>7</v>
      </c>
      <c r="M3638">
        <v>6</v>
      </c>
      <c r="N3638">
        <v>3</v>
      </c>
      <c r="P3638">
        <f>G3638*I3638/100</f>
        <v>887.70000000000016</v>
      </c>
      <c r="Q3638">
        <f t="shared" si="33"/>
        <v>88770.000000000015</v>
      </c>
      <c r="R3638">
        <f>K3638/J3638</f>
        <v>1</v>
      </c>
    </row>
    <row r="3639" spans="1:18" x14ac:dyDescent="0.3">
      <c r="A3639">
        <v>36</v>
      </c>
      <c r="B3639">
        <v>530</v>
      </c>
      <c r="C3639" t="s">
        <v>14</v>
      </c>
      <c r="D3639" t="s">
        <v>18</v>
      </c>
      <c r="E3639">
        <v>51</v>
      </c>
      <c r="F3639" t="s">
        <v>16</v>
      </c>
      <c r="G3639">
        <v>11357.500000000002</v>
      </c>
      <c r="H3639">
        <v>5518</v>
      </c>
      <c r="I3639">
        <v>11</v>
      </c>
      <c r="J3639">
        <v>16</v>
      </c>
      <c r="K3639">
        <v>16</v>
      </c>
      <c r="L3639">
        <v>7</v>
      </c>
      <c r="M3639">
        <v>3</v>
      </c>
      <c r="N3639">
        <v>7</v>
      </c>
      <c r="P3639">
        <f>G3639*I3639/100</f>
        <v>1249.325</v>
      </c>
      <c r="Q3639">
        <f t="shared" si="33"/>
        <v>136290.00000000003</v>
      </c>
      <c r="R3639">
        <f>K3639/J3639</f>
        <v>1</v>
      </c>
    </row>
    <row r="3640" spans="1:18" x14ac:dyDescent="0.3">
      <c r="A3640">
        <v>33</v>
      </c>
      <c r="B3640">
        <v>1069</v>
      </c>
      <c r="C3640" t="s">
        <v>17</v>
      </c>
      <c r="D3640" t="s">
        <v>15</v>
      </c>
      <c r="E3640">
        <v>42</v>
      </c>
      <c r="F3640" t="s">
        <v>22</v>
      </c>
      <c r="G3640">
        <v>7643.9000000000005</v>
      </c>
      <c r="H3640">
        <v>12291</v>
      </c>
      <c r="I3640">
        <v>14</v>
      </c>
      <c r="J3640">
        <v>6</v>
      </c>
      <c r="K3640">
        <v>5</v>
      </c>
      <c r="L3640">
        <v>0</v>
      </c>
      <c r="M3640">
        <v>1</v>
      </c>
      <c r="N3640">
        <v>4</v>
      </c>
      <c r="P3640">
        <f>G3640*I3640/100</f>
        <v>1070.146</v>
      </c>
      <c r="Q3640">
        <f t="shared" si="33"/>
        <v>91726.8</v>
      </c>
      <c r="R3640">
        <f>K3640/J3640</f>
        <v>0.83333333333333337</v>
      </c>
    </row>
    <row r="3641" spans="1:18" x14ac:dyDescent="0.3">
      <c r="A3641">
        <v>37</v>
      </c>
      <c r="B3641">
        <v>625</v>
      </c>
      <c r="C3641" t="s">
        <v>14</v>
      </c>
      <c r="D3641" t="s">
        <v>18</v>
      </c>
      <c r="E3641">
        <v>46</v>
      </c>
      <c r="F3641" t="s">
        <v>16</v>
      </c>
      <c r="G3641">
        <v>11669.900000000001</v>
      </c>
      <c r="H3641">
        <v>14922</v>
      </c>
      <c r="I3641">
        <v>11</v>
      </c>
      <c r="J3641">
        <v>17</v>
      </c>
      <c r="K3641">
        <v>14</v>
      </c>
      <c r="L3641">
        <v>1</v>
      </c>
      <c r="M3641">
        <v>11</v>
      </c>
      <c r="N3641">
        <v>7</v>
      </c>
      <c r="P3641">
        <f>G3641*I3641/100</f>
        <v>1283.6890000000003</v>
      </c>
      <c r="Q3641">
        <f t="shared" si="33"/>
        <v>140038.80000000002</v>
      </c>
      <c r="R3641">
        <f>K3641/J3641</f>
        <v>0.82352941176470584</v>
      </c>
    </row>
    <row r="3642" spans="1:18" x14ac:dyDescent="0.3">
      <c r="A3642">
        <v>45</v>
      </c>
      <c r="B3642">
        <v>805</v>
      </c>
      <c r="C3642" t="s">
        <v>17</v>
      </c>
      <c r="D3642" t="s">
        <v>18</v>
      </c>
      <c r="E3642">
        <v>57</v>
      </c>
      <c r="F3642" t="s">
        <v>20</v>
      </c>
      <c r="G3642">
        <v>4891.7000000000007</v>
      </c>
      <c r="H3642">
        <v>23163</v>
      </c>
      <c r="I3642">
        <v>12</v>
      </c>
      <c r="J3642">
        <v>9</v>
      </c>
      <c r="K3642">
        <v>9</v>
      </c>
      <c r="L3642">
        <v>7</v>
      </c>
      <c r="M3642">
        <v>0</v>
      </c>
      <c r="N3642">
        <v>8</v>
      </c>
      <c r="P3642">
        <f>G3642*I3642/100</f>
        <v>587.00400000000013</v>
      </c>
      <c r="Q3642">
        <f t="shared" si="33"/>
        <v>58700.400000000009</v>
      </c>
      <c r="R3642">
        <f>K3642/J3642</f>
        <v>1</v>
      </c>
    </row>
    <row r="3643" spans="1:18" x14ac:dyDescent="0.3">
      <c r="A3643">
        <v>29</v>
      </c>
      <c r="B3643">
        <v>1404</v>
      </c>
      <c r="C3643" t="s">
        <v>14</v>
      </c>
      <c r="D3643" t="s">
        <v>15</v>
      </c>
      <c r="E3643">
        <v>84</v>
      </c>
      <c r="F3643" t="s">
        <v>24</v>
      </c>
      <c r="G3643">
        <v>2372.7000000000003</v>
      </c>
      <c r="H3643">
        <v>18203</v>
      </c>
      <c r="I3643">
        <v>15</v>
      </c>
      <c r="J3643">
        <v>3</v>
      </c>
      <c r="K3643">
        <v>3</v>
      </c>
      <c r="L3643">
        <v>1</v>
      </c>
      <c r="M3643">
        <v>0</v>
      </c>
      <c r="N3643">
        <v>2</v>
      </c>
      <c r="P3643">
        <f>G3643*I3643/100</f>
        <v>355.90500000000009</v>
      </c>
      <c r="Q3643">
        <f t="shared" si="33"/>
        <v>28472.400000000001</v>
      </c>
      <c r="R3643">
        <f>K3643/J3643</f>
        <v>1</v>
      </c>
    </row>
    <row r="3644" spans="1:18" x14ac:dyDescent="0.3">
      <c r="A3644">
        <v>35</v>
      </c>
      <c r="B3644">
        <v>1219</v>
      </c>
      <c r="C3644" t="s">
        <v>14</v>
      </c>
      <c r="D3644" t="s">
        <v>15</v>
      </c>
      <c r="E3644">
        <v>86</v>
      </c>
      <c r="F3644" t="s">
        <v>16</v>
      </c>
      <c r="G3644">
        <v>5061.1000000000004</v>
      </c>
      <c r="H3644">
        <v>6179</v>
      </c>
      <c r="I3644">
        <v>16</v>
      </c>
      <c r="J3644">
        <v>5</v>
      </c>
      <c r="K3644">
        <v>5</v>
      </c>
      <c r="L3644">
        <v>2</v>
      </c>
      <c r="M3644">
        <v>1</v>
      </c>
      <c r="N3644">
        <v>0</v>
      </c>
      <c r="P3644">
        <f>G3644*I3644/100</f>
        <v>809.77600000000007</v>
      </c>
      <c r="Q3644">
        <f t="shared" si="33"/>
        <v>60733.200000000004</v>
      </c>
      <c r="R3644">
        <f>K3644/J3644</f>
        <v>1</v>
      </c>
    </row>
    <row r="3645" spans="1:18" x14ac:dyDescent="0.3">
      <c r="A3645">
        <v>52</v>
      </c>
      <c r="B3645">
        <v>1053</v>
      </c>
      <c r="C3645" t="s">
        <v>17</v>
      </c>
      <c r="D3645" t="s">
        <v>18</v>
      </c>
      <c r="E3645">
        <v>70</v>
      </c>
      <c r="F3645" t="s">
        <v>23</v>
      </c>
      <c r="G3645">
        <v>18808.900000000001</v>
      </c>
      <c r="H3645">
        <v>13829</v>
      </c>
      <c r="I3645">
        <v>15</v>
      </c>
      <c r="J3645">
        <v>26</v>
      </c>
      <c r="K3645">
        <v>9</v>
      </c>
      <c r="L3645">
        <v>8</v>
      </c>
      <c r="M3645">
        <v>7</v>
      </c>
      <c r="N3645">
        <v>8</v>
      </c>
      <c r="P3645">
        <f>G3645*I3645/100</f>
        <v>2821.335</v>
      </c>
      <c r="Q3645">
        <f t="shared" si="33"/>
        <v>225706.80000000002</v>
      </c>
      <c r="R3645">
        <f>K3645/J3645</f>
        <v>0.34615384615384615</v>
      </c>
    </row>
    <row r="3646" spans="1:18" x14ac:dyDescent="0.3">
      <c r="A3646">
        <v>58</v>
      </c>
      <c r="B3646">
        <v>289</v>
      </c>
      <c r="C3646" t="s">
        <v>17</v>
      </c>
      <c r="D3646" t="s">
        <v>18</v>
      </c>
      <c r="E3646">
        <v>51</v>
      </c>
      <c r="F3646" t="s">
        <v>19</v>
      </c>
      <c r="G3646">
        <v>2726.9</v>
      </c>
      <c r="H3646">
        <v>26227</v>
      </c>
      <c r="I3646">
        <v>24</v>
      </c>
      <c r="J3646">
        <v>7</v>
      </c>
      <c r="K3646">
        <v>1</v>
      </c>
      <c r="L3646">
        <v>0</v>
      </c>
      <c r="M3646">
        <v>0</v>
      </c>
      <c r="N3646">
        <v>0</v>
      </c>
      <c r="P3646">
        <f>G3646*I3646/100</f>
        <v>654.45600000000002</v>
      </c>
      <c r="Q3646">
        <f t="shared" si="33"/>
        <v>32722.800000000003</v>
      </c>
      <c r="R3646">
        <f>K3646/J3646</f>
        <v>0.14285714285714285</v>
      </c>
    </row>
    <row r="3647" spans="1:18" x14ac:dyDescent="0.3">
      <c r="A3647">
        <v>53</v>
      </c>
      <c r="B3647">
        <v>1376</v>
      </c>
      <c r="C3647" t="s">
        <v>14</v>
      </c>
      <c r="D3647" t="s">
        <v>18</v>
      </c>
      <c r="E3647">
        <v>45</v>
      </c>
      <c r="F3647" t="s">
        <v>23</v>
      </c>
      <c r="G3647">
        <v>16337.2</v>
      </c>
      <c r="H3647">
        <v>13938</v>
      </c>
      <c r="I3647">
        <v>13</v>
      </c>
      <c r="J3647">
        <v>22</v>
      </c>
      <c r="K3647">
        <v>17</v>
      </c>
      <c r="L3647">
        <v>13</v>
      </c>
      <c r="M3647">
        <v>15</v>
      </c>
      <c r="N3647">
        <v>2</v>
      </c>
      <c r="P3647">
        <f>G3647*I3647/100</f>
        <v>2123.8360000000002</v>
      </c>
      <c r="Q3647">
        <f t="shared" si="33"/>
        <v>196046.40000000002</v>
      </c>
      <c r="R3647">
        <f>K3647/J3647</f>
        <v>0.77272727272727271</v>
      </c>
    </row>
    <row r="3648" spans="1:18" x14ac:dyDescent="0.3">
      <c r="A3648">
        <v>30</v>
      </c>
      <c r="B3648">
        <v>231</v>
      </c>
      <c r="C3648" t="s">
        <v>14</v>
      </c>
      <c r="D3648" t="s">
        <v>18</v>
      </c>
      <c r="E3648">
        <v>62</v>
      </c>
      <c r="F3648" t="s">
        <v>16</v>
      </c>
      <c r="G3648">
        <v>7990.4000000000005</v>
      </c>
      <c r="H3648">
        <v>9977</v>
      </c>
      <c r="I3648">
        <v>11</v>
      </c>
      <c r="J3648">
        <v>10</v>
      </c>
      <c r="K3648">
        <v>8</v>
      </c>
      <c r="L3648">
        <v>4</v>
      </c>
      <c r="M3648">
        <v>7</v>
      </c>
      <c r="N3648">
        <v>7</v>
      </c>
      <c r="P3648">
        <f>G3648*I3648/100</f>
        <v>878.94400000000007</v>
      </c>
      <c r="Q3648">
        <f t="shared" si="33"/>
        <v>95884.800000000003</v>
      </c>
      <c r="R3648">
        <f>K3648/J3648</f>
        <v>0.8</v>
      </c>
    </row>
    <row r="3649" spans="1:18" x14ac:dyDescent="0.3">
      <c r="A3649">
        <v>38</v>
      </c>
      <c r="B3649">
        <v>152</v>
      </c>
      <c r="C3649" t="s">
        <v>14</v>
      </c>
      <c r="D3649" t="s">
        <v>15</v>
      </c>
      <c r="E3649">
        <v>85</v>
      </c>
      <c r="F3649" t="s">
        <v>16</v>
      </c>
      <c r="G3649">
        <v>6232.6</v>
      </c>
      <c r="H3649">
        <v>19899</v>
      </c>
      <c r="I3649">
        <v>13</v>
      </c>
      <c r="J3649">
        <v>6</v>
      </c>
      <c r="K3649">
        <v>5</v>
      </c>
      <c r="L3649">
        <v>3</v>
      </c>
      <c r="M3649">
        <v>1</v>
      </c>
      <c r="N3649">
        <v>3</v>
      </c>
      <c r="P3649">
        <f>G3649*I3649/100</f>
        <v>810.23800000000006</v>
      </c>
      <c r="Q3649">
        <f t="shared" si="33"/>
        <v>74791.200000000012</v>
      </c>
      <c r="R3649">
        <f>K3649/J3649</f>
        <v>0.83333333333333337</v>
      </c>
    </row>
    <row r="3650" spans="1:18" x14ac:dyDescent="0.3">
      <c r="A3650">
        <v>35</v>
      </c>
      <c r="B3650">
        <v>882</v>
      </c>
      <c r="C3650" t="s">
        <v>14</v>
      </c>
      <c r="D3650" t="s">
        <v>18</v>
      </c>
      <c r="E3650">
        <v>92</v>
      </c>
      <c r="F3650" t="s">
        <v>16</v>
      </c>
      <c r="G3650">
        <v>8605.3000000000011</v>
      </c>
      <c r="H3650">
        <v>6812</v>
      </c>
      <c r="I3650">
        <v>13</v>
      </c>
      <c r="J3650">
        <v>12</v>
      </c>
      <c r="K3650">
        <v>10</v>
      </c>
      <c r="L3650">
        <v>9</v>
      </c>
      <c r="M3650">
        <v>0</v>
      </c>
      <c r="N3650">
        <v>8</v>
      </c>
      <c r="P3650">
        <f>G3650*I3650/100</f>
        <v>1118.6890000000001</v>
      </c>
      <c r="Q3650">
        <f t="shared" si="33"/>
        <v>103263.6</v>
      </c>
      <c r="R3650">
        <f>K3650/J3650</f>
        <v>0.83333333333333337</v>
      </c>
    </row>
    <row r="3651" spans="1:18" x14ac:dyDescent="0.3">
      <c r="A3651">
        <v>39</v>
      </c>
      <c r="B3651">
        <v>903</v>
      </c>
      <c r="C3651" t="s">
        <v>14</v>
      </c>
      <c r="D3651" t="s">
        <v>18</v>
      </c>
      <c r="E3651">
        <v>41</v>
      </c>
      <c r="F3651" t="s">
        <v>16</v>
      </c>
      <c r="G3651">
        <v>8668</v>
      </c>
      <c r="H3651">
        <v>2560</v>
      </c>
      <c r="I3651">
        <v>18</v>
      </c>
      <c r="J3651">
        <v>9</v>
      </c>
      <c r="K3651">
        <v>8</v>
      </c>
      <c r="L3651">
        <v>7</v>
      </c>
      <c r="M3651">
        <v>0</v>
      </c>
      <c r="N3651">
        <v>7</v>
      </c>
      <c r="P3651">
        <f>G3651*I3651/100</f>
        <v>1560.24</v>
      </c>
      <c r="Q3651">
        <f t="shared" ref="Q3651:Q3714" si="34">G3651*12</f>
        <v>104016</v>
      </c>
      <c r="R3651">
        <f>K3651/J3651</f>
        <v>0.88888888888888884</v>
      </c>
    </row>
    <row r="3652" spans="1:18" x14ac:dyDescent="0.3">
      <c r="A3652">
        <v>40</v>
      </c>
      <c r="B3652">
        <v>1479</v>
      </c>
      <c r="C3652" t="s">
        <v>14</v>
      </c>
      <c r="D3652" t="s">
        <v>15</v>
      </c>
      <c r="E3652">
        <v>100</v>
      </c>
      <c r="F3652" t="s">
        <v>16</v>
      </c>
      <c r="G3652">
        <v>14513.400000000001</v>
      </c>
      <c r="H3652">
        <v>17071</v>
      </c>
      <c r="I3652">
        <v>16</v>
      </c>
      <c r="J3652">
        <v>22</v>
      </c>
      <c r="K3652">
        <v>1</v>
      </c>
      <c r="L3652">
        <v>0</v>
      </c>
      <c r="M3652">
        <v>0</v>
      </c>
      <c r="N3652">
        <v>0</v>
      </c>
      <c r="P3652">
        <f>G3652*I3652/100</f>
        <v>2322.1440000000002</v>
      </c>
      <c r="Q3652">
        <f t="shared" si="34"/>
        <v>174160.80000000002</v>
      </c>
      <c r="R3652">
        <f>K3652/J3652</f>
        <v>4.5454545454545456E-2</v>
      </c>
    </row>
    <row r="3653" spans="1:18" x14ac:dyDescent="0.3">
      <c r="A3653">
        <v>47</v>
      </c>
      <c r="B3653">
        <v>1379</v>
      </c>
      <c r="C3653" t="s">
        <v>17</v>
      </c>
      <c r="D3653" t="s">
        <v>18</v>
      </c>
      <c r="E3653">
        <v>64</v>
      </c>
      <c r="F3653" t="s">
        <v>21</v>
      </c>
      <c r="G3653">
        <v>5573.7000000000007</v>
      </c>
      <c r="H3653">
        <v>6759</v>
      </c>
      <c r="I3653">
        <v>19</v>
      </c>
      <c r="J3653">
        <v>20</v>
      </c>
      <c r="K3653">
        <v>19</v>
      </c>
      <c r="L3653">
        <v>10</v>
      </c>
      <c r="M3653">
        <v>2</v>
      </c>
      <c r="N3653">
        <v>7</v>
      </c>
      <c r="P3653">
        <f>G3653*I3653/100</f>
        <v>1059.0030000000002</v>
      </c>
      <c r="Q3653">
        <f t="shared" si="34"/>
        <v>66884.400000000009</v>
      </c>
      <c r="R3653">
        <f>K3653/J3653</f>
        <v>0.95</v>
      </c>
    </row>
    <row r="3654" spans="1:18" x14ac:dyDescent="0.3">
      <c r="A3654">
        <v>36</v>
      </c>
      <c r="B3654">
        <v>1229</v>
      </c>
      <c r="C3654" t="s">
        <v>14</v>
      </c>
      <c r="D3654" t="s">
        <v>18</v>
      </c>
      <c r="E3654">
        <v>84</v>
      </c>
      <c r="F3654" t="s">
        <v>16</v>
      </c>
      <c r="G3654">
        <v>5586.9000000000005</v>
      </c>
      <c r="H3654">
        <v>25952</v>
      </c>
      <c r="I3654">
        <v>13</v>
      </c>
      <c r="J3654">
        <v>12</v>
      </c>
      <c r="K3654">
        <v>7</v>
      </c>
      <c r="L3654">
        <v>7</v>
      </c>
      <c r="M3654">
        <v>0</v>
      </c>
      <c r="N3654">
        <v>7</v>
      </c>
      <c r="P3654">
        <f>G3654*I3654/100</f>
        <v>726.29700000000014</v>
      </c>
      <c r="Q3654">
        <f t="shared" si="34"/>
        <v>67042.8</v>
      </c>
      <c r="R3654">
        <f>K3654/J3654</f>
        <v>0.58333333333333337</v>
      </c>
    </row>
    <row r="3655" spans="1:18" x14ac:dyDescent="0.3">
      <c r="A3655">
        <v>31</v>
      </c>
      <c r="B3655">
        <v>335</v>
      </c>
      <c r="C3655" t="s">
        <v>17</v>
      </c>
      <c r="D3655" t="s">
        <v>18</v>
      </c>
      <c r="E3655">
        <v>46</v>
      </c>
      <c r="F3655" t="s">
        <v>19</v>
      </c>
      <c r="G3655">
        <v>2553.1000000000004</v>
      </c>
      <c r="H3655">
        <v>10322</v>
      </c>
      <c r="I3655">
        <v>22</v>
      </c>
      <c r="J3655">
        <v>4</v>
      </c>
      <c r="K3655">
        <v>3</v>
      </c>
      <c r="L3655">
        <v>2</v>
      </c>
      <c r="M3655">
        <v>1</v>
      </c>
      <c r="N3655">
        <v>2</v>
      </c>
      <c r="P3655">
        <f>G3655*I3655/100</f>
        <v>561.68200000000013</v>
      </c>
      <c r="Q3655">
        <f t="shared" si="34"/>
        <v>30637.200000000004</v>
      </c>
      <c r="R3655">
        <f>K3655/J3655</f>
        <v>0.75</v>
      </c>
    </row>
    <row r="3656" spans="1:18" x14ac:dyDescent="0.3">
      <c r="A3656">
        <v>33</v>
      </c>
      <c r="B3656">
        <v>722</v>
      </c>
      <c r="C3656" t="s">
        <v>14</v>
      </c>
      <c r="D3656" t="s">
        <v>18</v>
      </c>
      <c r="E3656">
        <v>38</v>
      </c>
      <c r="F3656" t="s">
        <v>23</v>
      </c>
      <c r="G3656">
        <v>19188.400000000001</v>
      </c>
      <c r="H3656">
        <v>20489</v>
      </c>
      <c r="I3656">
        <v>11</v>
      </c>
      <c r="J3656">
        <v>10</v>
      </c>
      <c r="K3656">
        <v>10</v>
      </c>
      <c r="L3656">
        <v>8</v>
      </c>
      <c r="M3656">
        <v>6</v>
      </c>
      <c r="N3656">
        <v>0</v>
      </c>
      <c r="P3656">
        <f>G3656*I3656/100</f>
        <v>2110.7240000000002</v>
      </c>
      <c r="Q3656">
        <f t="shared" si="34"/>
        <v>230260.80000000002</v>
      </c>
      <c r="R3656">
        <f>K3656/J3656</f>
        <v>1</v>
      </c>
    </row>
    <row r="3657" spans="1:18" x14ac:dyDescent="0.3">
      <c r="A3657">
        <v>29</v>
      </c>
      <c r="B3657">
        <v>906</v>
      </c>
      <c r="C3657" t="s">
        <v>17</v>
      </c>
      <c r="D3657" t="s">
        <v>15</v>
      </c>
      <c r="E3657">
        <v>92</v>
      </c>
      <c r="F3657" t="s">
        <v>19</v>
      </c>
      <c r="G3657">
        <v>2644.4</v>
      </c>
      <c r="H3657">
        <v>11479</v>
      </c>
      <c r="I3657">
        <v>20</v>
      </c>
      <c r="J3657">
        <v>3</v>
      </c>
      <c r="K3657">
        <v>0</v>
      </c>
      <c r="L3657">
        <v>0</v>
      </c>
      <c r="M3657">
        <v>0</v>
      </c>
      <c r="N3657">
        <v>0</v>
      </c>
      <c r="P3657">
        <f>G3657*I3657/100</f>
        <v>528.88</v>
      </c>
      <c r="Q3657">
        <f t="shared" si="34"/>
        <v>31732.800000000003</v>
      </c>
      <c r="R3657">
        <f>K3657/J3657</f>
        <v>0</v>
      </c>
    </row>
    <row r="3658" spans="1:18" x14ac:dyDescent="0.3">
      <c r="A3658">
        <v>33</v>
      </c>
      <c r="B3658">
        <v>461</v>
      </c>
      <c r="C3658" t="s">
        <v>17</v>
      </c>
      <c r="D3658" t="s">
        <v>15</v>
      </c>
      <c r="E3658">
        <v>53</v>
      </c>
      <c r="F3658" t="s">
        <v>19</v>
      </c>
      <c r="G3658">
        <v>3797.2000000000003</v>
      </c>
      <c r="H3658">
        <v>17241</v>
      </c>
      <c r="I3658">
        <v>18</v>
      </c>
      <c r="J3658">
        <v>5</v>
      </c>
      <c r="K3658">
        <v>3</v>
      </c>
      <c r="L3658">
        <v>2</v>
      </c>
      <c r="M3658">
        <v>0</v>
      </c>
      <c r="N3658">
        <v>2</v>
      </c>
      <c r="P3658">
        <f>G3658*I3658/100</f>
        <v>683.49600000000009</v>
      </c>
      <c r="Q3658">
        <f t="shared" si="34"/>
        <v>45566.400000000001</v>
      </c>
      <c r="R3658">
        <f>K3658/J3658</f>
        <v>0.6</v>
      </c>
    </row>
    <row r="3659" spans="1:18" x14ac:dyDescent="0.3">
      <c r="A3659">
        <v>45</v>
      </c>
      <c r="B3659">
        <v>974</v>
      </c>
      <c r="C3659" t="s">
        <v>17</v>
      </c>
      <c r="D3659" t="s">
        <v>15</v>
      </c>
      <c r="E3659">
        <v>91</v>
      </c>
      <c r="F3659" t="s">
        <v>20</v>
      </c>
      <c r="G3659">
        <v>2497</v>
      </c>
      <c r="H3659">
        <v>11005</v>
      </c>
      <c r="I3659">
        <v>14</v>
      </c>
      <c r="J3659">
        <v>8</v>
      </c>
      <c r="K3659">
        <v>5</v>
      </c>
      <c r="L3659">
        <v>3</v>
      </c>
      <c r="M3659">
        <v>0</v>
      </c>
      <c r="N3659">
        <v>2</v>
      </c>
      <c r="P3659">
        <f>G3659*I3659/100</f>
        <v>349.58</v>
      </c>
      <c r="Q3659">
        <f t="shared" si="34"/>
        <v>29964</v>
      </c>
      <c r="R3659">
        <f>K3659/J3659</f>
        <v>0.625</v>
      </c>
    </row>
    <row r="3660" spans="1:18" x14ac:dyDescent="0.3">
      <c r="A3660">
        <v>50</v>
      </c>
      <c r="B3660">
        <v>1126</v>
      </c>
      <c r="C3660" t="s">
        <v>17</v>
      </c>
      <c r="D3660" t="s">
        <v>18</v>
      </c>
      <c r="E3660">
        <v>66</v>
      </c>
      <c r="F3660" t="s">
        <v>25</v>
      </c>
      <c r="G3660">
        <v>19138.900000000001</v>
      </c>
      <c r="H3660">
        <v>6615</v>
      </c>
      <c r="I3660">
        <v>22</v>
      </c>
      <c r="J3660">
        <v>32</v>
      </c>
      <c r="K3660">
        <v>5</v>
      </c>
      <c r="L3660">
        <v>4</v>
      </c>
      <c r="M3660">
        <v>1</v>
      </c>
      <c r="N3660">
        <v>3</v>
      </c>
      <c r="P3660">
        <f>G3660*I3660/100</f>
        <v>4210.5580000000009</v>
      </c>
      <c r="Q3660">
        <f t="shared" si="34"/>
        <v>229666.80000000002</v>
      </c>
      <c r="R3660">
        <f>K3660/J3660</f>
        <v>0.15625</v>
      </c>
    </row>
    <row r="3661" spans="1:18" x14ac:dyDescent="0.3">
      <c r="A3661">
        <v>33</v>
      </c>
      <c r="B3661">
        <v>827</v>
      </c>
      <c r="C3661" t="s">
        <v>17</v>
      </c>
      <c r="D3661" t="s">
        <v>15</v>
      </c>
      <c r="E3661">
        <v>84</v>
      </c>
      <c r="F3661" t="s">
        <v>22</v>
      </c>
      <c r="G3661">
        <v>6036.8</v>
      </c>
      <c r="H3661">
        <v>20161</v>
      </c>
      <c r="I3661">
        <v>13</v>
      </c>
      <c r="J3661">
        <v>6</v>
      </c>
      <c r="K3661">
        <v>6</v>
      </c>
      <c r="L3661">
        <v>5</v>
      </c>
      <c r="M3661">
        <v>1</v>
      </c>
      <c r="N3661">
        <v>2</v>
      </c>
      <c r="P3661">
        <f>G3661*I3661/100</f>
        <v>784.78400000000011</v>
      </c>
      <c r="Q3661">
        <f t="shared" si="34"/>
        <v>72441.600000000006</v>
      </c>
      <c r="R3661">
        <f>K3661/J3661</f>
        <v>1</v>
      </c>
    </row>
    <row r="3662" spans="1:18" x14ac:dyDescent="0.3">
      <c r="A3662">
        <v>41</v>
      </c>
      <c r="B3662">
        <v>840</v>
      </c>
      <c r="C3662" t="s">
        <v>17</v>
      </c>
      <c r="D3662" t="s">
        <v>18</v>
      </c>
      <c r="E3662">
        <v>64</v>
      </c>
      <c r="F3662" t="s">
        <v>25</v>
      </c>
      <c r="G3662">
        <v>21360.9</v>
      </c>
      <c r="H3662">
        <v>3735</v>
      </c>
      <c r="I3662">
        <v>17</v>
      </c>
      <c r="J3662">
        <v>21</v>
      </c>
      <c r="K3662">
        <v>18</v>
      </c>
      <c r="L3662">
        <v>16</v>
      </c>
      <c r="M3662">
        <v>0</v>
      </c>
      <c r="N3662">
        <v>11</v>
      </c>
      <c r="P3662">
        <f>G3662*I3662/100</f>
        <v>3631.3530000000005</v>
      </c>
      <c r="Q3662">
        <f t="shared" si="34"/>
        <v>256330.80000000002</v>
      </c>
      <c r="R3662">
        <f>K3662/J3662</f>
        <v>0.8571428571428571</v>
      </c>
    </row>
    <row r="3663" spans="1:18" x14ac:dyDescent="0.3">
      <c r="A3663">
        <v>27</v>
      </c>
      <c r="B3663">
        <v>1134</v>
      </c>
      <c r="C3663" t="s">
        <v>17</v>
      </c>
      <c r="D3663" t="s">
        <v>15</v>
      </c>
      <c r="E3663">
        <v>37</v>
      </c>
      <c r="F3663" t="s">
        <v>20</v>
      </c>
      <c r="G3663">
        <v>3092.1000000000004</v>
      </c>
      <c r="H3663">
        <v>12086</v>
      </c>
      <c r="I3663">
        <v>14</v>
      </c>
      <c r="J3663">
        <v>4</v>
      </c>
      <c r="K3663">
        <v>2</v>
      </c>
      <c r="L3663">
        <v>2</v>
      </c>
      <c r="M3663">
        <v>2</v>
      </c>
      <c r="N3663">
        <v>2</v>
      </c>
      <c r="P3663">
        <f>G3663*I3663/100</f>
        <v>432.89400000000006</v>
      </c>
      <c r="Q3663">
        <f t="shared" si="34"/>
        <v>37105.200000000004</v>
      </c>
      <c r="R3663">
        <f>K3663/J3663</f>
        <v>0.5</v>
      </c>
    </row>
    <row r="3664" spans="1:18" x14ac:dyDescent="0.3">
      <c r="A3664">
        <v>45</v>
      </c>
      <c r="B3664">
        <v>248</v>
      </c>
      <c r="C3664" t="s">
        <v>17</v>
      </c>
      <c r="D3664" t="s">
        <v>18</v>
      </c>
      <c r="E3664">
        <v>42</v>
      </c>
      <c r="F3664" t="s">
        <v>20</v>
      </c>
      <c r="G3664">
        <v>3996.3</v>
      </c>
      <c r="H3664">
        <v>14039</v>
      </c>
      <c r="I3664">
        <v>15</v>
      </c>
      <c r="J3664">
        <v>9</v>
      </c>
      <c r="K3664">
        <v>9</v>
      </c>
      <c r="L3664">
        <v>8</v>
      </c>
      <c r="M3664">
        <v>0</v>
      </c>
      <c r="N3664">
        <v>8</v>
      </c>
      <c r="P3664">
        <f>G3664*I3664/100</f>
        <v>599.44500000000005</v>
      </c>
      <c r="Q3664">
        <f t="shared" si="34"/>
        <v>47955.600000000006</v>
      </c>
      <c r="R3664">
        <f>K3664/J3664</f>
        <v>1</v>
      </c>
    </row>
    <row r="3665" spans="1:18" x14ac:dyDescent="0.3">
      <c r="A3665">
        <v>47</v>
      </c>
      <c r="B3665">
        <v>955</v>
      </c>
      <c r="C3665" t="s">
        <v>14</v>
      </c>
      <c r="D3665" t="s">
        <v>15</v>
      </c>
      <c r="E3665">
        <v>83</v>
      </c>
      <c r="F3665" t="s">
        <v>16</v>
      </c>
      <c r="G3665">
        <v>4579.3</v>
      </c>
      <c r="H3665">
        <v>8571</v>
      </c>
      <c r="I3665">
        <v>17</v>
      </c>
      <c r="J3665">
        <v>9</v>
      </c>
      <c r="K3665">
        <v>9</v>
      </c>
      <c r="L3665">
        <v>0</v>
      </c>
      <c r="M3665">
        <v>0</v>
      </c>
      <c r="N3665">
        <v>7</v>
      </c>
      <c r="P3665">
        <f>G3665*I3665/100</f>
        <v>778.48100000000011</v>
      </c>
      <c r="Q3665">
        <f t="shared" si="34"/>
        <v>54951.600000000006</v>
      </c>
      <c r="R3665">
        <f>K3665/J3665</f>
        <v>1</v>
      </c>
    </row>
    <row r="3666" spans="1:18" x14ac:dyDescent="0.3">
      <c r="A3666">
        <v>30</v>
      </c>
      <c r="B3666">
        <v>138</v>
      </c>
      <c r="C3666" t="s">
        <v>17</v>
      </c>
      <c r="D3666" t="s">
        <v>15</v>
      </c>
      <c r="E3666">
        <v>48</v>
      </c>
      <c r="F3666" t="s">
        <v>19</v>
      </c>
      <c r="G3666">
        <v>2345.2000000000003</v>
      </c>
      <c r="H3666">
        <v>11539</v>
      </c>
      <c r="I3666">
        <v>11</v>
      </c>
      <c r="J3666">
        <v>7</v>
      </c>
      <c r="K3666">
        <v>5</v>
      </c>
      <c r="L3666">
        <v>2</v>
      </c>
      <c r="M3666">
        <v>0</v>
      </c>
      <c r="N3666">
        <v>1</v>
      </c>
      <c r="P3666">
        <f>G3666*I3666/100</f>
        <v>257.97200000000004</v>
      </c>
      <c r="Q3666">
        <f t="shared" si="34"/>
        <v>28142.400000000001</v>
      </c>
      <c r="R3666">
        <f>K3666/J3666</f>
        <v>0.7142857142857143</v>
      </c>
    </row>
    <row r="3667" spans="1:18" x14ac:dyDescent="0.3">
      <c r="A3667">
        <v>50</v>
      </c>
      <c r="B3667">
        <v>939</v>
      </c>
      <c r="C3667" t="s">
        <v>17</v>
      </c>
      <c r="D3667" t="s">
        <v>18</v>
      </c>
      <c r="E3667">
        <v>95</v>
      </c>
      <c r="F3667" t="s">
        <v>21</v>
      </c>
      <c r="G3667">
        <v>15370.300000000001</v>
      </c>
      <c r="H3667">
        <v>4161</v>
      </c>
      <c r="I3667">
        <v>18</v>
      </c>
      <c r="J3667">
        <v>22</v>
      </c>
      <c r="K3667">
        <v>12</v>
      </c>
      <c r="L3667">
        <v>11</v>
      </c>
      <c r="M3667">
        <v>1</v>
      </c>
      <c r="N3667">
        <v>5</v>
      </c>
      <c r="P3667">
        <f>G3667*I3667/100</f>
        <v>2766.6540000000005</v>
      </c>
      <c r="Q3667">
        <f t="shared" si="34"/>
        <v>184443.6</v>
      </c>
      <c r="R3667">
        <f>K3667/J3667</f>
        <v>0.54545454545454541</v>
      </c>
    </row>
    <row r="3668" spans="1:18" x14ac:dyDescent="0.3">
      <c r="A3668">
        <v>38</v>
      </c>
      <c r="B3668">
        <v>1391</v>
      </c>
      <c r="C3668" t="s">
        <v>17</v>
      </c>
      <c r="D3668" t="s">
        <v>18</v>
      </c>
      <c r="E3668">
        <v>66</v>
      </c>
      <c r="F3668" t="s">
        <v>19</v>
      </c>
      <c r="G3668">
        <v>2952.4</v>
      </c>
      <c r="H3668">
        <v>12127</v>
      </c>
      <c r="I3668">
        <v>17</v>
      </c>
      <c r="J3668">
        <v>3</v>
      </c>
      <c r="K3668">
        <v>2</v>
      </c>
      <c r="L3668">
        <v>1</v>
      </c>
      <c r="M3668">
        <v>0</v>
      </c>
      <c r="N3668">
        <v>2</v>
      </c>
      <c r="P3668">
        <f>G3668*I3668/100</f>
        <v>501.90800000000002</v>
      </c>
      <c r="Q3668">
        <f t="shared" si="34"/>
        <v>35428.800000000003</v>
      </c>
      <c r="R3668">
        <f>K3668/J3668</f>
        <v>0.66666666666666663</v>
      </c>
    </row>
    <row r="3669" spans="1:18" x14ac:dyDescent="0.3">
      <c r="A3669">
        <v>46</v>
      </c>
      <c r="B3669">
        <v>566</v>
      </c>
      <c r="C3669" t="s">
        <v>17</v>
      </c>
      <c r="D3669" t="s">
        <v>18</v>
      </c>
      <c r="E3669">
        <v>75</v>
      </c>
      <c r="F3669" t="s">
        <v>21</v>
      </c>
      <c r="G3669">
        <v>11929.500000000002</v>
      </c>
      <c r="H3669">
        <v>24208</v>
      </c>
      <c r="I3669">
        <v>13</v>
      </c>
      <c r="J3669">
        <v>13</v>
      </c>
      <c r="K3669">
        <v>8</v>
      </c>
      <c r="L3669">
        <v>7</v>
      </c>
      <c r="M3669">
        <v>0</v>
      </c>
      <c r="N3669">
        <v>7</v>
      </c>
      <c r="P3669">
        <f>G3669*I3669/100</f>
        <v>1550.8350000000003</v>
      </c>
      <c r="Q3669">
        <f t="shared" si="34"/>
        <v>143154.00000000003</v>
      </c>
      <c r="R3669">
        <f>K3669/J3669</f>
        <v>0.61538461538461542</v>
      </c>
    </row>
    <row r="3670" spans="1:18" x14ac:dyDescent="0.3">
      <c r="A3670">
        <v>24</v>
      </c>
      <c r="B3670">
        <v>1206</v>
      </c>
      <c r="C3670" t="s">
        <v>17</v>
      </c>
      <c r="D3670" t="s">
        <v>15</v>
      </c>
      <c r="E3670">
        <v>41</v>
      </c>
      <c r="F3670" t="s">
        <v>21</v>
      </c>
      <c r="G3670">
        <v>4814.7000000000007</v>
      </c>
      <c r="H3670">
        <v>24117</v>
      </c>
      <c r="I3670">
        <v>15</v>
      </c>
      <c r="J3670">
        <v>5</v>
      </c>
      <c r="K3670">
        <v>4</v>
      </c>
      <c r="L3670">
        <v>2</v>
      </c>
      <c r="M3670">
        <v>3</v>
      </c>
      <c r="N3670">
        <v>2</v>
      </c>
      <c r="P3670">
        <f>G3670*I3670/100</f>
        <v>722.20500000000015</v>
      </c>
      <c r="Q3670">
        <f t="shared" si="34"/>
        <v>57776.400000000009</v>
      </c>
      <c r="R3670">
        <f>K3670/J3670</f>
        <v>0.8</v>
      </c>
    </row>
    <row r="3671" spans="1:18" x14ac:dyDescent="0.3">
      <c r="A3671">
        <v>35</v>
      </c>
      <c r="B3671">
        <v>622</v>
      </c>
      <c r="C3671" t="s">
        <v>17</v>
      </c>
      <c r="D3671" t="s">
        <v>18</v>
      </c>
      <c r="E3671">
        <v>39</v>
      </c>
      <c r="F3671" t="s">
        <v>20</v>
      </c>
      <c r="G3671">
        <v>4117.3</v>
      </c>
      <c r="H3671">
        <v>10074</v>
      </c>
      <c r="I3671">
        <v>24</v>
      </c>
      <c r="J3671">
        <v>5</v>
      </c>
      <c r="K3671">
        <v>4</v>
      </c>
      <c r="L3671">
        <v>2</v>
      </c>
      <c r="M3671">
        <v>0</v>
      </c>
      <c r="N3671">
        <v>2</v>
      </c>
      <c r="P3671">
        <f>G3671*I3671/100</f>
        <v>988.15200000000016</v>
      </c>
      <c r="Q3671">
        <f t="shared" si="34"/>
        <v>49407.600000000006</v>
      </c>
      <c r="R3671">
        <f>K3671/J3671</f>
        <v>0.8</v>
      </c>
    </row>
    <row r="3672" spans="1:18" x14ac:dyDescent="0.3">
      <c r="A3672">
        <v>31</v>
      </c>
      <c r="B3672">
        <v>853</v>
      </c>
      <c r="C3672" t="s">
        <v>17</v>
      </c>
      <c r="D3672" t="s">
        <v>15</v>
      </c>
      <c r="E3672">
        <v>96</v>
      </c>
      <c r="F3672" t="s">
        <v>21</v>
      </c>
      <c r="G3672">
        <v>4562.8</v>
      </c>
      <c r="H3672">
        <v>11275</v>
      </c>
      <c r="I3672">
        <v>12</v>
      </c>
      <c r="J3672">
        <v>4</v>
      </c>
      <c r="K3672">
        <v>4</v>
      </c>
      <c r="L3672">
        <v>3</v>
      </c>
      <c r="M3672">
        <v>0</v>
      </c>
      <c r="N3672">
        <v>3</v>
      </c>
      <c r="P3672">
        <f>G3672*I3672/100</f>
        <v>547.53600000000006</v>
      </c>
      <c r="Q3672">
        <f t="shared" si="34"/>
        <v>54753.600000000006</v>
      </c>
      <c r="R3672">
        <f>K3672/J3672</f>
        <v>1</v>
      </c>
    </row>
    <row r="3673" spans="1:18" x14ac:dyDescent="0.3">
      <c r="A3673">
        <v>18</v>
      </c>
      <c r="B3673">
        <v>287</v>
      </c>
      <c r="C3673" t="s">
        <v>17</v>
      </c>
      <c r="D3673" t="s">
        <v>18</v>
      </c>
      <c r="E3673">
        <v>73</v>
      </c>
      <c r="F3673" t="s">
        <v>19</v>
      </c>
      <c r="G3673">
        <v>1156.1000000000001</v>
      </c>
      <c r="H3673">
        <v>13493</v>
      </c>
      <c r="I3673">
        <v>15</v>
      </c>
      <c r="J3673">
        <v>0</v>
      </c>
      <c r="K3673">
        <v>0</v>
      </c>
      <c r="L3673">
        <v>0</v>
      </c>
      <c r="M3673">
        <v>0</v>
      </c>
      <c r="N3673">
        <v>0</v>
      </c>
      <c r="P3673">
        <f>G3673*I3673/100</f>
        <v>173.41500000000005</v>
      </c>
      <c r="Q3673">
        <f t="shared" si="34"/>
        <v>13873.2</v>
      </c>
      <c r="R3673" t="e">
        <f>K3673/J3673</f>
        <v>#DIV/0!</v>
      </c>
    </row>
    <row r="3674" spans="1:18" x14ac:dyDescent="0.3">
      <c r="A3674">
        <v>54</v>
      </c>
      <c r="B3674">
        <v>1441</v>
      </c>
      <c r="C3674" t="s">
        <v>17</v>
      </c>
      <c r="D3674" t="s">
        <v>15</v>
      </c>
      <c r="E3674">
        <v>56</v>
      </c>
      <c r="F3674" t="s">
        <v>21</v>
      </c>
      <c r="G3674">
        <v>11812.900000000001</v>
      </c>
      <c r="H3674">
        <v>13943</v>
      </c>
      <c r="I3674">
        <v>11</v>
      </c>
      <c r="J3674">
        <v>22</v>
      </c>
      <c r="K3674">
        <v>10</v>
      </c>
      <c r="L3674">
        <v>7</v>
      </c>
      <c r="M3674">
        <v>0</v>
      </c>
      <c r="N3674">
        <v>8</v>
      </c>
      <c r="P3674">
        <f>G3674*I3674/100</f>
        <v>1299.4190000000003</v>
      </c>
      <c r="Q3674">
        <f t="shared" si="34"/>
        <v>141754.80000000002</v>
      </c>
      <c r="R3674">
        <f>K3674/J3674</f>
        <v>0.45454545454545453</v>
      </c>
    </row>
    <row r="3675" spans="1:18" x14ac:dyDescent="0.3">
      <c r="A3675">
        <v>35</v>
      </c>
      <c r="B3675">
        <v>583</v>
      </c>
      <c r="C3675" t="s">
        <v>17</v>
      </c>
      <c r="D3675" t="s">
        <v>15</v>
      </c>
      <c r="E3675">
        <v>57</v>
      </c>
      <c r="F3675" t="s">
        <v>22</v>
      </c>
      <c r="G3675">
        <v>11426.800000000001</v>
      </c>
      <c r="H3675">
        <v>6975</v>
      </c>
      <c r="I3675">
        <v>11</v>
      </c>
      <c r="J3675">
        <v>16</v>
      </c>
      <c r="K3675">
        <v>16</v>
      </c>
      <c r="L3675">
        <v>10</v>
      </c>
      <c r="M3675">
        <v>10</v>
      </c>
      <c r="N3675">
        <v>1</v>
      </c>
      <c r="P3675">
        <f>G3675*I3675/100</f>
        <v>1256.9480000000001</v>
      </c>
      <c r="Q3675">
        <f t="shared" si="34"/>
        <v>137121.60000000001</v>
      </c>
      <c r="R3675">
        <f>K3675/J3675</f>
        <v>1</v>
      </c>
    </row>
    <row r="3676" spans="1:18" x14ac:dyDescent="0.3">
      <c r="A3676">
        <v>30</v>
      </c>
      <c r="B3676">
        <v>153</v>
      </c>
      <c r="C3676" t="s">
        <v>17</v>
      </c>
      <c r="D3676" t="s">
        <v>15</v>
      </c>
      <c r="E3676">
        <v>73</v>
      </c>
      <c r="F3676" t="s">
        <v>25</v>
      </c>
      <c r="G3676">
        <v>12557.6</v>
      </c>
      <c r="H3676">
        <v>17802</v>
      </c>
      <c r="I3676">
        <v>12</v>
      </c>
      <c r="J3676">
        <v>9</v>
      </c>
      <c r="K3676">
        <v>8</v>
      </c>
      <c r="L3676">
        <v>7</v>
      </c>
      <c r="M3676">
        <v>1</v>
      </c>
      <c r="N3676">
        <v>7</v>
      </c>
      <c r="P3676">
        <f>G3676*I3676/100</f>
        <v>1506.912</v>
      </c>
      <c r="Q3676">
        <f t="shared" si="34"/>
        <v>150691.20000000001</v>
      </c>
      <c r="R3676">
        <f>K3676/J3676</f>
        <v>0.88888888888888884</v>
      </c>
    </row>
    <row r="3677" spans="1:18" x14ac:dyDescent="0.3">
      <c r="A3677">
        <v>20</v>
      </c>
      <c r="B3677">
        <v>1097</v>
      </c>
      <c r="C3677" t="s">
        <v>17</v>
      </c>
      <c r="D3677" t="s">
        <v>15</v>
      </c>
      <c r="E3677">
        <v>98</v>
      </c>
      <c r="F3677" t="s">
        <v>19</v>
      </c>
      <c r="G3677">
        <v>2860.0000000000005</v>
      </c>
      <c r="H3677">
        <v>18275</v>
      </c>
      <c r="I3677">
        <v>15</v>
      </c>
      <c r="J3677">
        <v>1</v>
      </c>
      <c r="K3677">
        <v>1</v>
      </c>
      <c r="L3677">
        <v>0</v>
      </c>
      <c r="M3677">
        <v>0</v>
      </c>
      <c r="N3677">
        <v>0</v>
      </c>
      <c r="P3677">
        <f>G3677*I3677/100</f>
        <v>429.00000000000006</v>
      </c>
      <c r="Q3677">
        <f t="shared" si="34"/>
        <v>34320.000000000007</v>
      </c>
      <c r="R3677">
        <f>K3677/J3677</f>
        <v>1</v>
      </c>
    </row>
    <row r="3678" spans="1:18" x14ac:dyDescent="0.3">
      <c r="A3678">
        <v>30</v>
      </c>
      <c r="B3678">
        <v>109</v>
      </c>
      <c r="C3678" t="s">
        <v>17</v>
      </c>
      <c r="D3678" t="s">
        <v>15</v>
      </c>
      <c r="E3678">
        <v>60</v>
      </c>
      <c r="F3678" t="s">
        <v>20</v>
      </c>
      <c r="G3678">
        <v>2664.2000000000003</v>
      </c>
      <c r="H3678">
        <v>25725</v>
      </c>
      <c r="I3678">
        <v>17</v>
      </c>
      <c r="J3678">
        <v>4</v>
      </c>
      <c r="K3678">
        <v>3</v>
      </c>
      <c r="L3678">
        <v>2</v>
      </c>
      <c r="M3678">
        <v>1</v>
      </c>
      <c r="N3678">
        <v>2</v>
      </c>
      <c r="P3678">
        <f>G3678*I3678/100</f>
        <v>452.91399999999999</v>
      </c>
      <c r="Q3678">
        <f t="shared" si="34"/>
        <v>31970.400000000001</v>
      </c>
      <c r="R3678">
        <f>K3678/J3678</f>
        <v>0.75</v>
      </c>
    </row>
    <row r="3679" spans="1:18" x14ac:dyDescent="0.3">
      <c r="A3679">
        <v>26</v>
      </c>
      <c r="B3679">
        <v>1066</v>
      </c>
      <c r="C3679" t="s">
        <v>17</v>
      </c>
      <c r="D3679" t="s">
        <v>18</v>
      </c>
      <c r="E3679">
        <v>32</v>
      </c>
      <c r="F3679" t="s">
        <v>21</v>
      </c>
      <c r="G3679">
        <v>6019.2000000000007</v>
      </c>
      <c r="H3679">
        <v>3334</v>
      </c>
      <c r="I3679">
        <v>12</v>
      </c>
      <c r="J3679">
        <v>8</v>
      </c>
      <c r="K3679">
        <v>8</v>
      </c>
      <c r="L3679">
        <v>7</v>
      </c>
      <c r="M3679">
        <v>1</v>
      </c>
      <c r="N3679">
        <v>3</v>
      </c>
      <c r="P3679">
        <f>G3679*I3679/100</f>
        <v>722.30400000000009</v>
      </c>
      <c r="Q3679">
        <f t="shared" si="34"/>
        <v>72230.400000000009</v>
      </c>
      <c r="R3679">
        <f>K3679/J3679</f>
        <v>1</v>
      </c>
    </row>
    <row r="3680" spans="1:18" x14ac:dyDescent="0.3">
      <c r="A3680">
        <v>22</v>
      </c>
      <c r="B3680">
        <v>217</v>
      </c>
      <c r="C3680" t="s">
        <v>17</v>
      </c>
      <c r="D3680" t="s">
        <v>18</v>
      </c>
      <c r="E3680">
        <v>94</v>
      </c>
      <c r="F3680" t="s">
        <v>20</v>
      </c>
      <c r="G3680">
        <v>2696.1000000000004</v>
      </c>
      <c r="H3680">
        <v>6881</v>
      </c>
      <c r="I3680">
        <v>15</v>
      </c>
      <c r="J3680">
        <v>4</v>
      </c>
      <c r="K3680">
        <v>4</v>
      </c>
      <c r="L3680">
        <v>3</v>
      </c>
      <c r="M3680">
        <v>1</v>
      </c>
      <c r="N3680">
        <v>1</v>
      </c>
      <c r="P3680">
        <f>G3680*I3680/100</f>
        <v>404.41500000000008</v>
      </c>
      <c r="Q3680">
        <f t="shared" si="34"/>
        <v>32353.200000000004</v>
      </c>
      <c r="R3680">
        <f>K3680/J3680</f>
        <v>1</v>
      </c>
    </row>
    <row r="3681" spans="1:18" x14ac:dyDescent="0.3">
      <c r="A3681">
        <v>48</v>
      </c>
      <c r="B3681">
        <v>277</v>
      </c>
      <c r="C3681" t="s">
        <v>17</v>
      </c>
      <c r="D3681" t="s">
        <v>18</v>
      </c>
      <c r="E3681">
        <v>97</v>
      </c>
      <c r="F3681" t="s">
        <v>22</v>
      </c>
      <c r="G3681">
        <v>4664</v>
      </c>
      <c r="H3681">
        <v>13119</v>
      </c>
      <c r="I3681">
        <v>13</v>
      </c>
      <c r="J3681">
        <v>19</v>
      </c>
      <c r="K3681">
        <v>2</v>
      </c>
      <c r="L3681">
        <v>2</v>
      </c>
      <c r="M3681">
        <v>2</v>
      </c>
      <c r="N3681">
        <v>2</v>
      </c>
      <c r="P3681">
        <f>G3681*I3681/100</f>
        <v>606.32000000000005</v>
      </c>
      <c r="Q3681">
        <f t="shared" si="34"/>
        <v>55968</v>
      </c>
      <c r="R3681">
        <f>K3681/J3681</f>
        <v>0.10526315789473684</v>
      </c>
    </row>
    <row r="3682" spans="1:18" x14ac:dyDescent="0.3">
      <c r="A3682">
        <v>48</v>
      </c>
      <c r="B3682">
        <v>1355</v>
      </c>
      <c r="C3682" t="s">
        <v>17</v>
      </c>
      <c r="D3682" t="s">
        <v>18</v>
      </c>
      <c r="E3682">
        <v>78</v>
      </c>
      <c r="F3682" t="s">
        <v>22</v>
      </c>
      <c r="G3682">
        <v>12098.900000000001</v>
      </c>
      <c r="H3682">
        <v>22245</v>
      </c>
      <c r="I3682">
        <v>14</v>
      </c>
      <c r="J3682">
        <v>27</v>
      </c>
      <c r="K3682">
        <v>15</v>
      </c>
      <c r="L3682">
        <v>11</v>
      </c>
      <c r="M3682">
        <v>4</v>
      </c>
      <c r="N3682">
        <v>8</v>
      </c>
      <c r="P3682">
        <f>G3682*I3682/100</f>
        <v>1693.8460000000005</v>
      </c>
      <c r="Q3682">
        <f t="shared" si="34"/>
        <v>145186.80000000002</v>
      </c>
      <c r="R3682">
        <f>K3682/J3682</f>
        <v>0.55555555555555558</v>
      </c>
    </row>
    <row r="3683" spans="1:18" x14ac:dyDescent="0.3">
      <c r="A3683">
        <v>41</v>
      </c>
      <c r="B3683">
        <v>549</v>
      </c>
      <c r="C3683" t="s">
        <v>17</v>
      </c>
      <c r="D3683" t="s">
        <v>15</v>
      </c>
      <c r="E3683">
        <v>42</v>
      </c>
      <c r="F3683" t="s">
        <v>21</v>
      </c>
      <c r="G3683">
        <v>5503.3</v>
      </c>
      <c r="H3683">
        <v>23371</v>
      </c>
      <c r="I3683">
        <v>14</v>
      </c>
      <c r="J3683">
        <v>8</v>
      </c>
      <c r="K3683">
        <v>2</v>
      </c>
      <c r="L3683">
        <v>2</v>
      </c>
      <c r="M3683">
        <v>2</v>
      </c>
      <c r="N3683">
        <v>1</v>
      </c>
      <c r="P3683">
        <f>G3683*I3683/100</f>
        <v>770.46199999999999</v>
      </c>
      <c r="Q3683">
        <f t="shared" si="34"/>
        <v>66039.600000000006</v>
      </c>
      <c r="R3683">
        <f>K3683/J3683</f>
        <v>0.25</v>
      </c>
    </row>
    <row r="3684" spans="1:18" x14ac:dyDescent="0.3">
      <c r="A3684">
        <v>39</v>
      </c>
      <c r="B3684">
        <v>466</v>
      </c>
      <c r="C3684" t="s">
        <v>17</v>
      </c>
      <c r="D3684" t="s">
        <v>15</v>
      </c>
      <c r="E3684">
        <v>65</v>
      </c>
      <c r="F3684" t="s">
        <v>21</v>
      </c>
      <c r="G3684">
        <v>14016.2</v>
      </c>
      <c r="H3684">
        <v>7060</v>
      </c>
      <c r="I3684">
        <v>16</v>
      </c>
      <c r="J3684">
        <v>21</v>
      </c>
      <c r="K3684">
        <v>21</v>
      </c>
      <c r="L3684">
        <v>6</v>
      </c>
      <c r="M3684">
        <v>11</v>
      </c>
      <c r="N3684">
        <v>8</v>
      </c>
      <c r="P3684">
        <f>G3684*I3684/100</f>
        <v>2242.5920000000001</v>
      </c>
      <c r="Q3684">
        <f t="shared" si="34"/>
        <v>168194.40000000002</v>
      </c>
      <c r="R3684">
        <f>K3684/J3684</f>
        <v>1</v>
      </c>
    </row>
    <row r="3685" spans="1:18" x14ac:dyDescent="0.3">
      <c r="A3685">
        <v>27</v>
      </c>
      <c r="B3685">
        <v>1055</v>
      </c>
      <c r="C3685" t="s">
        <v>17</v>
      </c>
      <c r="D3685" t="s">
        <v>15</v>
      </c>
      <c r="E3685">
        <v>47</v>
      </c>
      <c r="F3685" t="s">
        <v>21</v>
      </c>
      <c r="G3685">
        <v>4649.7000000000007</v>
      </c>
      <c r="H3685">
        <v>4658</v>
      </c>
      <c r="I3685">
        <v>18</v>
      </c>
      <c r="J3685">
        <v>4</v>
      </c>
      <c r="K3685">
        <v>3</v>
      </c>
      <c r="L3685">
        <v>2</v>
      </c>
      <c r="M3685">
        <v>2</v>
      </c>
      <c r="N3685">
        <v>2</v>
      </c>
      <c r="P3685">
        <f>G3685*I3685/100</f>
        <v>836.94600000000003</v>
      </c>
      <c r="Q3685">
        <f t="shared" si="34"/>
        <v>55796.400000000009</v>
      </c>
      <c r="R3685">
        <f>K3685/J3685</f>
        <v>0.75</v>
      </c>
    </row>
    <row r="3686" spans="1:18" x14ac:dyDescent="0.3">
      <c r="A3686">
        <v>35</v>
      </c>
      <c r="B3686">
        <v>802</v>
      </c>
      <c r="C3686" t="s">
        <v>17</v>
      </c>
      <c r="D3686" t="s">
        <v>18</v>
      </c>
      <c r="E3686">
        <v>45</v>
      </c>
      <c r="F3686" t="s">
        <v>20</v>
      </c>
      <c r="G3686">
        <v>4308.7000000000007</v>
      </c>
      <c r="H3686">
        <v>9541</v>
      </c>
      <c r="I3686">
        <v>20</v>
      </c>
      <c r="J3686">
        <v>3</v>
      </c>
      <c r="K3686">
        <v>3</v>
      </c>
      <c r="L3686">
        <v>2</v>
      </c>
      <c r="M3686">
        <v>1</v>
      </c>
      <c r="N3686">
        <v>2</v>
      </c>
      <c r="P3686">
        <f>G3686*I3686/100</f>
        <v>861.74000000000012</v>
      </c>
      <c r="Q3686">
        <f t="shared" si="34"/>
        <v>51704.400000000009</v>
      </c>
      <c r="R3686">
        <f>K3686/J3686</f>
        <v>1</v>
      </c>
    </row>
    <row r="3687" spans="1:18" x14ac:dyDescent="0.3">
      <c r="A3687">
        <v>42</v>
      </c>
      <c r="B3687">
        <v>265</v>
      </c>
      <c r="C3687" t="s">
        <v>14</v>
      </c>
      <c r="D3687" t="s">
        <v>18</v>
      </c>
      <c r="E3687">
        <v>90</v>
      </c>
      <c r="F3687" t="s">
        <v>23</v>
      </c>
      <c r="G3687">
        <v>20133.300000000003</v>
      </c>
      <c r="H3687">
        <v>7770</v>
      </c>
      <c r="I3687">
        <v>13</v>
      </c>
      <c r="J3687">
        <v>21</v>
      </c>
      <c r="K3687">
        <v>1</v>
      </c>
      <c r="L3687">
        <v>0</v>
      </c>
      <c r="M3687">
        <v>0</v>
      </c>
      <c r="N3687">
        <v>0</v>
      </c>
      <c r="P3687">
        <f>G3687*I3687/100</f>
        <v>2617.3290000000002</v>
      </c>
      <c r="Q3687">
        <f t="shared" si="34"/>
        <v>241599.60000000003</v>
      </c>
      <c r="R3687">
        <f>K3687/J3687</f>
        <v>4.7619047619047616E-2</v>
      </c>
    </row>
    <row r="3688" spans="1:18" x14ac:dyDescent="0.3">
      <c r="A3688">
        <v>50</v>
      </c>
      <c r="B3688">
        <v>804</v>
      </c>
      <c r="C3688" t="s">
        <v>17</v>
      </c>
      <c r="D3688" t="s">
        <v>18</v>
      </c>
      <c r="E3688">
        <v>64</v>
      </c>
      <c r="F3688" t="s">
        <v>20</v>
      </c>
      <c r="G3688">
        <v>2618</v>
      </c>
      <c r="H3688">
        <v>20165</v>
      </c>
      <c r="I3688">
        <v>18</v>
      </c>
      <c r="J3688">
        <v>8</v>
      </c>
      <c r="K3688">
        <v>1</v>
      </c>
      <c r="L3688">
        <v>0</v>
      </c>
      <c r="M3688">
        <v>0</v>
      </c>
      <c r="N3688">
        <v>0</v>
      </c>
      <c r="P3688">
        <f>G3688*I3688/100</f>
        <v>471.24</v>
      </c>
      <c r="Q3688">
        <f t="shared" si="34"/>
        <v>31416</v>
      </c>
      <c r="R3688">
        <f>K3688/J3688</f>
        <v>0.125</v>
      </c>
    </row>
    <row r="3689" spans="1:18" x14ac:dyDescent="0.3">
      <c r="A3689">
        <v>59</v>
      </c>
      <c r="B3689">
        <v>715</v>
      </c>
      <c r="C3689" t="s">
        <v>17</v>
      </c>
      <c r="D3689" t="s">
        <v>15</v>
      </c>
      <c r="E3689">
        <v>69</v>
      </c>
      <c r="F3689" t="s">
        <v>21</v>
      </c>
      <c r="G3689">
        <v>15098.6</v>
      </c>
      <c r="H3689">
        <v>21829</v>
      </c>
      <c r="I3689">
        <v>13</v>
      </c>
      <c r="J3689">
        <v>30</v>
      </c>
      <c r="K3689">
        <v>5</v>
      </c>
      <c r="L3689">
        <v>3</v>
      </c>
      <c r="M3689">
        <v>4</v>
      </c>
      <c r="N3689">
        <v>3</v>
      </c>
      <c r="P3689">
        <f>G3689*I3689/100</f>
        <v>1962.8180000000002</v>
      </c>
      <c r="Q3689">
        <f t="shared" si="34"/>
        <v>181183.2</v>
      </c>
      <c r="R3689">
        <f>K3689/J3689</f>
        <v>0.16666666666666666</v>
      </c>
    </row>
    <row r="3690" spans="1:18" x14ac:dyDescent="0.3">
      <c r="A3690">
        <v>37</v>
      </c>
      <c r="B3690">
        <v>1141</v>
      </c>
      <c r="C3690" t="s">
        <v>17</v>
      </c>
      <c r="D3690" t="s">
        <v>15</v>
      </c>
      <c r="E3690">
        <v>61</v>
      </c>
      <c r="F3690" t="s">
        <v>22</v>
      </c>
      <c r="G3690">
        <v>5254.7000000000007</v>
      </c>
      <c r="H3690">
        <v>14382</v>
      </c>
      <c r="I3690">
        <v>15</v>
      </c>
      <c r="J3690">
        <v>15</v>
      </c>
      <c r="K3690">
        <v>1</v>
      </c>
      <c r="L3690">
        <v>0</v>
      </c>
      <c r="M3690">
        <v>0</v>
      </c>
      <c r="N3690">
        <v>0</v>
      </c>
      <c r="P3690">
        <f>G3690*I3690/100</f>
        <v>788.20500000000015</v>
      </c>
      <c r="Q3690">
        <f t="shared" si="34"/>
        <v>63056.400000000009</v>
      </c>
      <c r="R3690">
        <f>K3690/J3690</f>
        <v>6.6666666666666666E-2</v>
      </c>
    </row>
    <row r="3691" spans="1:18" x14ac:dyDescent="0.3">
      <c r="A3691">
        <v>55</v>
      </c>
      <c r="B3691">
        <v>135</v>
      </c>
      <c r="C3691" t="s">
        <v>17</v>
      </c>
      <c r="D3691" t="s">
        <v>18</v>
      </c>
      <c r="E3691">
        <v>62</v>
      </c>
      <c r="F3691" t="s">
        <v>22</v>
      </c>
      <c r="G3691">
        <v>7023.5000000000009</v>
      </c>
      <c r="H3691">
        <v>12992</v>
      </c>
      <c r="I3691">
        <v>14</v>
      </c>
      <c r="J3691">
        <v>17</v>
      </c>
      <c r="K3691">
        <v>8</v>
      </c>
      <c r="L3691">
        <v>7</v>
      </c>
      <c r="M3691">
        <v>6</v>
      </c>
      <c r="N3691">
        <v>7</v>
      </c>
      <c r="P3691">
        <f>G3691*I3691/100</f>
        <v>983.29000000000019</v>
      </c>
      <c r="Q3691">
        <f t="shared" si="34"/>
        <v>84282.000000000015</v>
      </c>
      <c r="R3691">
        <f>K3691/J3691</f>
        <v>0.47058823529411764</v>
      </c>
    </row>
    <row r="3692" spans="1:18" x14ac:dyDescent="0.3">
      <c r="A3692">
        <v>41</v>
      </c>
      <c r="B3692">
        <v>247</v>
      </c>
      <c r="C3692" t="s">
        <v>17</v>
      </c>
      <c r="D3692" t="s">
        <v>15</v>
      </c>
      <c r="E3692">
        <v>55</v>
      </c>
      <c r="F3692" t="s">
        <v>25</v>
      </c>
      <c r="G3692">
        <v>21970.300000000003</v>
      </c>
      <c r="H3692">
        <v>20284</v>
      </c>
      <c r="I3692">
        <v>22</v>
      </c>
      <c r="J3692">
        <v>21</v>
      </c>
      <c r="K3692">
        <v>21</v>
      </c>
      <c r="L3692">
        <v>16</v>
      </c>
      <c r="M3692">
        <v>5</v>
      </c>
      <c r="N3692">
        <v>10</v>
      </c>
      <c r="P3692">
        <f>G3692*I3692/100</f>
        <v>4833.4660000000013</v>
      </c>
      <c r="Q3692">
        <f t="shared" si="34"/>
        <v>263643.60000000003</v>
      </c>
      <c r="R3692">
        <f>K3692/J3692</f>
        <v>1</v>
      </c>
    </row>
    <row r="3693" spans="1:18" x14ac:dyDescent="0.3">
      <c r="A3693">
        <v>38</v>
      </c>
      <c r="B3693">
        <v>1035</v>
      </c>
      <c r="C3693" t="s">
        <v>14</v>
      </c>
      <c r="D3693" t="s">
        <v>18</v>
      </c>
      <c r="E3693">
        <v>42</v>
      </c>
      <c r="F3693" t="s">
        <v>16</v>
      </c>
      <c r="G3693">
        <v>7547.1</v>
      </c>
      <c r="H3693">
        <v>4981</v>
      </c>
      <c r="I3693">
        <v>12</v>
      </c>
      <c r="J3693">
        <v>19</v>
      </c>
      <c r="K3693">
        <v>1</v>
      </c>
      <c r="L3693">
        <v>0</v>
      </c>
      <c r="M3693">
        <v>0</v>
      </c>
      <c r="N3693">
        <v>0</v>
      </c>
      <c r="P3693">
        <f>G3693*I3693/100</f>
        <v>905.65200000000016</v>
      </c>
      <c r="Q3693">
        <f t="shared" si="34"/>
        <v>90565.200000000012</v>
      </c>
      <c r="R3693">
        <f>K3693/J3693</f>
        <v>5.2631578947368418E-2</v>
      </c>
    </row>
    <row r="3694" spans="1:18" x14ac:dyDescent="0.3">
      <c r="A3694">
        <v>26</v>
      </c>
      <c r="B3694">
        <v>265</v>
      </c>
      <c r="C3694" t="s">
        <v>14</v>
      </c>
      <c r="D3694" t="s">
        <v>18</v>
      </c>
      <c r="E3694">
        <v>79</v>
      </c>
      <c r="F3694" t="s">
        <v>16</v>
      </c>
      <c r="G3694">
        <v>5465.9000000000005</v>
      </c>
      <c r="H3694">
        <v>21813</v>
      </c>
      <c r="I3694">
        <v>18</v>
      </c>
      <c r="J3694">
        <v>7</v>
      </c>
      <c r="K3694">
        <v>2</v>
      </c>
      <c r="L3694">
        <v>2</v>
      </c>
      <c r="M3694">
        <v>2</v>
      </c>
      <c r="N3694">
        <v>2</v>
      </c>
      <c r="P3694">
        <f>G3694*I3694/100</f>
        <v>983.86200000000008</v>
      </c>
      <c r="Q3694">
        <f t="shared" si="34"/>
        <v>65590.8</v>
      </c>
      <c r="R3694">
        <f>K3694/J3694</f>
        <v>0.2857142857142857</v>
      </c>
    </row>
    <row r="3695" spans="1:18" x14ac:dyDescent="0.3">
      <c r="A3695">
        <v>52</v>
      </c>
      <c r="B3695">
        <v>266</v>
      </c>
      <c r="C3695" t="s">
        <v>14</v>
      </c>
      <c r="D3695" t="s">
        <v>15</v>
      </c>
      <c r="E3695">
        <v>57</v>
      </c>
      <c r="F3695" t="s">
        <v>23</v>
      </c>
      <c r="G3695">
        <v>21829.5</v>
      </c>
      <c r="H3695">
        <v>25846</v>
      </c>
      <c r="I3695">
        <v>15</v>
      </c>
      <c r="J3695">
        <v>33</v>
      </c>
      <c r="K3695">
        <v>32</v>
      </c>
      <c r="L3695">
        <v>14</v>
      </c>
      <c r="M3695">
        <v>6</v>
      </c>
      <c r="N3695">
        <v>9</v>
      </c>
      <c r="P3695">
        <f>G3695*I3695/100</f>
        <v>3274.4250000000002</v>
      </c>
      <c r="Q3695">
        <f t="shared" si="34"/>
        <v>261954</v>
      </c>
      <c r="R3695">
        <f>K3695/J3695</f>
        <v>0.96969696969696972</v>
      </c>
    </row>
    <row r="3696" spans="1:18" x14ac:dyDescent="0.3">
      <c r="A3696">
        <v>44</v>
      </c>
      <c r="B3696">
        <v>1448</v>
      </c>
      <c r="C3696" t="s">
        <v>14</v>
      </c>
      <c r="D3696" t="s">
        <v>15</v>
      </c>
      <c r="E3696">
        <v>53</v>
      </c>
      <c r="F3696" t="s">
        <v>16</v>
      </c>
      <c r="G3696">
        <v>14652.000000000002</v>
      </c>
      <c r="H3696">
        <v>11737</v>
      </c>
      <c r="I3696">
        <v>18</v>
      </c>
      <c r="J3696">
        <v>23</v>
      </c>
      <c r="K3696">
        <v>12</v>
      </c>
      <c r="L3696">
        <v>11</v>
      </c>
      <c r="M3696">
        <v>11</v>
      </c>
      <c r="N3696">
        <v>11</v>
      </c>
      <c r="P3696">
        <f>G3696*I3696/100</f>
        <v>2637.3600000000006</v>
      </c>
      <c r="Q3696">
        <f t="shared" si="34"/>
        <v>175824.00000000003</v>
      </c>
      <c r="R3696">
        <f>K3696/J3696</f>
        <v>0.52173913043478259</v>
      </c>
    </row>
    <row r="3697" spans="1:18" x14ac:dyDescent="0.3">
      <c r="A3697">
        <v>50</v>
      </c>
      <c r="B3697">
        <v>145</v>
      </c>
      <c r="C3697" t="s">
        <v>14</v>
      </c>
      <c r="D3697" t="s">
        <v>15</v>
      </c>
      <c r="E3697">
        <v>95</v>
      </c>
      <c r="F3697" t="s">
        <v>16</v>
      </c>
      <c r="G3697">
        <v>6981.7000000000007</v>
      </c>
      <c r="H3697">
        <v>24920</v>
      </c>
      <c r="I3697">
        <v>12</v>
      </c>
      <c r="J3697">
        <v>19</v>
      </c>
      <c r="K3697">
        <v>18</v>
      </c>
      <c r="L3697">
        <v>7</v>
      </c>
      <c r="M3697">
        <v>0</v>
      </c>
      <c r="N3697">
        <v>13</v>
      </c>
      <c r="P3697">
        <f>G3697*I3697/100</f>
        <v>837.80400000000009</v>
      </c>
      <c r="Q3697">
        <f t="shared" si="34"/>
        <v>83780.400000000009</v>
      </c>
      <c r="R3697">
        <f>K3697/J3697</f>
        <v>0.94736842105263153</v>
      </c>
    </row>
    <row r="3698" spans="1:18" x14ac:dyDescent="0.3">
      <c r="A3698">
        <v>36</v>
      </c>
      <c r="B3698">
        <v>885</v>
      </c>
      <c r="C3698" t="s">
        <v>17</v>
      </c>
      <c r="D3698" t="s">
        <v>15</v>
      </c>
      <c r="E3698">
        <v>43</v>
      </c>
      <c r="F3698" t="s">
        <v>20</v>
      </c>
      <c r="G3698">
        <v>3017.3</v>
      </c>
      <c r="H3698">
        <v>8269</v>
      </c>
      <c r="I3698">
        <v>16</v>
      </c>
      <c r="J3698">
        <v>18</v>
      </c>
      <c r="K3698">
        <v>17</v>
      </c>
      <c r="L3698">
        <v>13</v>
      </c>
      <c r="M3698">
        <v>15</v>
      </c>
      <c r="N3698">
        <v>14</v>
      </c>
      <c r="P3698">
        <f>G3698*I3698/100</f>
        <v>482.76800000000003</v>
      </c>
      <c r="Q3698">
        <f t="shared" si="34"/>
        <v>36207.600000000006</v>
      </c>
      <c r="R3698">
        <f>K3698/J3698</f>
        <v>0.94444444444444442</v>
      </c>
    </row>
    <row r="3699" spans="1:18" x14ac:dyDescent="0.3">
      <c r="A3699">
        <v>39</v>
      </c>
      <c r="B3699">
        <v>945</v>
      </c>
      <c r="C3699" t="s">
        <v>17</v>
      </c>
      <c r="D3699" t="s">
        <v>15</v>
      </c>
      <c r="E3699">
        <v>82</v>
      </c>
      <c r="F3699" t="s">
        <v>21</v>
      </c>
      <c r="G3699">
        <v>11968.000000000002</v>
      </c>
      <c r="H3699">
        <v>5083</v>
      </c>
      <c r="I3699">
        <v>13</v>
      </c>
      <c r="J3699">
        <v>21</v>
      </c>
      <c r="K3699">
        <v>21</v>
      </c>
      <c r="L3699">
        <v>6</v>
      </c>
      <c r="M3699">
        <v>2</v>
      </c>
      <c r="N3699">
        <v>8</v>
      </c>
      <c r="P3699">
        <f>G3699*I3699/100</f>
        <v>1555.8400000000004</v>
      </c>
      <c r="Q3699">
        <f t="shared" si="34"/>
        <v>143616.00000000003</v>
      </c>
      <c r="R3699">
        <f>K3699/J3699</f>
        <v>1</v>
      </c>
    </row>
    <row r="3700" spans="1:18" x14ac:dyDescent="0.3">
      <c r="A3700">
        <v>33</v>
      </c>
      <c r="B3700">
        <v>1038</v>
      </c>
      <c r="C3700" t="s">
        <v>14</v>
      </c>
      <c r="D3700" t="s">
        <v>15</v>
      </c>
      <c r="E3700">
        <v>88</v>
      </c>
      <c r="F3700" t="s">
        <v>24</v>
      </c>
      <c r="G3700">
        <v>2576.2000000000003</v>
      </c>
      <c r="H3700">
        <v>21437</v>
      </c>
      <c r="I3700">
        <v>19</v>
      </c>
      <c r="J3700">
        <v>3</v>
      </c>
      <c r="K3700">
        <v>2</v>
      </c>
      <c r="L3700">
        <v>2</v>
      </c>
      <c r="M3700">
        <v>2</v>
      </c>
      <c r="N3700">
        <v>2</v>
      </c>
      <c r="P3700">
        <f>G3700*I3700/100</f>
        <v>489.47800000000001</v>
      </c>
      <c r="Q3700">
        <f t="shared" si="34"/>
        <v>30914.400000000001</v>
      </c>
      <c r="R3700">
        <f>K3700/J3700</f>
        <v>0.66666666666666663</v>
      </c>
    </row>
    <row r="3701" spans="1:18" x14ac:dyDescent="0.3">
      <c r="A3701">
        <v>45</v>
      </c>
      <c r="B3701">
        <v>1234</v>
      </c>
      <c r="C3701" t="s">
        <v>14</v>
      </c>
      <c r="D3701" t="s">
        <v>15</v>
      </c>
      <c r="E3701">
        <v>90</v>
      </c>
      <c r="F3701" t="s">
        <v>23</v>
      </c>
      <c r="G3701">
        <v>19415</v>
      </c>
      <c r="H3701">
        <v>5404</v>
      </c>
      <c r="I3701">
        <v>13</v>
      </c>
      <c r="J3701">
        <v>26</v>
      </c>
      <c r="K3701">
        <v>9</v>
      </c>
      <c r="L3701">
        <v>3</v>
      </c>
      <c r="M3701">
        <v>1</v>
      </c>
      <c r="N3701">
        <v>1</v>
      </c>
      <c r="P3701">
        <f>G3701*I3701/100</f>
        <v>2523.9499999999998</v>
      </c>
      <c r="Q3701">
        <f t="shared" si="34"/>
        <v>232980</v>
      </c>
      <c r="R3701">
        <f>K3701/J3701</f>
        <v>0.34615384615384615</v>
      </c>
    </row>
    <row r="3702" spans="1:18" x14ac:dyDescent="0.3">
      <c r="A3702">
        <v>32</v>
      </c>
      <c r="B3702">
        <v>1109</v>
      </c>
      <c r="C3702" t="s">
        <v>17</v>
      </c>
      <c r="D3702" t="s">
        <v>15</v>
      </c>
      <c r="E3702">
        <v>69</v>
      </c>
      <c r="F3702" t="s">
        <v>20</v>
      </c>
      <c r="G3702">
        <v>4427.5</v>
      </c>
      <c r="H3702">
        <v>11135</v>
      </c>
      <c r="I3702">
        <v>12</v>
      </c>
      <c r="J3702">
        <v>10</v>
      </c>
      <c r="K3702">
        <v>8</v>
      </c>
      <c r="L3702">
        <v>7</v>
      </c>
      <c r="M3702">
        <v>7</v>
      </c>
      <c r="N3702">
        <v>7</v>
      </c>
      <c r="P3702">
        <f>G3702*I3702/100</f>
        <v>531.29999999999995</v>
      </c>
      <c r="Q3702">
        <f t="shared" si="34"/>
        <v>53130</v>
      </c>
      <c r="R3702">
        <f>K3702/J3702</f>
        <v>0.8</v>
      </c>
    </row>
    <row r="3703" spans="1:18" x14ac:dyDescent="0.3">
      <c r="A3703">
        <v>34</v>
      </c>
      <c r="B3703">
        <v>216</v>
      </c>
      <c r="C3703" t="s">
        <v>14</v>
      </c>
      <c r="D3703" t="s">
        <v>18</v>
      </c>
      <c r="E3703">
        <v>75</v>
      </c>
      <c r="F3703" t="s">
        <v>16</v>
      </c>
      <c r="G3703">
        <v>10697.5</v>
      </c>
      <c r="H3703">
        <v>12278</v>
      </c>
      <c r="I3703">
        <v>11</v>
      </c>
      <c r="J3703">
        <v>16</v>
      </c>
      <c r="K3703">
        <v>15</v>
      </c>
      <c r="L3703">
        <v>1</v>
      </c>
      <c r="M3703">
        <v>0</v>
      </c>
      <c r="N3703">
        <v>9</v>
      </c>
      <c r="P3703">
        <f>G3703*I3703/100</f>
        <v>1176.7249999999999</v>
      </c>
      <c r="Q3703">
        <f t="shared" si="34"/>
        <v>128370</v>
      </c>
      <c r="R3703">
        <f>K3703/J3703</f>
        <v>0.9375</v>
      </c>
    </row>
    <row r="3704" spans="1:18" x14ac:dyDescent="0.3">
      <c r="A3704">
        <v>59</v>
      </c>
      <c r="B3704">
        <v>1089</v>
      </c>
      <c r="C3704" t="s">
        <v>14</v>
      </c>
      <c r="D3704" t="s">
        <v>18</v>
      </c>
      <c r="E3704">
        <v>66</v>
      </c>
      <c r="F3704" t="s">
        <v>23</v>
      </c>
      <c r="G3704">
        <v>13094.400000000001</v>
      </c>
      <c r="H3704">
        <v>11038</v>
      </c>
      <c r="I3704">
        <v>14</v>
      </c>
      <c r="J3704">
        <v>14</v>
      </c>
      <c r="K3704">
        <v>6</v>
      </c>
      <c r="L3704">
        <v>4</v>
      </c>
      <c r="M3704">
        <v>0</v>
      </c>
      <c r="N3704">
        <v>4</v>
      </c>
      <c r="P3704">
        <f>G3704*I3704/100</f>
        <v>1833.2160000000003</v>
      </c>
      <c r="Q3704">
        <f t="shared" si="34"/>
        <v>157132.80000000002</v>
      </c>
      <c r="R3704">
        <f>K3704/J3704</f>
        <v>0.42857142857142855</v>
      </c>
    </row>
    <row r="3705" spans="1:18" x14ac:dyDescent="0.3">
      <c r="A3705">
        <v>45</v>
      </c>
      <c r="B3705">
        <v>788</v>
      </c>
      <c r="C3705" t="s">
        <v>26</v>
      </c>
      <c r="D3705" t="s">
        <v>18</v>
      </c>
      <c r="E3705">
        <v>36</v>
      </c>
      <c r="F3705" t="s">
        <v>26</v>
      </c>
      <c r="G3705">
        <v>2394.7000000000003</v>
      </c>
      <c r="H3705">
        <v>8318</v>
      </c>
      <c r="I3705">
        <v>16</v>
      </c>
      <c r="J3705">
        <v>6</v>
      </c>
      <c r="K3705">
        <v>6</v>
      </c>
      <c r="L3705">
        <v>3</v>
      </c>
      <c r="M3705">
        <v>0</v>
      </c>
      <c r="N3705">
        <v>4</v>
      </c>
      <c r="P3705">
        <f>G3705*I3705/100</f>
        <v>383.15200000000004</v>
      </c>
      <c r="Q3705">
        <f t="shared" si="34"/>
        <v>28736.400000000001</v>
      </c>
      <c r="R3705">
        <f>K3705/J3705</f>
        <v>1</v>
      </c>
    </row>
    <row r="3706" spans="1:18" x14ac:dyDescent="0.3">
      <c r="A3706">
        <v>53</v>
      </c>
      <c r="B3706">
        <v>124</v>
      </c>
      <c r="C3706" t="s">
        <v>14</v>
      </c>
      <c r="D3706" t="s">
        <v>15</v>
      </c>
      <c r="E3706">
        <v>38</v>
      </c>
      <c r="F3706" t="s">
        <v>16</v>
      </c>
      <c r="G3706">
        <v>8277.5</v>
      </c>
      <c r="H3706">
        <v>23537</v>
      </c>
      <c r="I3706">
        <v>12</v>
      </c>
      <c r="J3706">
        <v>30</v>
      </c>
      <c r="K3706">
        <v>15</v>
      </c>
      <c r="L3706">
        <v>7</v>
      </c>
      <c r="M3706">
        <v>6</v>
      </c>
      <c r="N3706">
        <v>12</v>
      </c>
      <c r="P3706">
        <f>G3706*I3706/100</f>
        <v>993.3</v>
      </c>
      <c r="Q3706">
        <f t="shared" si="34"/>
        <v>99330</v>
      </c>
      <c r="R3706">
        <f>K3706/J3706</f>
        <v>0.5</v>
      </c>
    </row>
    <row r="3707" spans="1:18" x14ac:dyDescent="0.3">
      <c r="A3707">
        <v>36</v>
      </c>
      <c r="B3707">
        <v>660</v>
      </c>
      <c r="C3707" t="s">
        <v>17</v>
      </c>
      <c r="D3707" t="s">
        <v>18</v>
      </c>
      <c r="E3707">
        <v>81</v>
      </c>
      <c r="F3707" t="s">
        <v>20</v>
      </c>
      <c r="G3707">
        <v>5317.4000000000005</v>
      </c>
      <c r="H3707">
        <v>7858</v>
      </c>
      <c r="I3707">
        <v>14</v>
      </c>
      <c r="J3707">
        <v>9</v>
      </c>
      <c r="K3707">
        <v>1</v>
      </c>
      <c r="L3707">
        <v>0</v>
      </c>
      <c r="M3707">
        <v>0</v>
      </c>
      <c r="N3707">
        <v>0</v>
      </c>
      <c r="P3707">
        <f>G3707*I3707/100</f>
        <v>744.43600000000004</v>
      </c>
      <c r="Q3707">
        <f t="shared" si="34"/>
        <v>63808.800000000003</v>
      </c>
      <c r="R3707">
        <f>K3707/J3707</f>
        <v>0.1111111111111111</v>
      </c>
    </row>
    <row r="3708" spans="1:18" x14ac:dyDescent="0.3">
      <c r="A3708">
        <v>26</v>
      </c>
      <c r="B3708">
        <v>342</v>
      </c>
      <c r="C3708" t="s">
        <v>17</v>
      </c>
      <c r="D3708" t="s">
        <v>18</v>
      </c>
      <c r="E3708">
        <v>57</v>
      </c>
      <c r="F3708" t="s">
        <v>19</v>
      </c>
      <c r="G3708">
        <v>2246.2000000000003</v>
      </c>
      <c r="H3708">
        <v>15346</v>
      </c>
      <c r="I3708">
        <v>14</v>
      </c>
      <c r="J3708">
        <v>6</v>
      </c>
      <c r="K3708">
        <v>3</v>
      </c>
      <c r="L3708">
        <v>2</v>
      </c>
      <c r="M3708">
        <v>1</v>
      </c>
      <c r="N3708">
        <v>2</v>
      </c>
      <c r="P3708">
        <f>G3708*I3708/100</f>
        <v>314.46800000000002</v>
      </c>
      <c r="Q3708">
        <f t="shared" si="34"/>
        <v>26954.400000000001</v>
      </c>
      <c r="R3708">
        <f>K3708/J3708</f>
        <v>0.5</v>
      </c>
    </row>
    <row r="3709" spans="1:18" x14ac:dyDescent="0.3">
      <c r="A3709">
        <v>34</v>
      </c>
      <c r="B3709">
        <v>1333</v>
      </c>
      <c r="C3709" t="s">
        <v>14</v>
      </c>
      <c r="D3709" t="s">
        <v>15</v>
      </c>
      <c r="E3709">
        <v>87</v>
      </c>
      <c r="F3709" t="s">
        <v>24</v>
      </c>
      <c r="G3709">
        <v>2442</v>
      </c>
      <c r="H3709">
        <v>18410</v>
      </c>
      <c r="I3709">
        <v>19</v>
      </c>
      <c r="J3709">
        <v>1</v>
      </c>
      <c r="K3709">
        <v>1</v>
      </c>
      <c r="L3709">
        <v>1</v>
      </c>
      <c r="M3709">
        <v>0</v>
      </c>
      <c r="N3709">
        <v>0</v>
      </c>
      <c r="P3709">
        <f>G3709*I3709/100</f>
        <v>463.98</v>
      </c>
      <c r="Q3709">
        <f t="shared" si="34"/>
        <v>29304</v>
      </c>
      <c r="R3709">
        <f>K3709/J3709</f>
        <v>1</v>
      </c>
    </row>
    <row r="3710" spans="1:18" x14ac:dyDescent="0.3">
      <c r="A3710">
        <v>28</v>
      </c>
      <c r="B3710">
        <v>1144</v>
      </c>
      <c r="C3710" t="s">
        <v>14</v>
      </c>
      <c r="D3710" t="s">
        <v>18</v>
      </c>
      <c r="E3710">
        <v>74</v>
      </c>
      <c r="F3710" t="s">
        <v>24</v>
      </c>
      <c r="G3710">
        <v>1157.2</v>
      </c>
      <c r="H3710">
        <v>23384</v>
      </c>
      <c r="I3710">
        <v>22</v>
      </c>
      <c r="J3710">
        <v>1</v>
      </c>
      <c r="K3710">
        <v>1</v>
      </c>
      <c r="L3710">
        <v>0</v>
      </c>
      <c r="M3710">
        <v>0</v>
      </c>
      <c r="N3710">
        <v>0</v>
      </c>
      <c r="P3710">
        <f>G3710*I3710/100</f>
        <v>254.584</v>
      </c>
      <c r="Q3710">
        <f t="shared" si="34"/>
        <v>13886.400000000001</v>
      </c>
      <c r="R3710">
        <f>K3710/J3710</f>
        <v>1</v>
      </c>
    </row>
    <row r="3711" spans="1:18" x14ac:dyDescent="0.3">
      <c r="A3711">
        <v>38</v>
      </c>
      <c r="B3711">
        <v>1186</v>
      </c>
      <c r="C3711" t="s">
        <v>17</v>
      </c>
      <c r="D3711" t="s">
        <v>18</v>
      </c>
      <c r="E3711">
        <v>44</v>
      </c>
      <c r="F3711" t="s">
        <v>19</v>
      </c>
      <c r="G3711">
        <v>3103.1000000000004</v>
      </c>
      <c r="H3711">
        <v>2997</v>
      </c>
      <c r="I3711">
        <v>16</v>
      </c>
      <c r="J3711">
        <v>8</v>
      </c>
      <c r="K3711">
        <v>2</v>
      </c>
      <c r="L3711">
        <v>2</v>
      </c>
      <c r="M3711">
        <v>2</v>
      </c>
      <c r="N3711">
        <v>2</v>
      </c>
      <c r="P3711">
        <f>G3711*I3711/100</f>
        <v>496.49600000000004</v>
      </c>
      <c r="Q3711">
        <f t="shared" si="34"/>
        <v>37237.200000000004</v>
      </c>
      <c r="R3711">
        <f>K3711/J3711</f>
        <v>0.25</v>
      </c>
    </row>
    <row r="3712" spans="1:18" x14ac:dyDescent="0.3">
      <c r="A3712">
        <v>50</v>
      </c>
      <c r="B3712">
        <v>1464</v>
      </c>
      <c r="C3712" t="s">
        <v>17</v>
      </c>
      <c r="D3712" t="s">
        <v>18</v>
      </c>
      <c r="E3712">
        <v>62</v>
      </c>
      <c r="F3712" t="s">
        <v>25</v>
      </c>
      <c r="G3712">
        <v>21160.7</v>
      </c>
      <c r="H3712">
        <v>12853</v>
      </c>
      <c r="I3712">
        <v>11</v>
      </c>
      <c r="J3712">
        <v>29</v>
      </c>
      <c r="K3712">
        <v>8</v>
      </c>
      <c r="L3712">
        <v>1</v>
      </c>
      <c r="M3712">
        <v>7</v>
      </c>
      <c r="N3712">
        <v>7</v>
      </c>
      <c r="P3712">
        <f>G3712*I3712/100</f>
        <v>2327.6770000000001</v>
      </c>
      <c r="Q3712">
        <f t="shared" si="34"/>
        <v>253928.40000000002</v>
      </c>
      <c r="R3712">
        <f>K3712/J3712</f>
        <v>0.27586206896551724</v>
      </c>
    </row>
    <row r="3713" spans="1:18" x14ac:dyDescent="0.3">
      <c r="A3713">
        <v>37</v>
      </c>
      <c r="B3713">
        <v>124</v>
      </c>
      <c r="C3713" t="s">
        <v>17</v>
      </c>
      <c r="D3713" t="s">
        <v>15</v>
      </c>
      <c r="E3713">
        <v>35</v>
      </c>
      <c r="F3713" t="s">
        <v>22</v>
      </c>
      <c r="G3713">
        <v>4517.7000000000007</v>
      </c>
      <c r="H3713">
        <v>13848</v>
      </c>
      <c r="I3713">
        <v>15</v>
      </c>
      <c r="J3713">
        <v>8</v>
      </c>
      <c r="K3713">
        <v>4</v>
      </c>
      <c r="L3713">
        <v>3</v>
      </c>
      <c r="M3713">
        <v>0</v>
      </c>
      <c r="N3713">
        <v>1</v>
      </c>
      <c r="P3713">
        <f>G3713*I3713/100</f>
        <v>677.6550000000002</v>
      </c>
      <c r="Q3713">
        <f t="shared" si="34"/>
        <v>54212.400000000009</v>
      </c>
      <c r="R3713">
        <f>K3713/J3713</f>
        <v>0.5</v>
      </c>
    </row>
    <row r="3714" spans="1:18" x14ac:dyDescent="0.3">
      <c r="A3714">
        <v>40</v>
      </c>
      <c r="B3714">
        <v>300</v>
      </c>
      <c r="C3714" t="s">
        <v>14</v>
      </c>
      <c r="D3714" t="s">
        <v>18</v>
      </c>
      <c r="E3714">
        <v>74</v>
      </c>
      <c r="F3714" t="s">
        <v>16</v>
      </c>
      <c r="G3714">
        <v>9235.6</v>
      </c>
      <c r="H3714">
        <v>22217</v>
      </c>
      <c r="I3714">
        <v>14</v>
      </c>
      <c r="J3714">
        <v>8</v>
      </c>
      <c r="K3714">
        <v>7</v>
      </c>
      <c r="L3714">
        <v>7</v>
      </c>
      <c r="M3714">
        <v>7</v>
      </c>
      <c r="N3714">
        <v>5</v>
      </c>
      <c r="P3714">
        <f>G3714*I3714/100</f>
        <v>1292.9840000000002</v>
      </c>
      <c r="Q3714">
        <f t="shared" si="34"/>
        <v>110827.20000000001</v>
      </c>
      <c r="R3714">
        <f>K3714/J3714</f>
        <v>0.875</v>
      </c>
    </row>
    <row r="3715" spans="1:18" x14ac:dyDescent="0.3">
      <c r="A3715">
        <v>26</v>
      </c>
      <c r="B3715">
        <v>921</v>
      </c>
      <c r="C3715" t="s">
        <v>17</v>
      </c>
      <c r="D3715" t="s">
        <v>15</v>
      </c>
      <c r="E3715">
        <v>66</v>
      </c>
      <c r="F3715" t="s">
        <v>19</v>
      </c>
      <c r="G3715">
        <v>2207.7000000000003</v>
      </c>
      <c r="H3715">
        <v>25265</v>
      </c>
      <c r="I3715">
        <v>13</v>
      </c>
      <c r="J3715">
        <v>5</v>
      </c>
      <c r="K3715">
        <v>5</v>
      </c>
      <c r="L3715">
        <v>3</v>
      </c>
      <c r="M3715">
        <v>1</v>
      </c>
      <c r="N3715">
        <v>3</v>
      </c>
      <c r="P3715">
        <f>G3715*I3715/100</f>
        <v>287.00100000000003</v>
      </c>
      <c r="Q3715">
        <f t="shared" ref="Q3715:Q3778" si="35">G3715*12</f>
        <v>26492.400000000001</v>
      </c>
      <c r="R3715">
        <f>K3715/J3715</f>
        <v>1</v>
      </c>
    </row>
    <row r="3716" spans="1:18" x14ac:dyDescent="0.3">
      <c r="A3716">
        <v>46</v>
      </c>
      <c r="B3716">
        <v>430</v>
      </c>
      <c r="C3716" t="s">
        <v>17</v>
      </c>
      <c r="D3716" t="s">
        <v>18</v>
      </c>
      <c r="E3716">
        <v>40</v>
      </c>
      <c r="F3716" t="s">
        <v>25</v>
      </c>
      <c r="G3716">
        <v>21589.7</v>
      </c>
      <c r="H3716">
        <v>21445</v>
      </c>
      <c r="I3716">
        <v>17</v>
      </c>
      <c r="J3716">
        <v>23</v>
      </c>
      <c r="K3716">
        <v>2</v>
      </c>
      <c r="L3716">
        <v>2</v>
      </c>
      <c r="M3716">
        <v>2</v>
      </c>
      <c r="N3716">
        <v>2</v>
      </c>
      <c r="P3716">
        <f>G3716*I3716/100</f>
        <v>3670.2490000000003</v>
      </c>
      <c r="Q3716">
        <f t="shared" si="35"/>
        <v>259076.40000000002</v>
      </c>
      <c r="R3716">
        <f>K3716/J3716</f>
        <v>8.6956521739130432E-2</v>
      </c>
    </row>
    <row r="3717" spans="1:18" x14ac:dyDescent="0.3">
      <c r="A3717">
        <v>54</v>
      </c>
      <c r="B3717">
        <v>1082</v>
      </c>
      <c r="C3717" t="s">
        <v>14</v>
      </c>
      <c r="D3717" t="s">
        <v>15</v>
      </c>
      <c r="E3717">
        <v>41</v>
      </c>
      <c r="F3717" t="s">
        <v>16</v>
      </c>
      <c r="G3717">
        <v>11754.6</v>
      </c>
      <c r="H3717">
        <v>8392</v>
      </c>
      <c r="I3717">
        <v>11</v>
      </c>
      <c r="J3717">
        <v>13</v>
      </c>
      <c r="K3717">
        <v>9</v>
      </c>
      <c r="L3717">
        <v>4</v>
      </c>
      <c r="M3717">
        <v>7</v>
      </c>
      <c r="N3717">
        <v>0</v>
      </c>
      <c r="P3717">
        <f>G3717*I3717/100</f>
        <v>1293.0060000000001</v>
      </c>
      <c r="Q3717">
        <f t="shared" si="35"/>
        <v>141055.20000000001</v>
      </c>
      <c r="R3717">
        <f>K3717/J3717</f>
        <v>0.69230769230769229</v>
      </c>
    </row>
    <row r="3718" spans="1:18" x14ac:dyDescent="0.3">
      <c r="A3718">
        <v>56</v>
      </c>
      <c r="B3718">
        <v>1240</v>
      </c>
      <c r="C3718" t="s">
        <v>17</v>
      </c>
      <c r="D3718" t="s">
        <v>15</v>
      </c>
      <c r="E3718">
        <v>63</v>
      </c>
      <c r="F3718" t="s">
        <v>19</v>
      </c>
      <c r="G3718">
        <v>3236.2000000000003</v>
      </c>
      <c r="H3718">
        <v>12154</v>
      </c>
      <c r="I3718">
        <v>19</v>
      </c>
      <c r="J3718">
        <v>18</v>
      </c>
      <c r="K3718">
        <v>5</v>
      </c>
      <c r="L3718">
        <v>4</v>
      </c>
      <c r="M3718">
        <v>0</v>
      </c>
      <c r="N3718">
        <v>3</v>
      </c>
      <c r="P3718">
        <f>G3718*I3718/100</f>
        <v>614.87800000000004</v>
      </c>
      <c r="Q3718">
        <f t="shared" si="35"/>
        <v>38834.400000000001</v>
      </c>
      <c r="R3718">
        <f>K3718/J3718</f>
        <v>0.27777777777777779</v>
      </c>
    </row>
    <row r="3719" spans="1:18" x14ac:dyDescent="0.3">
      <c r="A3719">
        <v>36</v>
      </c>
      <c r="B3719">
        <v>796</v>
      </c>
      <c r="C3719" t="s">
        <v>17</v>
      </c>
      <c r="D3719" t="s">
        <v>15</v>
      </c>
      <c r="E3719">
        <v>51</v>
      </c>
      <c r="F3719" t="s">
        <v>21</v>
      </c>
      <c r="G3719">
        <v>9743.8000000000011</v>
      </c>
      <c r="H3719">
        <v>15669</v>
      </c>
      <c r="I3719">
        <v>11</v>
      </c>
      <c r="J3719">
        <v>15</v>
      </c>
      <c r="K3719">
        <v>14</v>
      </c>
      <c r="L3719">
        <v>8</v>
      </c>
      <c r="M3719">
        <v>7</v>
      </c>
      <c r="N3719">
        <v>8</v>
      </c>
      <c r="P3719">
        <f>G3719*I3719/100</f>
        <v>1071.8180000000002</v>
      </c>
      <c r="Q3719">
        <f t="shared" si="35"/>
        <v>116925.6</v>
      </c>
      <c r="R3719">
        <f>K3719/J3719</f>
        <v>0.93333333333333335</v>
      </c>
    </row>
    <row r="3720" spans="1:18" x14ac:dyDescent="0.3">
      <c r="A3720">
        <v>55</v>
      </c>
      <c r="B3720">
        <v>444</v>
      </c>
      <c r="C3720" t="s">
        <v>17</v>
      </c>
      <c r="D3720" t="s">
        <v>18</v>
      </c>
      <c r="E3720">
        <v>40</v>
      </c>
      <c r="F3720" t="s">
        <v>23</v>
      </c>
      <c r="G3720">
        <v>18431.600000000002</v>
      </c>
      <c r="H3720">
        <v>17323</v>
      </c>
      <c r="I3720">
        <v>15</v>
      </c>
      <c r="J3720">
        <v>31</v>
      </c>
      <c r="K3720">
        <v>9</v>
      </c>
      <c r="L3720">
        <v>7</v>
      </c>
      <c r="M3720">
        <v>6</v>
      </c>
      <c r="N3720">
        <v>2</v>
      </c>
      <c r="P3720">
        <f>G3720*I3720/100</f>
        <v>2764.7400000000007</v>
      </c>
      <c r="Q3720">
        <f t="shared" si="35"/>
        <v>221179.2</v>
      </c>
      <c r="R3720">
        <f>K3720/J3720</f>
        <v>0.29032258064516131</v>
      </c>
    </row>
    <row r="3721" spans="1:18" x14ac:dyDescent="0.3">
      <c r="A3721">
        <v>43</v>
      </c>
      <c r="B3721">
        <v>415</v>
      </c>
      <c r="C3721" t="s">
        <v>14</v>
      </c>
      <c r="D3721" t="s">
        <v>18</v>
      </c>
      <c r="E3721">
        <v>79</v>
      </c>
      <c r="F3721" t="s">
        <v>16</v>
      </c>
      <c r="G3721">
        <v>11877.800000000001</v>
      </c>
      <c r="H3721">
        <v>5268</v>
      </c>
      <c r="I3721">
        <v>13</v>
      </c>
      <c r="J3721">
        <v>18</v>
      </c>
      <c r="K3721">
        <v>1</v>
      </c>
      <c r="L3721">
        <v>0</v>
      </c>
      <c r="M3721">
        <v>0</v>
      </c>
      <c r="N3721">
        <v>0</v>
      </c>
      <c r="P3721">
        <f>G3721*I3721/100</f>
        <v>1544.1140000000003</v>
      </c>
      <c r="Q3721">
        <f t="shared" si="35"/>
        <v>142533.6</v>
      </c>
      <c r="R3721">
        <f>K3721/J3721</f>
        <v>5.5555555555555552E-2</v>
      </c>
    </row>
    <row r="3722" spans="1:18" x14ac:dyDescent="0.3">
      <c r="A3722">
        <v>20</v>
      </c>
      <c r="B3722">
        <v>769</v>
      </c>
      <c r="C3722" t="s">
        <v>14</v>
      </c>
      <c r="D3722" t="s">
        <v>15</v>
      </c>
      <c r="E3722">
        <v>54</v>
      </c>
      <c r="F3722" t="s">
        <v>24</v>
      </c>
      <c r="G3722">
        <v>2555.3000000000002</v>
      </c>
      <c r="H3722">
        <v>17205</v>
      </c>
      <c r="I3722">
        <v>14</v>
      </c>
      <c r="J3722">
        <v>2</v>
      </c>
      <c r="K3722">
        <v>2</v>
      </c>
      <c r="L3722">
        <v>2</v>
      </c>
      <c r="M3722">
        <v>0</v>
      </c>
      <c r="N3722">
        <v>2</v>
      </c>
      <c r="P3722">
        <f>G3722*I3722/100</f>
        <v>357.74200000000002</v>
      </c>
      <c r="Q3722">
        <f t="shared" si="35"/>
        <v>30663.600000000002</v>
      </c>
      <c r="R3722">
        <f>K3722/J3722</f>
        <v>1</v>
      </c>
    </row>
    <row r="3723" spans="1:18" x14ac:dyDescent="0.3">
      <c r="A3723">
        <v>21</v>
      </c>
      <c r="B3723">
        <v>1334</v>
      </c>
      <c r="C3723" t="s">
        <v>17</v>
      </c>
      <c r="D3723" t="s">
        <v>15</v>
      </c>
      <c r="E3723">
        <v>36</v>
      </c>
      <c r="F3723" t="s">
        <v>20</v>
      </c>
      <c r="G3723">
        <v>1557.6000000000001</v>
      </c>
      <c r="H3723">
        <v>17258</v>
      </c>
      <c r="I3723">
        <v>13</v>
      </c>
      <c r="J3723">
        <v>1</v>
      </c>
      <c r="K3723">
        <v>1</v>
      </c>
      <c r="L3723">
        <v>0</v>
      </c>
      <c r="M3723">
        <v>1</v>
      </c>
      <c r="N3723">
        <v>0</v>
      </c>
      <c r="P3723">
        <f>G3723*I3723/100</f>
        <v>202.48800000000003</v>
      </c>
      <c r="Q3723">
        <f t="shared" si="35"/>
        <v>18691.2</v>
      </c>
      <c r="R3723">
        <f>K3723/J3723</f>
        <v>1</v>
      </c>
    </row>
    <row r="3724" spans="1:18" x14ac:dyDescent="0.3">
      <c r="A3724">
        <v>46</v>
      </c>
      <c r="B3724">
        <v>1003</v>
      </c>
      <c r="C3724" t="s">
        <v>17</v>
      </c>
      <c r="D3724" t="s">
        <v>15</v>
      </c>
      <c r="E3724">
        <v>74</v>
      </c>
      <c r="F3724" t="s">
        <v>19</v>
      </c>
      <c r="G3724">
        <v>5076.5</v>
      </c>
      <c r="H3724">
        <v>21029</v>
      </c>
      <c r="I3724">
        <v>23</v>
      </c>
      <c r="J3724">
        <v>19</v>
      </c>
      <c r="K3724">
        <v>16</v>
      </c>
      <c r="L3724">
        <v>13</v>
      </c>
      <c r="M3724">
        <v>1</v>
      </c>
      <c r="N3724">
        <v>7</v>
      </c>
      <c r="P3724">
        <f>G3724*I3724/100</f>
        <v>1167.595</v>
      </c>
      <c r="Q3724">
        <f t="shared" si="35"/>
        <v>60918</v>
      </c>
      <c r="R3724">
        <f>K3724/J3724</f>
        <v>0.84210526315789469</v>
      </c>
    </row>
    <row r="3725" spans="1:18" x14ac:dyDescent="0.3">
      <c r="A3725">
        <v>51</v>
      </c>
      <c r="B3725">
        <v>1323</v>
      </c>
      <c r="C3725" t="s">
        <v>17</v>
      </c>
      <c r="D3725" t="s">
        <v>18</v>
      </c>
      <c r="E3725">
        <v>34</v>
      </c>
      <c r="F3725" t="s">
        <v>19</v>
      </c>
      <c r="G3725">
        <v>2707.1000000000004</v>
      </c>
      <c r="H3725">
        <v>10332</v>
      </c>
      <c r="I3725">
        <v>12</v>
      </c>
      <c r="J3725">
        <v>18</v>
      </c>
      <c r="K3725">
        <v>10</v>
      </c>
      <c r="L3725">
        <v>0</v>
      </c>
      <c r="M3725">
        <v>2</v>
      </c>
      <c r="N3725">
        <v>7</v>
      </c>
      <c r="P3725">
        <f>G3725*I3725/100</f>
        <v>324.85200000000003</v>
      </c>
      <c r="Q3725">
        <f t="shared" si="35"/>
        <v>32485.200000000004</v>
      </c>
      <c r="R3725">
        <f>K3725/J3725</f>
        <v>0.55555555555555558</v>
      </c>
    </row>
    <row r="3726" spans="1:18" x14ac:dyDescent="0.3">
      <c r="A3726">
        <v>28</v>
      </c>
      <c r="B3726">
        <v>1366</v>
      </c>
      <c r="C3726" t="s">
        <v>17</v>
      </c>
      <c r="D3726" t="s">
        <v>18</v>
      </c>
      <c r="E3726">
        <v>72</v>
      </c>
      <c r="F3726" t="s">
        <v>22</v>
      </c>
      <c r="G3726">
        <v>9594.2000000000007</v>
      </c>
      <c r="H3726">
        <v>12355</v>
      </c>
      <c r="I3726">
        <v>12</v>
      </c>
      <c r="J3726">
        <v>10</v>
      </c>
      <c r="K3726">
        <v>10</v>
      </c>
      <c r="L3726">
        <v>7</v>
      </c>
      <c r="M3726">
        <v>1</v>
      </c>
      <c r="N3726">
        <v>9</v>
      </c>
      <c r="P3726">
        <f>G3726*I3726/100</f>
        <v>1151.3040000000001</v>
      </c>
      <c r="Q3726">
        <f t="shared" si="35"/>
        <v>115130.40000000001</v>
      </c>
      <c r="R3726">
        <f>K3726/J3726</f>
        <v>1</v>
      </c>
    </row>
    <row r="3727" spans="1:18" x14ac:dyDescent="0.3">
      <c r="A3727">
        <v>26</v>
      </c>
      <c r="B3727">
        <v>192</v>
      </c>
      <c r="C3727" t="s">
        <v>17</v>
      </c>
      <c r="D3727" t="s">
        <v>18</v>
      </c>
      <c r="E3727">
        <v>59</v>
      </c>
      <c r="F3727" t="s">
        <v>20</v>
      </c>
      <c r="G3727">
        <v>4350.5</v>
      </c>
      <c r="H3727">
        <v>11141</v>
      </c>
      <c r="I3727">
        <v>16</v>
      </c>
      <c r="J3727">
        <v>6</v>
      </c>
      <c r="K3727">
        <v>5</v>
      </c>
      <c r="L3727">
        <v>3</v>
      </c>
      <c r="M3727">
        <v>1</v>
      </c>
      <c r="N3727">
        <v>3</v>
      </c>
      <c r="P3727">
        <f>G3727*I3727/100</f>
        <v>696.08</v>
      </c>
      <c r="Q3727">
        <f t="shared" si="35"/>
        <v>52206</v>
      </c>
      <c r="R3727">
        <f>K3727/J3727</f>
        <v>0.83333333333333337</v>
      </c>
    </row>
    <row r="3728" spans="1:18" x14ac:dyDescent="0.3">
      <c r="A3728">
        <v>30</v>
      </c>
      <c r="B3728">
        <v>1176</v>
      </c>
      <c r="C3728" t="s">
        <v>17</v>
      </c>
      <c r="D3728" t="s">
        <v>18</v>
      </c>
      <c r="E3728">
        <v>85</v>
      </c>
      <c r="F3728" t="s">
        <v>21</v>
      </c>
      <c r="G3728">
        <v>10952.7</v>
      </c>
      <c r="H3728">
        <v>9096</v>
      </c>
      <c r="I3728">
        <v>15</v>
      </c>
      <c r="J3728">
        <v>7</v>
      </c>
      <c r="K3728">
        <v>6</v>
      </c>
      <c r="L3728">
        <v>2</v>
      </c>
      <c r="M3728">
        <v>0</v>
      </c>
      <c r="N3728">
        <v>2</v>
      </c>
      <c r="P3728">
        <f>G3728*I3728/100</f>
        <v>1642.905</v>
      </c>
      <c r="Q3728">
        <f t="shared" si="35"/>
        <v>131432.40000000002</v>
      </c>
      <c r="R3728">
        <f>K3728/J3728</f>
        <v>0.8571428571428571</v>
      </c>
    </row>
    <row r="3729" spans="1:18" x14ac:dyDescent="0.3">
      <c r="A3729">
        <v>41</v>
      </c>
      <c r="B3729">
        <v>509</v>
      </c>
      <c r="C3729" t="s">
        <v>17</v>
      </c>
      <c r="D3729" t="s">
        <v>15</v>
      </c>
      <c r="E3729">
        <v>43</v>
      </c>
      <c r="F3729" t="s">
        <v>19</v>
      </c>
      <c r="G3729">
        <v>3713.6000000000004</v>
      </c>
      <c r="H3729">
        <v>18863</v>
      </c>
      <c r="I3729">
        <v>13</v>
      </c>
      <c r="J3729">
        <v>10</v>
      </c>
      <c r="K3729">
        <v>10</v>
      </c>
      <c r="L3729">
        <v>6</v>
      </c>
      <c r="M3729">
        <v>0</v>
      </c>
      <c r="N3729">
        <v>8</v>
      </c>
      <c r="P3729">
        <f>G3729*I3729/100</f>
        <v>482.76800000000003</v>
      </c>
      <c r="Q3729">
        <f t="shared" si="35"/>
        <v>44563.200000000004</v>
      </c>
      <c r="R3729">
        <f>K3729/J3729</f>
        <v>1</v>
      </c>
    </row>
    <row r="3730" spans="1:18" x14ac:dyDescent="0.3">
      <c r="A3730">
        <v>38</v>
      </c>
      <c r="B3730">
        <v>330</v>
      </c>
      <c r="C3730" t="s">
        <v>17</v>
      </c>
      <c r="D3730" t="s">
        <v>15</v>
      </c>
      <c r="E3730">
        <v>65</v>
      </c>
      <c r="F3730" t="s">
        <v>22</v>
      </c>
      <c r="G3730">
        <v>9705.3000000000011</v>
      </c>
      <c r="H3730">
        <v>24608</v>
      </c>
      <c r="I3730">
        <v>18</v>
      </c>
      <c r="J3730">
        <v>20</v>
      </c>
      <c r="K3730">
        <v>19</v>
      </c>
      <c r="L3730">
        <v>9</v>
      </c>
      <c r="M3730">
        <v>1</v>
      </c>
      <c r="N3730">
        <v>9</v>
      </c>
      <c r="P3730">
        <f>G3730*I3730/100</f>
        <v>1746.9540000000002</v>
      </c>
      <c r="Q3730">
        <f t="shared" si="35"/>
        <v>116463.6</v>
      </c>
      <c r="R3730">
        <f>K3730/J3730</f>
        <v>0.95</v>
      </c>
    </row>
    <row r="3731" spans="1:18" x14ac:dyDescent="0.3">
      <c r="A3731">
        <v>40</v>
      </c>
      <c r="B3731">
        <v>1492</v>
      </c>
      <c r="C3731" t="s">
        <v>17</v>
      </c>
      <c r="D3731" t="s">
        <v>18</v>
      </c>
      <c r="E3731">
        <v>61</v>
      </c>
      <c r="F3731" t="s">
        <v>22</v>
      </c>
      <c r="G3731">
        <v>11354.2</v>
      </c>
      <c r="H3731">
        <v>26542</v>
      </c>
      <c r="I3731">
        <v>20</v>
      </c>
      <c r="J3731">
        <v>14</v>
      </c>
      <c r="K3731">
        <v>11</v>
      </c>
      <c r="L3731">
        <v>10</v>
      </c>
      <c r="M3731">
        <v>11</v>
      </c>
      <c r="N3731">
        <v>1</v>
      </c>
      <c r="P3731">
        <f>G3731*I3731/100</f>
        <v>2270.84</v>
      </c>
      <c r="Q3731">
        <f t="shared" si="35"/>
        <v>136250.40000000002</v>
      </c>
      <c r="R3731">
        <f>K3731/J3731</f>
        <v>0.7857142857142857</v>
      </c>
    </row>
    <row r="3732" spans="1:18" x14ac:dyDescent="0.3">
      <c r="A3732">
        <v>27</v>
      </c>
      <c r="B3732">
        <v>1277</v>
      </c>
      <c r="C3732" t="s">
        <v>17</v>
      </c>
      <c r="D3732" t="s">
        <v>18</v>
      </c>
      <c r="E3732">
        <v>87</v>
      </c>
      <c r="F3732" t="s">
        <v>20</v>
      </c>
      <c r="G3732">
        <v>5083.1000000000004</v>
      </c>
      <c r="H3732">
        <v>5869</v>
      </c>
      <c r="I3732">
        <v>19</v>
      </c>
      <c r="J3732">
        <v>3</v>
      </c>
      <c r="K3732">
        <v>3</v>
      </c>
      <c r="L3732">
        <v>2</v>
      </c>
      <c r="M3732">
        <v>1</v>
      </c>
      <c r="N3732">
        <v>2</v>
      </c>
      <c r="P3732">
        <f>G3732*I3732/100</f>
        <v>965.7890000000001</v>
      </c>
      <c r="Q3732">
        <f t="shared" si="35"/>
        <v>60997.200000000004</v>
      </c>
      <c r="R3732">
        <f>K3732/J3732</f>
        <v>1</v>
      </c>
    </row>
    <row r="3733" spans="1:18" x14ac:dyDescent="0.3">
      <c r="A3733">
        <v>55</v>
      </c>
      <c r="B3733">
        <v>1091</v>
      </c>
      <c r="C3733" t="s">
        <v>17</v>
      </c>
      <c r="D3733" t="s">
        <v>18</v>
      </c>
      <c r="E3733">
        <v>65</v>
      </c>
      <c r="F3733" t="s">
        <v>21</v>
      </c>
      <c r="G3733">
        <v>12073.6</v>
      </c>
      <c r="H3733">
        <v>15813</v>
      </c>
      <c r="I3733">
        <v>18</v>
      </c>
      <c r="J3733">
        <v>23</v>
      </c>
      <c r="K3733">
        <v>3</v>
      </c>
      <c r="L3733">
        <v>2</v>
      </c>
      <c r="M3733">
        <v>1</v>
      </c>
      <c r="N3733">
        <v>2</v>
      </c>
      <c r="P3733">
        <f>G3733*I3733/100</f>
        <v>2173.248</v>
      </c>
      <c r="Q3733">
        <f t="shared" si="35"/>
        <v>144883.20000000001</v>
      </c>
      <c r="R3733">
        <f>K3733/J3733</f>
        <v>0.13043478260869565</v>
      </c>
    </row>
    <row r="3734" spans="1:18" x14ac:dyDescent="0.3">
      <c r="A3734">
        <v>28</v>
      </c>
      <c r="B3734">
        <v>857</v>
      </c>
      <c r="C3734" t="s">
        <v>17</v>
      </c>
      <c r="D3734" t="s">
        <v>15</v>
      </c>
      <c r="E3734">
        <v>59</v>
      </c>
      <c r="F3734" t="s">
        <v>19</v>
      </c>
      <c r="G3734">
        <v>4026.0000000000005</v>
      </c>
      <c r="H3734">
        <v>7909</v>
      </c>
      <c r="I3734">
        <v>13</v>
      </c>
      <c r="J3734">
        <v>10</v>
      </c>
      <c r="K3734">
        <v>8</v>
      </c>
      <c r="L3734">
        <v>7</v>
      </c>
      <c r="M3734">
        <v>1</v>
      </c>
      <c r="N3734">
        <v>7</v>
      </c>
      <c r="P3734">
        <f>G3734*I3734/100</f>
        <v>523.38000000000011</v>
      </c>
      <c r="Q3734">
        <f t="shared" si="35"/>
        <v>48312.000000000007</v>
      </c>
      <c r="R3734">
        <f>K3734/J3734</f>
        <v>0.8</v>
      </c>
    </row>
    <row r="3735" spans="1:18" x14ac:dyDescent="0.3">
      <c r="A3735">
        <v>44</v>
      </c>
      <c r="B3735">
        <v>1376</v>
      </c>
      <c r="C3735" t="s">
        <v>26</v>
      </c>
      <c r="D3735" t="s">
        <v>18</v>
      </c>
      <c r="E3735">
        <v>91</v>
      </c>
      <c r="F3735" t="s">
        <v>26</v>
      </c>
      <c r="G3735">
        <v>11530.2</v>
      </c>
      <c r="H3735">
        <v>2326</v>
      </c>
      <c r="I3735">
        <v>14</v>
      </c>
      <c r="J3735">
        <v>24</v>
      </c>
      <c r="K3735">
        <v>20</v>
      </c>
      <c r="L3735">
        <v>6</v>
      </c>
      <c r="M3735">
        <v>3</v>
      </c>
      <c r="N3735">
        <v>6</v>
      </c>
      <c r="P3735">
        <f>G3735*I3735/100</f>
        <v>1614.2280000000001</v>
      </c>
      <c r="Q3735">
        <f t="shared" si="35"/>
        <v>138362.40000000002</v>
      </c>
      <c r="R3735">
        <f>K3735/J3735</f>
        <v>0.83333333333333337</v>
      </c>
    </row>
    <row r="3736" spans="1:18" x14ac:dyDescent="0.3">
      <c r="A3736">
        <v>33</v>
      </c>
      <c r="B3736">
        <v>654</v>
      </c>
      <c r="C3736" t="s">
        <v>17</v>
      </c>
      <c r="D3736" t="s">
        <v>18</v>
      </c>
      <c r="E3736">
        <v>34</v>
      </c>
      <c r="F3736" t="s">
        <v>22</v>
      </c>
      <c r="G3736">
        <v>7830.9000000000005</v>
      </c>
      <c r="H3736">
        <v>21214</v>
      </c>
      <c r="I3736">
        <v>15</v>
      </c>
      <c r="J3736">
        <v>9</v>
      </c>
      <c r="K3736">
        <v>3</v>
      </c>
      <c r="L3736">
        <v>2</v>
      </c>
      <c r="M3736">
        <v>1</v>
      </c>
      <c r="N3736">
        <v>2</v>
      </c>
      <c r="P3736">
        <f>G3736*I3736/100</f>
        <v>1174.6350000000002</v>
      </c>
      <c r="Q3736">
        <f t="shared" si="35"/>
        <v>93970.8</v>
      </c>
      <c r="R3736">
        <f>K3736/J3736</f>
        <v>0.33333333333333331</v>
      </c>
    </row>
    <row r="3737" spans="1:18" x14ac:dyDescent="0.3">
      <c r="A3737">
        <v>35</v>
      </c>
      <c r="B3737">
        <v>1204</v>
      </c>
      <c r="C3737" t="s">
        <v>14</v>
      </c>
      <c r="D3737" t="s">
        <v>18</v>
      </c>
      <c r="E3737">
        <v>86</v>
      </c>
      <c r="F3737" t="s">
        <v>16</v>
      </c>
      <c r="G3737">
        <v>10540.2</v>
      </c>
      <c r="H3737">
        <v>10333</v>
      </c>
      <c r="I3737">
        <v>22</v>
      </c>
      <c r="J3737">
        <v>9</v>
      </c>
      <c r="K3737">
        <v>8</v>
      </c>
      <c r="L3737">
        <v>7</v>
      </c>
      <c r="M3737">
        <v>4</v>
      </c>
      <c r="N3737">
        <v>7</v>
      </c>
      <c r="P3737">
        <f>G3737*I3737/100</f>
        <v>2318.8440000000001</v>
      </c>
      <c r="Q3737">
        <f t="shared" si="35"/>
        <v>126482.40000000001</v>
      </c>
      <c r="R3737">
        <f>K3737/J3737</f>
        <v>0.88888888888888884</v>
      </c>
    </row>
    <row r="3738" spans="1:18" x14ac:dyDescent="0.3">
      <c r="A3738">
        <v>33</v>
      </c>
      <c r="B3738">
        <v>827</v>
      </c>
      <c r="C3738" t="s">
        <v>17</v>
      </c>
      <c r="D3738" t="s">
        <v>15</v>
      </c>
      <c r="E3738">
        <v>54</v>
      </c>
      <c r="F3738" t="s">
        <v>19</v>
      </c>
      <c r="G3738">
        <v>4958.8</v>
      </c>
      <c r="H3738">
        <v>3129</v>
      </c>
      <c r="I3738">
        <v>22</v>
      </c>
      <c r="J3738">
        <v>14</v>
      </c>
      <c r="K3738">
        <v>13</v>
      </c>
      <c r="L3738">
        <v>7</v>
      </c>
      <c r="M3738">
        <v>3</v>
      </c>
      <c r="N3738">
        <v>8</v>
      </c>
      <c r="P3738">
        <f>G3738*I3738/100</f>
        <v>1090.9360000000001</v>
      </c>
      <c r="Q3738">
        <f t="shared" si="35"/>
        <v>59505.600000000006</v>
      </c>
      <c r="R3738">
        <f>K3738/J3738</f>
        <v>0.9285714285714286</v>
      </c>
    </row>
    <row r="3739" spans="1:18" x14ac:dyDescent="0.3">
      <c r="A3739">
        <v>28</v>
      </c>
      <c r="B3739">
        <v>895</v>
      </c>
      <c r="C3739" t="s">
        <v>17</v>
      </c>
      <c r="D3739" t="s">
        <v>18</v>
      </c>
      <c r="E3739">
        <v>50</v>
      </c>
      <c r="F3739" t="s">
        <v>20</v>
      </c>
      <c r="G3739">
        <v>2427.7000000000003</v>
      </c>
      <c r="H3739">
        <v>22482</v>
      </c>
      <c r="I3739">
        <v>16</v>
      </c>
      <c r="J3739">
        <v>4</v>
      </c>
      <c r="K3739">
        <v>4</v>
      </c>
      <c r="L3739">
        <v>2</v>
      </c>
      <c r="M3739">
        <v>2</v>
      </c>
      <c r="N3739">
        <v>2</v>
      </c>
      <c r="P3739">
        <f>G3739*I3739/100</f>
        <v>388.43200000000002</v>
      </c>
      <c r="Q3739">
        <f t="shared" si="35"/>
        <v>29132.400000000001</v>
      </c>
      <c r="R3739">
        <f>K3739/J3739</f>
        <v>1</v>
      </c>
    </row>
    <row r="3740" spans="1:18" x14ac:dyDescent="0.3">
      <c r="A3740">
        <v>34</v>
      </c>
      <c r="B3740">
        <v>618</v>
      </c>
      <c r="C3740" t="s">
        <v>17</v>
      </c>
      <c r="D3740" t="s">
        <v>18</v>
      </c>
      <c r="E3740">
        <v>45</v>
      </c>
      <c r="F3740" t="s">
        <v>22</v>
      </c>
      <c r="G3740">
        <v>8531.6</v>
      </c>
      <c r="H3740">
        <v>22266</v>
      </c>
      <c r="I3740">
        <v>17</v>
      </c>
      <c r="J3740">
        <v>7</v>
      </c>
      <c r="K3740">
        <v>6</v>
      </c>
      <c r="L3740">
        <v>2</v>
      </c>
      <c r="M3740">
        <v>0</v>
      </c>
      <c r="N3740">
        <v>4</v>
      </c>
      <c r="P3740">
        <f>G3740*I3740/100</f>
        <v>1450.3720000000001</v>
      </c>
      <c r="Q3740">
        <f t="shared" si="35"/>
        <v>102379.20000000001</v>
      </c>
      <c r="R3740">
        <f>K3740/J3740</f>
        <v>0.8571428571428571</v>
      </c>
    </row>
    <row r="3741" spans="1:18" x14ac:dyDescent="0.3">
      <c r="A3741">
        <v>37</v>
      </c>
      <c r="B3741">
        <v>309</v>
      </c>
      <c r="C3741" t="s">
        <v>14</v>
      </c>
      <c r="D3741" t="s">
        <v>15</v>
      </c>
      <c r="E3741">
        <v>88</v>
      </c>
      <c r="F3741" t="s">
        <v>16</v>
      </c>
      <c r="G3741">
        <v>7363.4000000000005</v>
      </c>
      <c r="H3741">
        <v>24223</v>
      </c>
      <c r="I3741">
        <v>14</v>
      </c>
      <c r="J3741">
        <v>8</v>
      </c>
      <c r="K3741">
        <v>1</v>
      </c>
      <c r="L3741">
        <v>0</v>
      </c>
      <c r="M3741">
        <v>0</v>
      </c>
      <c r="N3741">
        <v>0</v>
      </c>
      <c r="P3741">
        <f>G3741*I3741/100</f>
        <v>1030.876</v>
      </c>
      <c r="Q3741">
        <f t="shared" si="35"/>
        <v>88360.8</v>
      </c>
      <c r="R3741">
        <f>K3741/J3741</f>
        <v>0.125</v>
      </c>
    </row>
    <row r="3742" spans="1:18" x14ac:dyDescent="0.3">
      <c r="A3742">
        <v>25</v>
      </c>
      <c r="B3742">
        <v>1219</v>
      </c>
      <c r="C3742" t="s">
        <v>17</v>
      </c>
      <c r="D3742" t="s">
        <v>18</v>
      </c>
      <c r="E3742">
        <v>32</v>
      </c>
      <c r="F3742" t="s">
        <v>20</v>
      </c>
      <c r="G3742">
        <v>4060.1000000000004</v>
      </c>
      <c r="H3742">
        <v>4605</v>
      </c>
      <c r="I3742">
        <v>15</v>
      </c>
      <c r="J3742">
        <v>7</v>
      </c>
      <c r="K3742">
        <v>7</v>
      </c>
      <c r="L3742">
        <v>7</v>
      </c>
      <c r="M3742">
        <v>5</v>
      </c>
      <c r="N3742">
        <v>6</v>
      </c>
      <c r="P3742">
        <f>G3742*I3742/100</f>
        <v>609.0150000000001</v>
      </c>
      <c r="Q3742">
        <f t="shared" si="35"/>
        <v>48721.200000000004</v>
      </c>
      <c r="R3742">
        <f>K3742/J3742</f>
        <v>1</v>
      </c>
    </row>
    <row r="3743" spans="1:18" x14ac:dyDescent="0.3">
      <c r="A3743">
        <v>26</v>
      </c>
      <c r="B3743">
        <v>1330</v>
      </c>
      <c r="C3743" t="s">
        <v>17</v>
      </c>
      <c r="D3743" t="s">
        <v>18</v>
      </c>
      <c r="E3743">
        <v>37</v>
      </c>
      <c r="F3743" t="s">
        <v>20</v>
      </c>
      <c r="G3743">
        <v>2614.7000000000003</v>
      </c>
      <c r="H3743">
        <v>19373</v>
      </c>
      <c r="I3743">
        <v>20</v>
      </c>
      <c r="J3743">
        <v>1</v>
      </c>
      <c r="K3743">
        <v>1</v>
      </c>
      <c r="L3743">
        <v>1</v>
      </c>
      <c r="M3743">
        <v>0</v>
      </c>
      <c r="N3743">
        <v>0</v>
      </c>
      <c r="P3743">
        <f>G3743*I3743/100</f>
        <v>522.94000000000005</v>
      </c>
      <c r="Q3743">
        <f t="shared" si="35"/>
        <v>31376.400000000001</v>
      </c>
      <c r="R3743">
        <f>K3743/J3743</f>
        <v>1</v>
      </c>
    </row>
    <row r="3744" spans="1:18" x14ac:dyDescent="0.3">
      <c r="A3744">
        <v>33</v>
      </c>
      <c r="B3744">
        <v>1017</v>
      </c>
      <c r="C3744" t="s">
        <v>17</v>
      </c>
      <c r="D3744" t="s">
        <v>18</v>
      </c>
      <c r="E3744">
        <v>55</v>
      </c>
      <c r="F3744" t="s">
        <v>19</v>
      </c>
      <c r="G3744">
        <v>2544.3000000000002</v>
      </c>
      <c r="H3744">
        <v>2993</v>
      </c>
      <c r="I3744">
        <v>20</v>
      </c>
      <c r="J3744">
        <v>5</v>
      </c>
      <c r="K3744">
        <v>2</v>
      </c>
      <c r="L3744">
        <v>2</v>
      </c>
      <c r="M3744">
        <v>2</v>
      </c>
      <c r="N3744">
        <v>2</v>
      </c>
      <c r="P3744">
        <f>G3744*I3744/100</f>
        <v>508.86</v>
      </c>
      <c r="Q3744">
        <f t="shared" si="35"/>
        <v>30531.600000000002</v>
      </c>
      <c r="R3744">
        <f>K3744/J3744</f>
        <v>0.4</v>
      </c>
    </row>
    <row r="3745" spans="1:18" x14ac:dyDescent="0.3">
      <c r="A3745">
        <v>42</v>
      </c>
      <c r="B3745">
        <v>469</v>
      </c>
      <c r="C3745" t="s">
        <v>17</v>
      </c>
      <c r="D3745" t="s">
        <v>18</v>
      </c>
      <c r="E3745">
        <v>35</v>
      </c>
      <c r="F3745" t="s">
        <v>23</v>
      </c>
      <c r="G3745">
        <v>19431.5</v>
      </c>
      <c r="H3745">
        <v>14399</v>
      </c>
      <c r="I3745">
        <v>17</v>
      </c>
      <c r="J3745">
        <v>23</v>
      </c>
      <c r="K3745">
        <v>22</v>
      </c>
      <c r="L3745">
        <v>6</v>
      </c>
      <c r="M3745">
        <v>13</v>
      </c>
      <c r="N3745">
        <v>7</v>
      </c>
      <c r="P3745">
        <f>G3745*I3745/100</f>
        <v>3303.355</v>
      </c>
      <c r="Q3745">
        <f t="shared" si="35"/>
        <v>233178</v>
      </c>
      <c r="R3745">
        <f>K3745/J3745</f>
        <v>0.95652173913043481</v>
      </c>
    </row>
    <row r="3746" spans="1:18" x14ac:dyDescent="0.3">
      <c r="A3746">
        <v>28</v>
      </c>
      <c r="B3746">
        <v>1009</v>
      </c>
      <c r="C3746" t="s">
        <v>17</v>
      </c>
      <c r="D3746" t="s">
        <v>18</v>
      </c>
      <c r="E3746">
        <v>45</v>
      </c>
      <c r="F3746" t="s">
        <v>20</v>
      </c>
      <c r="G3746">
        <v>2855.6000000000004</v>
      </c>
      <c r="H3746">
        <v>7160</v>
      </c>
      <c r="I3746">
        <v>15</v>
      </c>
      <c r="J3746">
        <v>1</v>
      </c>
      <c r="K3746">
        <v>1</v>
      </c>
      <c r="L3746">
        <v>0</v>
      </c>
      <c r="M3746">
        <v>0</v>
      </c>
      <c r="N3746">
        <v>0</v>
      </c>
      <c r="P3746">
        <f>G3746*I3746/100</f>
        <v>428.34000000000009</v>
      </c>
      <c r="Q3746">
        <f t="shared" si="35"/>
        <v>34267.200000000004</v>
      </c>
      <c r="R3746">
        <f>K3746/J3746</f>
        <v>1</v>
      </c>
    </row>
    <row r="3747" spans="1:18" x14ac:dyDescent="0.3">
      <c r="A3747">
        <v>50</v>
      </c>
      <c r="B3747">
        <v>959</v>
      </c>
      <c r="C3747" t="s">
        <v>14</v>
      </c>
      <c r="D3747" t="s">
        <v>18</v>
      </c>
      <c r="E3747">
        <v>81</v>
      </c>
      <c r="F3747" t="s">
        <v>16</v>
      </c>
      <c r="G3747">
        <v>5200.8</v>
      </c>
      <c r="H3747">
        <v>17251</v>
      </c>
      <c r="I3747">
        <v>14</v>
      </c>
      <c r="J3747">
        <v>5</v>
      </c>
      <c r="K3747">
        <v>0</v>
      </c>
      <c r="L3747">
        <v>0</v>
      </c>
      <c r="M3747">
        <v>0</v>
      </c>
      <c r="N3747">
        <v>0</v>
      </c>
      <c r="P3747">
        <f>G3747*I3747/100</f>
        <v>728.11199999999997</v>
      </c>
      <c r="Q3747">
        <f t="shared" si="35"/>
        <v>62409.600000000006</v>
      </c>
      <c r="R3747">
        <f>K3747/J3747</f>
        <v>0</v>
      </c>
    </row>
    <row r="3748" spans="1:18" x14ac:dyDescent="0.3">
      <c r="A3748">
        <v>33</v>
      </c>
      <c r="B3748">
        <v>970</v>
      </c>
      <c r="C3748" t="s">
        <v>14</v>
      </c>
      <c r="D3748" t="s">
        <v>15</v>
      </c>
      <c r="E3748">
        <v>30</v>
      </c>
      <c r="F3748" t="s">
        <v>16</v>
      </c>
      <c r="G3748">
        <v>4732.2000000000007</v>
      </c>
      <c r="H3748">
        <v>13401</v>
      </c>
      <c r="I3748">
        <v>17</v>
      </c>
      <c r="J3748">
        <v>4</v>
      </c>
      <c r="K3748">
        <v>3</v>
      </c>
      <c r="L3748">
        <v>2</v>
      </c>
      <c r="M3748">
        <v>0</v>
      </c>
      <c r="N3748">
        <v>2</v>
      </c>
      <c r="P3748">
        <f>G3748*I3748/100</f>
        <v>804.47400000000005</v>
      </c>
      <c r="Q3748">
        <f t="shared" si="35"/>
        <v>56786.400000000009</v>
      </c>
      <c r="R3748">
        <f>K3748/J3748</f>
        <v>0.75</v>
      </c>
    </row>
    <row r="3749" spans="1:18" x14ac:dyDescent="0.3">
      <c r="A3749">
        <v>34</v>
      </c>
      <c r="B3749">
        <v>697</v>
      </c>
      <c r="C3749" t="s">
        <v>17</v>
      </c>
      <c r="D3749" t="s">
        <v>18</v>
      </c>
      <c r="E3749">
        <v>40</v>
      </c>
      <c r="F3749" t="s">
        <v>19</v>
      </c>
      <c r="G3749">
        <v>3276.9</v>
      </c>
      <c r="H3749">
        <v>22478</v>
      </c>
      <c r="I3749">
        <v>17</v>
      </c>
      <c r="J3749">
        <v>6</v>
      </c>
      <c r="K3749">
        <v>0</v>
      </c>
      <c r="L3749">
        <v>0</v>
      </c>
      <c r="M3749">
        <v>0</v>
      </c>
      <c r="N3749">
        <v>0</v>
      </c>
      <c r="P3749">
        <f>G3749*I3749/100</f>
        <v>557.07299999999998</v>
      </c>
      <c r="Q3749">
        <f t="shared" si="35"/>
        <v>39322.800000000003</v>
      </c>
      <c r="R3749">
        <f>K3749/J3749</f>
        <v>0</v>
      </c>
    </row>
    <row r="3750" spans="1:18" x14ac:dyDescent="0.3">
      <c r="A3750">
        <v>48</v>
      </c>
      <c r="B3750">
        <v>1262</v>
      </c>
      <c r="C3750" t="s">
        <v>17</v>
      </c>
      <c r="D3750" t="s">
        <v>18</v>
      </c>
      <c r="E3750">
        <v>35</v>
      </c>
      <c r="F3750" t="s">
        <v>23</v>
      </c>
      <c r="G3750">
        <v>18573.5</v>
      </c>
      <c r="H3750">
        <v>16154</v>
      </c>
      <c r="I3750">
        <v>22</v>
      </c>
      <c r="J3750">
        <v>27</v>
      </c>
      <c r="K3750">
        <v>5</v>
      </c>
      <c r="L3750">
        <v>4</v>
      </c>
      <c r="M3750">
        <v>2</v>
      </c>
      <c r="N3750">
        <v>1</v>
      </c>
      <c r="P3750">
        <f>G3750*I3750/100</f>
        <v>4086.17</v>
      </c>
      <c r="Q3750">
        <f t="shared" si="35"/>
        <v>222882</v>
      </c>
      <c r="R3750">
        <f>K3750/J3750</f>
        <v>0.18518518518518517</v>
      </c>
    </row>
    <row r="3751" spans="1:18" x14ac:dyDescent="0.3">
      <c r="A3751">
        <v>45</v>
      </c>
      <c r="B3751">
        <v>1050</v>
      </c>
      <c r="C3751" t="s">
        <v>14</v>
      </c>
      <c r="D3751" t="s">
        <v>15</v>
      </c>
      <c r="E3751">
        <v>65</v>
      </c>
      <c r="F3751" t="s">
        <v>16</v>
      </c>
      <c r="G3751">
        <v>6152.3</v>
      </c>
      <c r="H3751">
        <v>17970</v>
      </c>
      <c r="I3751">
        <v>13</v>
      </c>
      <c r="J3751">
        <v>15</v>
      </c>
      <c r="K3751">
        <v>15</v>
      </c>
      <c r="L3751">
        <v>10</v>
      </c>
      <c r="M3751">
        <v>4</v>
      </c>
      <c r="N3751">
        <v>12</v>
      </c>
      <c r="P3751">
        <f>G3751*I3751/100</f>
        <v>799.79900000000009</v>
      </c>
      <c r="Q3751">
        <f t="shared" si="35"/>
        <v>73827.600000000006</v>
      </c>
      <c r="R3751">
        <f>K3751/J3751</f>
        <v>1</v>
      </c>
    </row>
    <row r="3752" spans="1:18" x14ac:dyDescent="0.3">
      <c r="A3752">
        <v>52</v>
      </c>
      <c r="B3752">
        <v>994</v>
      </c>
      <c r="C3752" t="s">
        <v>17</v>
      </c>
      <c r="D3752" t="s">
        <v>18</v>
      </c>
      <c r="E3752">
        <v>87</v>
      </c>
      <c r="F3752" t="s">
        <v>22</v>
      </c>
      <c r="G3752">
        <v>11489.500000000002</v>
      </c>
      <c r="H3752">
        <v>15322</v>
      </c>
      <c r="I3752">
        <v>19</v>
      </c>
      <c r="J3752">
        <v>18</v>
      </c>
      <c r="K3752">
        <v>8</v>
      </c>
      <c r="L3752">
        <v>6</v>
      </c>
      <c r="M3752">
        <v>4</v>
      </c>
      <c r="N3752">
        <v>0</v>
      </c>
      <c r="P3752">
        <f>G3752*I3752/100</f>
        <v>2183.0050000000001</v>
      </c>
      <c r="Q3752">
        <f t="shared" si="35"/>
        <v>137874.00000000003</v>
      </c>
      <c r="R3752">
        <f>K3752/J3752</f>
        <v>0.44444444444444442</v>
      </c>
    </row>
    <row r="3753" spans="1:18" x14ac:dyDescent="0.3">
      <c r="A3753">
        <v>38</v>
      </c>
      <c r="B3753">
        <v>770</v>
      </c>
      <c r="C3753" t="s">
        <v>14</v>
      </c>
      <c r="D3753" t="s">
        <v>18</v>
      </c>
      <c r="E3753">
        <v>73</v>
      </c>
      <c r="F3753" t="s">
        <v>16</v>
      </c>
      <c r="G3753">
        <v>9614</v>
      </c>
      <c r="H3753">
        <v>5569</v>
      </c>
      <c r="I3753">
        <v>14</v>
      </c>
      <c r="J3753">
        <v>9</v>
      </c>
      <c r="K3753">
        <v>8</v>
      </c>
      <c r="L3753">
        <v>7</v>
      </c>
      <c r="M3753">
        <v>2</v>
      </c>
      <c r="N3753">
        <v>7</v>
      </c>
      <c r="P3753">
        <f>G3753*I3753/100</f>
        <v>1345.96</v>
      </c>
      <c r="Q3753">
        <f t="shared" si="35"/>
        <v>115368</v>
      </c>
      <c r="R3753">
        <f>K3753/J3753</f>
        <v>0.88888888888888884</v>
      </c>
    </row>
    <row r="3754" spans="1:18" x14ac:dyDescent="0.3">
      <c r="A3754">
        <v>29</v>
      </c>
      <c r="B3754">
        <v>1107</v>
      </c>
      <c r="C3754" t="s">
        <v>17</v>
      </c>
      <c r="D3754" t="s">
        <v>15</v>
      </c>
      <c r="E3754">
        <v>93</v>
      </c>
      <c r="F3754" t="s">
        <v>19</v>
      </c>
      <c r="G3754">
        <v>2765.4</v>
      </c>
      <c r="H3754">
        <v>26968</v>
      </c>
      <c r="I3754">
        <v>22</v>
      </c>
      <c r="J3754">
        <v>11</v>
      </c>
      <c r="K3754">
        <v>7</v>
      </c>
      <c r="L3754">
        <v>5</v>
      </c>
      <c r="M3754">
        <v>1</v>
      </c>
      <c r="N3754">
        <v>7</v>
      </c>
      <c r="P3754">
        <f>G3754*I3754/100</f>
        <v>608.38800000000003</v>
      </c>
      <c r="Q3754">
        <f t="shared" si="35"/>
        <v>33184.800000000003</v>
      </c>
      <c r="R3754">
        <f>K3754/J3754</f>
        <v>0.63636363636363635</v>
      </c>
    </row>
    <row r="3755" spans="1:18" x14ac:dyDescent="0.3">
      <c r="A3755">
        <v>28</v>
      </c>
      <c r="B3755">
        <v>950</v>
      </c>
      <c r="C3755" t="s">
        <v>17</v>
      </c>
      <c r="D3755" t="s">
        <v>15</v>
      </c>
      <c r="E3755">
        <v>93</v>
      </c>
      <c r="F3755" t="s">
        <v>21</v>
      </c>
      <c r="G3755">
        <v>8420.5</v>
      </c>
      <c r="H3755">
        <v>8039</v>
      </c>
      <c r="I3755">
        <v>17</v>
      </c>
      <c r="J3755">
        <v>10</v>
      </c>
      <c r="K3755">
        <v>9</v>
      </c>
      <c r="L3755">
        <v>7</v>
      </c>
      <c r="M3755">
        <v>1</v>
      </c>
      <c r="N3755">
        <v>7</v>
      </c>
      <c r="P3755">
        <f>G3755*I3755/100</f>
        <v>1431.4849999999999</v>
      </c>
      <c r="Q3755">
        <f t="shared" si="35"/>
        <v>101046</v>
      </c>
      <c r="R3755">
        <f>K3755/J3755</f>
        <v>0.9</v>
      </c>
    </row>
    <row r="3756" spans="1:18" x14ac:dyDescent="0.3">
      <c r="A3756">
        <v>46</v>
      </c>
      <c r="B3756">
        <v>406</v>
      </c>
      <c r="C3756" t="s">
        <v>14</v>
      </c>
      <c r="D3756" t="s">
        <v>18</v>
      </c>
      <c r="E3756">
        <v>52</v>
      </c>
      <c r="F3756" t="s">
        <v>23</v>
      </c>
      <c r="G3756">
        <v>19211.5</v>
      </c>
      <c r="H3756">
        <v>15596</v>
      </c>
      <c r="I3756">
        <v>12</v>
      </c>
      <c r="J3756">
        <v>23</v>
      </c>
      <c r="K3756">
        <v>12</v>
      </c>
      <c r="L3756">
        <v>9</v>
      </c>
      <c r="M3756">
        <v>4</v>
      </c>
      <c r="N3756">
        <v>9</v>
      </c>
      <c r="P3756">
        <f>G3756*I3756/100</f>
        <v>2305.38</v>
      </c>
      <c r="Q3756">
        <f t="shared" si="35"/>
        <v>230538</v>
      </c>
      <c r="R3756">
        <f>K3756/J3756</f>
        <v>0.52173913043478259</v>
      </c>
    </row>
    <row r="3757" spans="1:18" x14ac:dyDescent="0.3">
      <c r="A3757">
        <v>38</v>
      </c>
      <c r="B3757">
        <v>130</v>
      </c>
      <c r="C3757" t="s">
        <v>14</v>
      </c>
      <c r="D3757" t="s">
        <v>18</v>
      </c>
      <c r="E3757">
        <v>32</v>
      </c>
      <c r="F3757" t="s">
        <v>16</v>
      </c>
      <c r="G3757">
        <v>8086.1</v>
      </c>
      <c r="H3757">
        <v>20619</v>
      </c>
      <c r="I3757">
        <v>16</v>
      </c>
      <c r="J3757">
        <v>10</v>
      </c>
      <c r="K3757">
        <v>1</v>
      </c>
      <c r="L3757">
        <v>0</v>
      </c>
      <c r="M3757">
        <v>0</v>
      </c>
      <c r="N3757">
        <v>0</v>
      </c>
      <c r="P3757">
        <f>G3757*I3757/100</f>
        <v>1293.7760000000001</v>
      </c>
      <c r="Q3757">
        <f t="shared" si="35"/>
        <v>97033.200000000012</v>
      </c>
      <c r="R3757">
        <f>K3757/J3757</f>
        <v>0.1</v>
      </c>
    </row>
    <row r="3758" spans="1:18" x14ac:dyDescent="0.3">
      <c r="A3758">
        <v>43</v>
      </c>
      <c r="B3758">
        <v>1082</v>
      </c>
      <c r="C3758" t="s">
        <v>17</v>
      </c>
      <c r="D3758" t="s">
        <v>15</v>
      </c>
      <c r="E3758">
        <v>83</v>
      </c>
      <c r="F3758" t="s">
        <v>21</v>
      </c>
      <c r="G3758">
        <v>11902.000000000002</v>
      </c>
      <c r="H3758">
        <v>11535</v>
      </c>
      <c r="I3758">
        <v>11</v>
      </c>
      <c r="J3758">
        <v>18</v>
      </c>
      <c r="K3758">
        <v>8</v>
      </c>
      <c r="L3758">
        <v>7</v>
      </c>
      <c r="M3758">
        <v>0</v>
      </c>
      <c r="N3758">
        <v>1</v>
      </c>
      <c r="P3758">
        <f>G3758*I3758/100</f>
        <v>1309.2200000000003</v>
      </c>
      <c r="Q3758">
        <f t="shared" si="35"/>
        <v>142824.00000000003</v>
      </c>
      <c r="R3758">
        <f>K3758/J3758</f>
        <v>0.44444444444444442</v>
      </c>
    </row>
    <row r="3759" spans="1:18" x14ac:dyDescent="0.3">
      <c r="A3759">
        <v>39</v>
      </c>
      <c r="B3759">
        <v>203</v>
      </c>
      <c r="C3759" t="s">
        <v>17</v>
      </c>
      <c r="D3759" t="s">
        <v>18</v>
      </c>
      <c r="E3759">
        <v>84</v>
      </c>
      <c r="F3759" t="s">
        <v>22</v>
      </c>
      <c r="G3759">
        <v>13385.900000000001</v>
      </c>
      <c r="H3759">
        <v>13547</v>
      </c>
      <c r="I3759">
        <v>11</v>
      </c>
      <c r="J3759">
        <v>21</v>
      </c>
      <c r="K3759">
        <v>18</v>
      </c>
      <c r="L3759">
        <v>7</v>
      </c>
      <c r="M3759">
        <v>11</v>
      </c>
      <c r="N3759">
        <v>5</v>
      </c>
      <c r="P3759">
        <f>G3759*I3759/100</f>
        <v>1472.4490000000003</v>
      </c>
      <c r="Q3759">
        <f t="shared" si="35"/>
        <v>160630.80000000002</v>
      </c>
      <c r="R3759">
        <f>K3759/J3759</f>
        <v>0.8571428571428571</v>
      </c>
    </row>
    <row r="3760" spans="1:18" x14ac:dyDescent="0.3">
      <c r="A3760">
        <v>40</v>
      </c>
      <c r="B3760">
        <v>1308</v>
      </c>
      <c r="C3760" t="s">
        <v>17</v>
      </c>
      <c r="D3760" t="s">
        <v>18</v>
      </c>
      <c r="E3760">
        <v>44</v>
      </c>
      <c r="F3760" t="s">
        <v>25</v>
      </c>
      <c r="G3760">
        <v>21588.600000000002</v>
      </c>
      <c r="H3760">
        <v>17544</v>
      </c>
      <c r="I3760">
        <v>14</v>
      </c>
      <c r="J3760">
        <v>21</v>
      </c>
      <c r="K3760">
        <v>20</v>
      </c>
      <c r="L3760">
        <v>7</v>
      </c>
      <c r="M3760">
        <v>4</v>
      </c>
      <c r="N3760">
        <v>9</v>
      </c>
      <c r="P3760">
        <f>G3760*I3760/100</f>
        <v>3022.4040000000005</v>
      </c>
      <c r="Q3760">
        <f t="shared" si="35"/>
        <v>259063.2</v>
      </c>
      <c r="R3760">
        <f>K3760/J3760</f>
        <v>0.95238095238095233</v>
      </c>
    </row>
    <row r="3761" spans="1:18" x14ac:dyDescent="0.3">
      <c r="A3761">
        <v>21</v>
      </c>
      <c r="B3761">
        <v>984</v>
      </c>
      <c r="C3761" t="s">
        <v>17</v>
      </c>
      <c r="D3761" t="s">
        <v>15</v>
      </c>
      <c r="E3761">
        <v>70</v>
      </c>
      <c r="F3761" t="s">
        <v>19</v>
      </c>
      <c r="G3761">
        <v>2277</v>
      </c>
      <c r="H3761">
        <v>25326</v>
      </c>
      <c r="I3761">
        <v>11</v>
      </c>
      <c r="J3761">
        <v>2</v>
      </c>
      <c r="K3761">
        <v>2</v>
      </c>
      <c r="L3761">
        <v>2</v>
      </c>
      <c r="M3761">
        <v>2</v>
      </c>
      <c r="N3761">
        <v>2</v>
      </c>
      <c r="P3761">
        <f>G3761*I3761/100</f>
        <v>250.47</v>
      </c>
      <c r="Q3761">
        <f t="shared" si="35"/>
        <v>27324</v>
      </c>
      <c r="R3761">
        <f>K3761/J3761</f>
        <v>1</v>
      </c>
    </row>
    <row r="3762" spans="1:18" x14ac:dyDescent="0.3">
      <c r="A3762">
        <v>39</v>
      </c>
      <c r="B3762">
        <v>439</v>
      </c>
      <c r="C3762" t="s">
        <v>17</v>
      </c>
      <c r="D3762" t="s">
        <v>18</v>
      </c>
      <c r="E3762">
        <v>70</v>
      </c>
      <c r="F3762" t="s">
        <v>20</v>
      </c>
      <c r="G3762">
        <v>7460.2000000000007</v>
      </c>
      <c r="H3762">
        <v>8770</v>
      </c>
      <c r="I3762">
        <v>15</v>
      </c>
      <c r="J3762">
        <v>9</v>
      </c>
      <c r="K3762">
        <v>5</v>
      </c>
      <c r="L3762">
        <v>4</v>
      </c>
      <c r="M3762">
        <v>0</v>
      </c>
      <c r="N3762">
        <v>3</v>
      </c>
      <c r="P3762">
        <f>G3762*I3762/100</f>
        <v>1119.0300000000002</v>
      </c>
      <c r="Q3762">
        <f t="shared" si="35"/>
        <v>89522.400000000009</v>
      </c>
      <c r="R3762">
        <f>K3762/J3762</f>
        <v>0.55555555555555558</v>
      </c>
    </row>
    <row r="3763" spans="1:18" x14ac:dyDescent="0.3">
      <c r="A3763">
        <v>36</v>
      </c>
      <c r="B3763">
        <v>217</v>
      </c>
      <c r="C3763" t="s">
        <v>17</v>
      </c>
      <c r="D3763" t="s">
        <v>18</v>
      </c>
      <c r="E3763">
        <v>78</v>
      </c>
      <c r="F3763" t="s">
        <v>21</v>
      </c>
      <c r="G3763">
        <v>8556.9000000000015</v>
      </c>
      <c r="H3763">
        <v>23238</v>
      </c>
      <c r="I3763">
        <v>20</v>
      </c>
      <c r="J3763">
        <v>18</v>
      </c>
      <c r="K3763">
        <v>11</v>
      </c>
      <c r="L3763">
        <v>9</v>
      </c>
      <c r="M3763">
        <v>0</v>
      </c>
      <c r="N3763">
        <v>9</v>
      </c>
      <c r="P3763">
        <f>G3763*I3763/100</f>
        <v>1711.3800000000003</v>
      </c>
      <c r="Q3763">
        <f t="shared" si="35"/>
        <v>102682.80000000002</v>
      </c>
      <c r="R3763">
        <f>K3763/J3763</f>
        <v>0.61111111111111116</v>
      </c>
    </row>
    <row r="3764" spans="1:18" x14ac:dyDescent="0.3">
      <c r="A3764">
        <v>31</v>
      </c>
      <c r="B3764">
        <v>793</v>
      </c>
      <c r="C3764" t="s">
        <v>14</v>
      </c>
      <c r="D3764" t="s">
        <v>18</v>
      </c>
      <c r="E3764">
        <v>67</v>
      </c>
      <c r="F3764" t="s">
        <v>24</v>
      </c>
      <c r="G3764">
        <v>3070.1000000000004</v>
      </c>
      <c r="H3764">
        <v>21981</v>
      </c>
      <c r="I3764">
        <v>12</v>
      </c>
      <c r="J3764">
        <v>3</v>
      </c>
      <c r="K3764">
        <v>2</v>
      </c>
      <c r="L3764">
        <v>2</v>
      </c>
      <c r="M3764">
        <v>2</v>
      </c>
      <c r="N3764">
        <v>2</v>
      </c>
      <c r="P3764">
        <f>G3764*I3764/100</f>
        <v>368.41200000000003</v>
      </c>
      <c r="Q3764">
        <f t="shared" si="35"/>
        <v>36841.200000000004</v>
      </c>
      <c r="R3764">
        <f>K3764/J3764</f>
        <v>0.66666666666666663</v>
      </c>
    </row>
    <row r="3765" spans="1:18" x14ac:dyDescent="0.3">
      <c r="A3765">
        <v>28</v>
      </c>
      <c r="B3765">
        <v>1451</v>
      </c>
      <c r="C3765" t="s">
        <v>17</v>
      </c>
      <c r="D3765" t="s">
        <v>18</v>
      </c>
      <c r="E3765">
        <v>67</v>
      </c>
      <c r="F3765" t="s">
        <v>19</v>
      </c>
      <c r="G3765">
        <v>3521.1000000000004</v>
      </c>
      <c r="H3765">
        <v>19911</v>
      </c>
      <c r="I3765">
        <v>17</v>
      </c>
      <c r="J3765">
        <v>6</v>
      </c>
      <c r="K3765">
        <v>5</v>
      </c>
      <c r="L3765">
        <v>3</v>
      </c>
      <c r="M3765">
        <v>0</v>
      </c>
      <c r="N3765">
        <v>4</v>
      </c>
      <c r="P3765">
        <f>G3765*I3765/100</f>
        <v>598.58699999999999</v>
      </c>
      <c r="Q3765">
        <f t="shared" si="35"/>
        <v>42253.200000000004</v>
      </c>
      <c r="R3765">
        <f>K3765/J3765</f>
        <v>0.83333333333333337</v>
      </c>
    </row>
    <row r="3766" spans="1:18" x14ac:dyDescent="0.3">
      <c r="A3766">
        <v>35</v>
      </c>
      <c r="B3766">
        <v>1182</v>
      </c>
      <c r="C3766" t="s">
        <v>14</v>
      </c>
      <c r="D3766" t="s">
        <v>18</v>
      </c>
      <c r="E3766">
        <v>54</v>
      </c>
      <c r="F3766" t="s">
        <v>16</v>
      </c>
      <c r="G3766">
        <v>5464.8</v>
      </c>
      <c r="H3766">
        <v>18500</v>
      </c>
      <c r="I3766">
        <v>11</v>
      </c>
      <c r="J3766">
        <v>5</v>
      </c>
      <c r="K3766">
        <v>5</v>
      </c>
      <c r="L3766">
        <v>2</v>
      </c>
      <c r="M3766">
        <v>0</v>
      </c>
      <c r="N3766">
        <v>2</v>
      </c>
      <c r="P3766">
        <f>G3766*I3766/100</f>
        <v>601.12800000000004</v>
      </c>
      <c r="Q3766">
        <f t="shared" si="35"/>
        <v>65577.600000000006</v>
      </c>
      <c r="R3766">
        <f>K3766/J3766</f>
        <v>1</v>
      </c>
    </row>
    <row r="3767" spans="1:18" x14ac:dyDescent="0.3">
      <c r="A3767">
        <v>49</v>
      </c>
      <c r="B3767">
        <v>174</v>
      </c>
      <c r="C3767" t="s">
        <v>14</v>
      </c>
      <c r="D3767" t="s">
        <v>18</v>
      </c>
      <c r="E3767">
        <v>56</v>
      </c>
      <c r="F3767" t="s">
        <v>16</v>
      </c>
      <c r="G3767">
        <v>14432.000000000002</v>
      </c>
      <c r="H3767">
        <v>11879</v>
      </c>
      <c r="I3767">
        <v>17</v>
      </c>
      <c r="J3767">
        <v>22</v>
      </c>
      <c r="K3767">
        <v>9</v>
      </c>
      <c r="L3767">
        <v>8</v>
      </c>
      <c r="M3767">
        <v>2</v>
      </c>
      <c r="N3767">
        <v>3</v>
      </c>
      <c r="P3767">
        <f>G3767*I3767/100</f>
        <v>2453.4400000000005</v>
      </c>
      <c r="Q3767">
        <f t="shared" si="35"/>
        <v>173184.00000000003</v>
      </c>
      <c r="R3767">
        <f>K3767/J3767</f>
        <v>0.40909090909090912</v>
      </c>
    </row>
    <row r="3768" spans="1:18" x14ac:dyDescent="0.3">
      <c r="A3768">
        <v>34</v>
      </c>
      <c r="B3768">
        <v>1003</v>
      </c>
      <c r="C3768" t="s">
        <v>17</v>
      </c>
      <c r="D3768" t="s">
        <v>18</v>
      </c>
      <c r="E3768">
        <v>95</v>
      </c>
      <c r="F3768" t="s">
        <v>21</v>
      </c>
      <c r="G3768">
        <v>4436.3</v>
      </c>
      <c r="H3768">
        <v>15834</v>
      </c>
      <c r="I3768">
        <v>11</v>
      </c>
      <c r="J3768">
        <v>5</v>
      </c>
      <c r="K3768">
        <v>3</v>
      </c>
      <c r="L3768">
        <v>2</v>
      </c>
      <c r="M3768">
        <v>0</v>
      </c>
      <c r="N3768">
        <v>2</v>
      </c>
      <c r="P3768">
        <f>G3768*I3768/100</f>
        <v>487.99300000000005</v>
      </c>
      <c r="Q3768">
        <f t="shared" si="35"/>
        <v>53235.600000000006</v>
      </c>
      <c r="R3768">
        <f>K3768/J3768</f>
        <v>0.6</v>
      </c>
    </row>
    <row r="3769" spans="1:18" x14ac:dyDescent="0.3">
      <c r="A3769">
        <v>29</v>
      </c>
      <c r="B3769">
        <v>490</v>
      </c>
      <c r="C3769" t="s">
        <v>17</v>
      </c>
      <c r="D3769" t="s">
        <v>15</v>
      </c>
      <c r="E3769">
        <v>61</v>
      </c>
      <c r="F3769" t="s">
        <v>19</v>
      </c>
      <c r="G3769">
        <v>3620.1000000000004</v>
      </c>
      <c r="H3769">
        <v>17940</v>
      </c>
      <c r="I3769">
        <v>14</v>
      </c>
      <c r="J3769">
        <v>8</v>
      </c>
      <c r="K3769">
        <v>7</v>
      </c>
      <c r="L3769">
        <v>5</v>
      </c>
      <c r="M3769">
        <v>1</v>
      </c>
      <c r="N3769">
        <v>1</v>
      </c>
      <c r="P3769">
        <f>G3769*I3769/100</f>
        <v>506.81400000000008</v>
      </c>
      <c r="Q3769">
        <f t="shared" si="35"/>
        <v>43441.200000000004</v>
      </c>
      <c r="R3769">
        <f>K3769/J3769</f>
        <v>0.875</v>
      </c>
    </row>
    <row r="3770" spans="1:18" x14ac:dyDescent="0.3">
      <c r="A3770">
        <v>42</v>
      </c>
      <c r="B3770">
        <v>188</v>
      </c>
      <c r="C3770" t="s">
        <v>17</v>
      </c>
      <c r="D3770" t="s">
        <v>18</v>
      </c>
      <c r="E3770">
        <v>56</v>
      </c>
      <c r="F3770" t="s">
        <v>20</v>
      </c>
      <c r="G3770">
        <v>4699.2000000000007</v>
      </c>
      <c r="H3770">
        <v>9558</v>
      </c>
      <c r="I3770">
        <v>19</v>
      </c>
      <c r="J3770">
        <v>16</v>
      </c>
      <c r="K3770">
        <v>1</v>
      </c>
      <c r="L3770">
        <v>0</v>
      </c>
      <c r="M3770">
        <v>0</v>
      </c>
      <c r="N3770">
        <v>0</v>
      </c>
      <c r="P3770">
        <f>G3770*I3770/100</f>
        <v>892.84800000000018</v>
      </c>
      <c r="Q3770">
        <f t="shared" si="35"/>
        <v>56390.400000000009</v>
      </c>
      <c r="R3770">
        <f>K3770/J3770</f>
        <v>6.25E-2</v>
      </c>
    </row>
    <row r="3771" spans="1:18" x14ac:dyDescent="0.3">
      <c r="A3771">
        <v>29</v>
      </c>
      <c r="B3771">
        <v>718</v>
      </c>
      <c r="C3771" t="s">
        <v>17</v>
      </c>
      <c r="D3771" t="s">
        <v>18</v>
      </c>
      <c r="E3771">
        <v>79</v>
      </c>
      <c r="F3771" t="s">
        <v>21</v>
      </c>
      <c r="G3771">
        <v>5561.6</v>
      </c>
      <c r="H3771">
        <v>17689</v>
      </c>
      <c r="I3771">
        <v>15</v>
      </c>
      <c r="J3771">
        <v>10</v>
      </c>
      <c r="K3771">
        <v>10</v>
      </c>
      <c r="L3771">
        <v>7</v>
      </c>
      <c r="M3771">
        <v>1</v>
      </c>
      <c r="N3771">
        <v>2</v>
      </c>
      <c r="P3771">
        <f>G3771*I3771/100</f>
        <v>834.24</v>
      </c>
      <c r="Q3771">
        <f t="shared" si="35"/>
        <v>66739.200000000012</v>
      </c>
      <c r="R3771">
        <f>K3771/J3771</f>
        <v>1</v>
      </c>
    </row>
    <row r="3772" spans="1:18" x14ac:dyDescent="0.3">
      <c r="A3772">
        <v>38</v>
      </c>
      <c r="B3772">
        <v>433</v>
      </c>
      <c r="C3772" t="s">
        <v>26</v>
      </c>
      <c r="D3772" t="s">
        <v>18</v>
      </c>
      <c r="E3772">
        <v>37</v>
      </c>
      <c r="F3772" t="s">
        <v>26</v>
      </c>
      <c r="G3772">
        <v>3128.4</v>
      </c>
      <c r="H3772">
        <v>6004</v>
      </c>
      <c r="I3772">
        <v>13</v>
      </c>
      <c r="J3772">
        <v>7</v>
      </c>
      <c r="K3772">
        <v>7</v>
      </c>
      <c r="L3772">
        <v>6</v>
      </c>
      <c r="M3772">
        <v>5</v>
      </c>
      <c r="N3772">
        <v>0</v>
      </c>
      <c r="P3772">
        <f>G3772*I3772/100</f>
        <v>406.69200000000006</v>
      </c>
      <c r="Q3772">
        <f t="shared" si="35"/>
        <v>37540.800000000003</v>
      </c>
      <c r="R3772">
        <f>K3772/J3772</f>
        <v>1</v>
      </c>
    </row>
    <row r="3773" spans="1:18" x14ac:dyDescent="0.3">
      <c r="A3773">
        <v>28</v>
      </c>
      <c r="B3773">
        <v>773</v>
      </c>
      <c r="C3773" t="s">
        <v>17</v>
      </c>
      <c r="D3773" t="s">
        <v>18</v>
      </c>
      <c r="E3773">
        <v>39</v>
      </c>
      <c r="F3773" t="s">
        <v>19</v>
      </c>
      <c r="G3773">
        <v>2973.3</v>
      </c>
      <c r="H3773">
        <v>22088</v>
      </c>
      <c r="I3773">
        <v>14</v>
      </c>
      <c r="J3773">
        <v>3</v>
      </c>
      <c r="K3773">
        <v>3</v>
      </c>
      <c r="L3773">
        <v>1</v>
      </c>
      <c r="M3773">
        <v>0</v>
      </c>
      <c r="N3773">
        <v>2</v>
      </c>
      <c r="P3773">
        <f>G3773*I3773/100</f>
        <v>416.26200000000006</v>
      </c>
      <c r="Q3773">
        <f t="shared" si="35"/>
        <v>35679.600000000006</v>
      </c>
      <c r="R3773">
        <f>K3773/J3773</f>
        <v>1</v>
      </c>
    </row>
    <row r="3774" spans="1:18" x14ac:dyDescent="0.3">
      <c r="A3774">
        <v>18</v>
      </c>
      <c r="B3774">
        <v>247</v>
      </c>
      <c r="C3774" t="s">
        <v>17</v>
      </c>
      <c r="D3774" t="s">
        <v>18</v>
      </c>
      <c r="E3774">
        <v>80</v>
      </c>
      <c r="F3774" t="s">
        <v>20</v>
      </c>
      <c r="G3774">
        <v>2094.4</v>
      </c>
      <c r="H3774">
        <v>13556</v>
      </c>
      <c r="I3774">
        <v>12</v>
      </c>
      <c r="J3774">
        <v>0</v>
      </c>
      <c r="K3774">
        <v>0</v>
      </c>
      <c r="L3774">
        <v>0</v>
      </c>
      <c r="M3774">
        <v>0</v>
      </c>
      <c r="N3774">
        <v>0</v>
      </c>
      <c r="P3774">
        <f>G3774*I3774/100</f>
        <v>251.32800000000003</v>
      </c>
      <c r="Q3774">
        <f t="shared" si="35"/>
        <v>25132.800000000003</v>
      </c>
      <c r="R3774" t="e">
        <f>K3774/J3774</f>
        <v>#DIV/0!</v>
      </c>
    </row>
    <row r="3775" spans="1:18" x14ac:dyDescent="0.3">
      <c r="A3775">
        <v>33</v>
      </c>
      <c r="B3775">
        <v>603</v>
      </c>
      <c r="C3775" t="s">
        <v>14</v>
      </c>
      <c r="D3775" t="s">
        <v>15</v>
      </c>
      <c r="E3775">
        <v>77</v>
      </c>
      <c r="F3775" t="s">
        <v>16</v>
      </c>
      <c r="G3775">
        <v>9046.4000000000015</v>
      </c>
      <c r="H3775">
        <v>18385</v>
      </c>
      <c r="I3775">
        <v>17</v>
      </c>
      <c r="J3775">
        <v>6</v>
      </c>
      <c r="K3775">
        <v>5</v>
      </c>
      <c r="L3775">
        <v>2</v>
      </c>
      <c r="M3775">
        <v>0</v>
      </c>
      <c r="N3775">
        <v>3</v>
      </c>
      <c r="P3775">
        <f>G3775*I3775/100</f>
        <v>1537.8880000000001</v>
      </c>
      <c r="Q3775">
        <f t="shared" si="35"/>
        <v>108556.80000000002</v>
      </c>
      <c r="R3775">
        <f>K3775/J3775</f>
        <v>0.83333333333333337</v>
      </c>
    </row>
    <row r="3776" spans="1:18" x14ac:dyDescent="0.3">
      <c r="A3776">
        <v>41</v>
      </c>
      <c r="B3776">
        <v>167</v>
      </c>
      <c r="C3776" t="s">
        <v>17</v>
      </c>
      <c r="D3776" t="s">
        <v>18</v>
      </c>
      <c r="E3776">
        <v>46</v>
      </c>
      <c r="F3776" t="s">
        <v>20</v>
      </c>
      <c r="G3776">
        <v>5242.6000000000004</v>
      </c>
      <c r="H3776">
        <v>9051</v>
      </c>
      <c r="I3776">
        <v>11</v>
      </c>
      <c r="J3776">
        <v>6</v>
      </c>
      <c r="K3776">
        <v>1</v>
      </c>
      <c r="L3776">
        <v>0</v>
      </c>
      <c r="M3776">
        <v>0</v>
      </c>
      <c r="N3776">
        <v>0</v>
      </c>
      <c r="P3776">
        <f>G3776*I3776/100</f>
        <v>576.68600000000004</v>
      </c>
      <c r="Q3776">
        <f t="shared" si="35"/>
        <v>62911.200000000004</v>
      </c>
      <c r="R3776">
        <f>K3776/J3776</f>
        <v>0.16666666666666666</v>
      </c>
    </row>
    <row r="3777" spans="1:18" x14ac:dyDescent="0.3">
      <c r="A3777">
        <v>31</v>
      </c>
      <c r="B3777">
        <v>874</v>
      </c>
      <c r="C3777" t="s">
        <v>17</v>
      </c>
      <c r="D3777" t="s">
        <v>18</v>
      </c>
      <c r="E3777">
        <v>72</v>
      </c>
      <c r="F3777" t="s">
        <v>20</v>
      </c>
      <c r="G3777">
        <v>2871.0000000000005</v>
      </c>
      <c r="H3777">
        <v>6233</v>
      </c>
      <c r="I3777">
        <v>12</v>
      </c>
      <c r="J3777">
        <v>2</v>
      </c>
      <c r="K3777">
        <v>2</v>
      </c>
      <c r="L3777">
        <v>2</v>
      </c>
      <c r="M3777">
        <v>2</v>
      </c>
      <c r="N3777">
        <v>2</v>
      </c>
      <c r="P3777">
        <f>G3777*I3777/100</f>
        <v>344.5200000000001</v>
      </c>
      <c r="Q3777">
        <f t="shared" si="35"/>
        <v>34452.000000000007</v>
      </c>
      <c r="R3777">
        <f>K3777/J3777</f>
        <v>1</v>
      </c>
    </row>
    <row r="3778" spans="1:18" x14ac:dyDescent="0.3">
      <c r="A3778">
        <v>37</v>
      </c>
      <c r="B3778">
        <v>367</v>
      </c>
      <c r="C3778" t="s">
        <v>17</v>
      </c>
      <c r="D3778" t="s">
        <v>15</v>
      </c>
      <c r="E3778">
        <v>52</v>
      </c>
      <c r="F3778" t="s">
        <v>22</v>
      </c>
      <c r="G3778">
        <v>6304.1</v>
      </c>
      <c r="H3778">
        <v>17171</v>
      </c>
      <c r="I3778">
        <v>13</v>
      </c>
      <c r="J3778">
        <v>9</v>
      </c>
      <c r="K3778">
        <v>6</v>
      </c>
      <c r="L3778">
        <v>2</v>
      </c>
      <c r="M3778">
        <v>1</v>
      </c>
      <c r="N3778">
        <v>3</v>
      </c>
      <c r="P3778">
        <f>G3778*I3778/100</f>
        <v>819.53300000000002</v>
      </c>
      <c r="Q3778">
        <f t="shared" si="35"/>
        <v>75649.200000000012</v>
      </c>
      <c r="R3778">
        <f>K3778/J3778</f>
        <v>0.66666666666666663</v>
      </c>
    </row>
    <row r="3779" spans="1:18" x14ac:dyDescent="0.3">
      <c r="A3779">
        <v>27</v>
      </c>
      <c r="B3779">
        <v>199</v>
      </c>
      <c r="C3779" t="s">
        <v>17</v>
      </c>
      <c r="D3779" t="s">
        <v>18</v>
      </c>
      <c r="E3779">
        <v>55</v>
      </c>
      <c r="F3779" t="s">
        <v>19</v>
      </c>
      <c r="G3779">
        <v>2792.9</v>
      </c>
      <c r="H3779">
        <v>7950</v>
      </c>
      <c r="I3779">
        <v>13</v>
      </c>
      <c r="J3779">
        <v>4</v>
      </c>
      <c r="K3779">
        <v>4</v>
      </c>
      <c r="L3779">
        <v>2</v>
      </c>
      <c r="M3779">
        <v>2</v>
      </c>
      <c r="N3779">
        <v>2</v>
      </c>
      <c r="P3779">
        <f>G3779*I3779/100</f>
        <v>363.07700000000006</v>
      </c>
      <c r="Q3779">
        <f t="shared" ref="Q3779:Q3842" si="36">G3779*12</f>
        <v>33514.800000000003</v>
      </c>
      <c r="R3779">
        <f>K3779/J3779</f>
        <v>1</v>
      </c>
    </row>
    <row r="3780" spans="1:18" x14ac:dyDescent="0.3">
      <c r="A3780">
        <v>34</v>
      </c>
      <c r="B3780">
        <v>1400</v>
      </c>
      <c r="C3780" t="s">
        <v>14</v>
      </c>
      <c r="D3780" t="s">
        <v>15</v>
      </c>
      <c r="E3780">
        <v>70</v>
      </c>
      <c r="F3780" t="s">
        <v>16</v>
      </c>
      <c r="G3780">
        <v>6285.4000000000005</v>
      </c>
      <c r="H3780">
        <v>5829</v>
      </c>
      <c r="I3780">
        <v>20</v>
      </c>
      <c r="J3780">
        <v>6</v>
      </c>
      <c r="K3780">
        <v>6</v>
      </c>
      <c r="L3780">
        <v>5</v>
      </c>
      <c r="M3780">
        <v>1</v>
      </c>
      <c r="N3780">
        <v>3</v>
      </c>
      <c r="P3780">
        <f>G3780*I3780/100</f>
        <v>1257.0800000000002</v>
      </c>
      <c r="Q3780">
        <f t="shared" si="36"/>
        <v>75424.800000000003</v>
      </c>
      <c r="R3780">
        <f>K3780/J3780</f>
        <v>1</v>
      </c>
    </row>
    <row r="3781" spans="1:18" x14ac:dyDescent="0.3">
      <c r="A3781">
        <v>35</v>
      </c>
      <c r="B3781">
        <v>528</v>
      </c>
      <c r="C3781" t="s">
        <v>26</v>
      </c>
      <c r="D3781" t="s">
        <v>18</v>
      </c>
      <c r="E3781">
        <v>100</v>
      </c>
      <c r="F3781" t="s">
        <v>26</v>
      </c>
      <c r="G3781">
        <v>4755.3</v>
      </c>
      <c r="H3781">
        <v>7108</v>
      </c>
      <c r="I3781">
        <v>17</v>
      </c>
      <c r="J3781">
        <v>6</v>
      </c>
      <c r="K3781">
        <v>5</v>
      </c>
      <c r="L3781">
        <v>4</v>
      </c>
      <c r="M3781">
        <v>1</v>
      </c>
      <c r="N3781">
        <v>4</v>
      </c>
      <c r="P3781">
        <f>G3781*I3781/100</f>
        <v>808.40100000000007</v>
      </c>
      <c r="Q3781">
        <f t="shared" si="36"/>
        <v>57063.600000000006</v>
      </c>
      <c r="R3781">
        <f>K3781/J3781</f>
        <v>0.83333333333333337</v>
      </c>
    </row>
    <row r="3782" spans="1:18" x14ac:dyDescent="0.3">
      <c r="A3782">
        <v>29</v>
      </c>
      <c r="B3782">
        <v>408</v>
      </c>
      <c r="C3782" t="s">
        <v>14</v>
      </c>
      <c r="D3782" t="s">
        <v>15</v>
      </c>
      <c r="E3782">
        <v>45</v>
      </c>
      <c r="F3782" t="s">
        <v>16</v>
      </c>
      <c r="G3782">
        <v>8069.6</v>
      </c>
      <c r="H3782">
        <v>11162</v>
      </c>
      <c r="I3782">
        <v>13</v>
      </c>
      <c r="J3782">
        <v>11</v>
      </c>
      <c r="K3782">
        <v>11</v>
      </c>
      <c r="L3782">
        <v>8</v>
      </c>
      <c r="M3782">
        <v>3</v>
      </c>
      <c r="N3782">
        <v>10</v>
      </c>
      <c r="P3782">
        <f>G3782*I3782/100</f>
        <v>1049.048</v>
      </c>
      <c r="Q3782">
        <f t="shared" si="36"/>
        <v>96835.200000000012</v>
      </c>
      <c r="R3782">
        <f>K3782/J3782</f>
        <v>1</v>
      </c>
    </row>
    <row r="3783" spans="1:18" x14ac:dyDescent="0.3">
      <c r="A3783">
        <v>40</v>
      </c>
      <c r="B3783">
        <v>593</v>
      </c>
      <c r="C3783" t="s">
        <v>17</v>
      </c>
      <c r="D3783" t="s">
        <v>15</v>
      </c>
      <c r="E3783">
        <v>88</v>
      </c>
      <c r="F3783" t="s">
        <v>25</v>
      </c>
      <c r="G3783">
        <v>14848.900000000001</v>
      </c>
      <c r="H3783">
        <v>13782</v>
      </c>
      <c r="I3783">
        <v>17</v>
      </c>
      <c r="J3783">
        <v>20</v>
      </c>
      <c r="K3783">
        <v>18</v>
      </c>
      <c r="L3783">
        <v>7</v>
      </c>
      <c r="M3783">
        <v>2</v>
      </c>
      <c r="N3783">
        <v>13</v>
      </c>
      <c r="P3783">
        <f>G3783*I3783/100</f>
        <v>2524.3130000000001</v>
      </c>
      <c r="Q3783">
        <f t="shared" si="36"/>
        <v>178186.80000000002</v>
      </c>
      <c r="R3783">
        <f>K3783/J3783</f>
        <v>0.9</v>
      </c>
    </row>
    <row r="3784" spans="1:18" x14ac:dyDescent="0.3">
      <c r="A3784">
        <v>42</v>
      </c>
      <c r="B3784">
        <v>481</v>
      </c>
      <c r="C3784" t="s">
        <v>14</v>
      </c>
      <c r="D3784" t="s">
        <v>18</v>
      </c>
      <c r="E3784">
        <v>44</v>
      </c>
      <c r="F3784" t="s">
        <v>16</v>
      </c>
      <c r="G3784">
        <v>15133.800000000001</v>
      </c>
      <c r="H3784">
        <v>2447</v>
      </c>
      <c r="I3784">
        <v>12</v>
      </c>
      <c r="J3784">
        <v>22</v>
      </c>
      <c r="K3784">
        <v>21</v>
      </c>
      <c r="L3784">
        <v>9</v>
      </c>
      <c r="M3784">
        <v>13</v>
      </c>
      <c r="N3784">
        <v>14</v>
      </c>
      <c r="P3784">
        <f>G3784*I3784/100</f>
        <v>1816.056</v>
      </c>
      <c r="Q3784">
        <f t="shared" si="36"/>
        <v>181605.6</v>
      </c>
      <c r="R3784">
        <f>K3784/J3784</f>
        <v>0.95454545454545459</v>
      </c>
    </row>
    <row r="3785" spans="1:18" x14ac:dyDescent="0.3">
      <c r="A3785">
        <v>42</v>
      </c>
      <c r="B3785">
        <v>647</v>
      </c>
      <c r="C3785" t="s">
        <v>14</v>
      </c>
      <c r="D3785" t="s">
        <v>18</v>
      </c>
      <c r="E3785">
        <v>45</v>
      </c>
      <c r="F3785" t="s">
        <v>16</v>
      </c>
      <c r="G3785">
        <v>5670.5000000000009</v>
      </c>
      <c r="H3785">
        <v>2253</v>
      </c>
      <c r="I3785">
        <v>13</v>
      </c>
      <c r="J3785">
        <v>9</v>
      </c>
      <c r="K3785">
        <v>6</v>
      </c>
      <c r="L3785">
        <v>4</v>
      </c>
      <c r="M3785">
        <v>1</v>
      </c>
      <c r="N3785">
        <v>5</v>
      </c>
      <c r="P3785">
        <f>G3785*I3785/100</f>
        <v>737.16500000000019</v>
      </c>
      <c r="Q3785">
        <f t="shared" si="36"/>
        <v>68046.000000000015</v>
      </c>
      <c r="R3785">
        <f>K3785/J3785</f>
        <v>0.66666666666666663</v>
      </c>
    </row>
    <row r="3786" spans="1:18" x14ac:dyDescent="0.3">
      <c r="A3786">
        <v>35</v>
      </c>
      <c r="B3786">
        <v>982</v>
      </c>
      <c r="C3786" t="s">
        <v>17</v>
      </c>
      <c r="D3786" t="s">
        <v>18</v>
      </c>
      <c r="E3786">
        <v>58</v>
      </c>
      <c r="F3786" t="s">
        <v>20</v>
      </c>
      <c r="G3786">
        <v>2483.8000000000002</v>
      </c>
      <c r="H3786">
        <v>16340</v>
      </c>
      <c r="I3786">
        <v>12</v>
      </c>
      <c r="J3786">
        <v>10</v>
      </c>
      <c r="K3786">
        <v>8</v>
      </c>
      <c r="L3786">
        <v>0</v>
      </c>
      <c r="M3786">
        <v>1</v>
      </c>
      <c r="N3786">
        <v>7</v>
      </c>
      <c r="P3786">
        <f>G3786*I3786/100</f>
        <v>298.05600000000004</v>
      </c>
      <c r="Q3786">
        <f t="shared" si="36"/>
        <v>29805.600000000002</v>
      </c>
      <c r="R3786">
        <f>K3786/J3786</f>
        <v>0.8</v>
      </c>
    </row>
    <row r="3787" spans="1:18" x14ac:dyDescent="0.3">
      <c r="A3787">
        <v>24</v>
      </c>
      <c r="B3787">
        <v>477</v>
      </c>
      <c r="C3787" t="s">
        <v>17</v>
      </c>
      <c r="D3787" t="s">
        <v>18</v>
      </c>
      <c r="E3787">
        <v>49</v>
      </c>
      <c r="F3787" t="s">
        <v>20</v>
      </c>
      <c r="G3787">
        <v>3956.7000000000003</v>
      </c>
      <c r="H3787">
        <v>6409</v>
      </c>
      <c r="I3787">
        <v>22</v>
      </c>
      <c r="J3787">
        <v>6</v>
      </c>
      <c r="K3787">
        <v>4</v>
      </c>
      <c r="L3787">
        <v>3</v>
      </c>
      <c r="M3787">
        <v>1</v>
      </c>
      <c r="N3787">
        <v>2</v>
      </c>
      <c r="P3787">
        <f>G3787*I3787/100</f>
        <v>870.47400000000005</v>
      </c>
      <c r="Q3787">
        <f t="shared" si="36"/>
        <v>47480.4</v>
      </c>
      <c r="R3787">
        <f>K3787/J3787</f>
        <v>0.66666666666666663</v>
      </c>
    </row>
    <row r="3788" spans="1:18" x14ac:dyDescent="0.3">
      <c r="A3788">
        <v>28</v>
      </c>
      <c r="B3788">
        <v>1485</v>
      </c>
      <c r="C3788" t="s">
        <v>17</v>
      </c>
      <c r="D3788" t="s">
        <v>15</v>
      </c>
      <c r="E3788">
        <v>79</v>
      </c>
      <c r="F3788" t="s">
        <v>20</v>
      </c>
      <c r="G3788">
        <v>2766.5</v>
      </c>
      <c r="H3788">
        <v>22955</v>
      </c>
      <c r="I3788">
        <v>11</v>
      </c>
      <c r="J3788">
        <v>1</v>
      </c>
      <c r="K3788">
        <v>1</v>
      </c>
      <c r="L3788">
        <v>1</v>
      </c>
      <c r="M3788">
        <v>0</v>
      </c>
      <c r="N3788">
        <v>0</v>
      </c>
      <c r="P3788">
        <f>G3788*I3788/100</f>
        <v>304.315</v>
      </c>
      <c r="Q3788">
        <f t="shared" si="36"/>
        <v>33198</v>
      </c>
      <c r="R3788">
        <f>K3788/J3788</f>
        <v>1</v>
      </c>
    </row>
    <row r="3789" spans="1:18" x14ac:dyDescent="0.3">
      <c r="A3789">
        <v>26</v>
      </c>
      <c r="B3789">
        <v>1384</v>
      </c>
      <c r="C3789" t="s">
        <v>17</v>
      </c>
      <c r="D3789" t="s">
        <v>18</v>
      </c>
      <c r="E3789">
        <v>82</v>
      </c>
      <c r="F3789" t="s">
        <v>20</v>
      </c>
      <c r="G3789">
        <v>4862</v>
      </c>
      <c r="H3789">
        <v>13421</v>
      </c>
      <c r="I3789">
        <v>22</v>
      </c>
      <c r="J3789">
        <v>8</v>
      </c>
      <c r="K3789">
        <v>8</v>
      </c>
      <c r="L3789">
        <v>7</v>
      </c>
      <c r="M3789">
        <v>0</v>
      </c>
      <c r="N3789">
        <v>7</v>
      </c>
      <c r="P3789">
        <f>G3789*I3789/100</f>
        <v>1069.6400000000001</v>
      </c>
      <c r="Q3789">
        <f t="shared" si="36"/>
        <v>58344</v>
      </c>
      <c r="R3789">
        <f>K3789/J3789</f>
        <v>1</v>
      </c>
    </row>
    <row r="3790" spans="1:18" x14ac:dyDescent="0.3">
      <c r="A3790">
        <v>30</v>
      </c>
      <c r="B3790">
        <v>852</v>
      </c>
      <c r="C3790" t="s">
        <v>14</v>
      </c>
      <c r="D3790" t="s">
        <v>18</v>
      </c>
      <c r="E3790">
        <v>72</v>
      </c>
      <c r="F3790" t="s">
        <v>16</v>
      </c>
      <c r="G3790">
        <v>7235.8</v>
      </c>
      <c r="H3790">
        <v>2706</v>
      </c>
      <c r="I3790">
        <v>18</v>
      </c>
      <c r="J3790">
        <v>10</v>
      </c>
      <c r="K3790">
        <v>10</v>
      </c>
      <c r="L3790">
        <v>3</v>
      </c>
      <c r="M3790">
        <v>1</v>
      </c>
      <c r="N3790">
        <v>4</v>
      </c>
      <c r="P3790">
        <f>G3790*I3790/100</f>
        <v>1302.4440000000002</v>
      </c>
      <c r="Q3790">
        <f t="shared" si="36"/>
        <v>86829.6</v>
      </c>
      <c r="R3790">
        <f>K3790/J3790</f>
        <v>1</v>
      </c>
    </row>
    <row r="3791" spans="1:18" x14ac:dyDescent="0.3">
      <c r="A3791">
        <v>40</v>
      </c>
      <c r="B3791">
        <v>902</v>
      </c>
      <c r="C3791" t="s">
        <v>17</v>
      </c>
      <c r="D3791" t="s">
        <v>15</v>
      </c>
      <c r="E3791">
        <v>92</v>
      </c>
      <c r="F3791" t="s">
        <v>19</v>
      </c>
      <c r="G3791">
        <v>4864.2000000000007</v>
      </c>
      <c r="H3791">
        <v>21203</v>
      </c>
      <c r="I3791">
        <v>13</v>
      </c>
      <c r="J3791">
        <v>16</v>
      </c>
      <c r="K3791">
        <v>1</v>
      </c>
      <c r="L3791">
        <v>1</v>
      </c>
      <c r="M3791">
        <v>0</v>
      </c>
      <c r="N3791">
        <v>0</v>
      </c>
      <c r="P3791">
        <f>G3791*I3791/100</f>
        <v>632.346</v>
      </c>
      <c r="Q3791">
        <f t="shared" si="36"/>
        <v>58370.400000000009</v>
      </c>
      <c r="R3791">
        <f>K3791/J3791</f>
        <v>6.25E-2</v>
      </c>
    </row>
    <row r="3792" spans="1:18" x14ac:dyDescent="0.3">
      <c r="A3792">
        <v>35</v>
      </c>
      <c r="B3792">
        <v>819</v>
      </c>
      <c r="C3792" t="s">
        <v>17</v>
      </c>
      <c r="D3792" t="s">
        <v>18</v>
      </c>
      <c r="E3792">
        <v>44</v>
      </c>
      <c r="F3792" t="s">
        <v>21</v>
      </c>
      <c r="G3792">
        <v>11301.400000000001</v>
      </c>
      <c r="H3792">
        <v>19588</v>
      </c>
      <c r="I3792">
        <v>18</v>
      </c>
      <c r="J3792">
        <v>15</v>
      </c>
      <c r="K3792">
        <v>7</v>
      </c>
      <c r="L3792">
        <v>7</v>
      </c>
      <c r="M3792">
        <v>6</v>
      </c>
      <c r="N3792">
        <v>4</v>
      </c>
      <c r="P3792">
        <f>G3792*I3792/100</f>
        <v>2034.2520000000002</v>
      </c>
      <c r="Q3792">
        <f t="shared" si="36"/>
        <v>135616.80000000002</v>
      </c>
      <c r="R3792">
        <f>K3792/J3792</f>
        <v>0.46666666666666667</v>
      </c>
    </row>
    <row r="3793" spans="1:18" x14ac:dyDescent="0.3">
      <c r="A3793">
        <v>34</v>
      </c>
      <c r="B3793">
        <v>669</v>
      </c>
      <c r="C3793" t="s">
        <v>17</v>
      </c>
      <c r="D3793" t="s">
        <v>18</v>
      </c>
      <c r="E3793">
        <v>97</v>
      </c>
      <c r="F3793" t="s">
        <v>22</v>
      </c>
      <c r="G3793">
        <v>5877.3</v>
      </c>
      <c r="H3793">
        <v>25755</v>
      </c>
      <c r="I3793">
        <v>20</v>
      </c>
      <c r="J3793">
        <v>14</v>
      </c>
      <c r="K3793">
        <v>13</v>
      </c>
      <c r="L3793">
        <v>9</v>
      </c>
      <c r="M3793">
        <v>4</v>
      </c>
      <c r="N3793">
        <v>9</v>
      </c>
      <c r="P3793">
        <f>G3793*I3793/100</f>
        <v>1175.46</v>
      </c>
      <c r="Q3793">
        <f t="shared" si="36"/>
        <v>70527.600000000006</v>
      </c>
      <c r="R3793">
        <f>K3793/J3793</f>
        <v>0.9285714285714286</v>
      </c>
    </row>
    <row r="3794" spans="1:18" x14ac:dyDescent="0.3">
      <c r="A3794">
        <v>35</v>
      </c>
      <c r="B3794">
        <v>636</v>
      </c>
      <c r="C3794" t="s">
        <v>17</v>
      </c>
      <c r="D3794" t="s">
        <v>18</v>
      </c>
      <c r="E3794">
        <v>47</v>
      </c>
      <c r="F3794" t="s">
        <v>20</v>
      </c>
      <c r="G3794">
        <v>2613.6000000000004</v>
      </c>
      <c r="H3794">
        <v>26537</v>
      </c>
      <c r="I3794">
        <v>13</v>
      </c>
      <c r="J3794">
        <v>2</v>
      </c>
      <c r="K3794">
        <v>2</v>
      </c>
      <c r="L3794">
        <v>2</v>
      </c>
      <c r="M3794">
        <v>2</v>
      </c>
      <c r="N3794">
        <v>2</v>
      </c>
      <c r="P3794">
        <f>G3794*I3794/100</f>
        <v>339.76800000000003</v>
      </c>
      <c r="Q3794">
        <f t="shared" si="36"/>
        <v>31363.200000000004</v>
      </c>
      <c r="R3794">
        <f>K3794/J3794</f>
        <v>1</v>
      </c>
    </row>
    <row r="3795" spans="1:18" x14ac:dyDescent="0.3">
      <c r="A3795">
        <v>43</v>
      </c>
      <c r="B3795">
        <v>1372</v>
      </c>
      <c r="C3795" t="s">
        <v>14</v>
      </c>
      <c r="D3795" t="s">
        <v>15</v>
      </c>
      <c r="E3795">
        <v>85</v>
      </c>
      <c r="F3795" t="s">
        <v>16</v>
      </c>
      <c r="G3795">
        <v>5880.6</v>
      </c>
      <c r="H3795">
        <v>9489</v>
      </c>
      <c r="I3795">
        <v>13</v>
      </c>
      <c r="J3795">
        <v>7</v>
      </c>
      <c r="K3795">
        <v>4</v>
      </c>
      <c r="L3795">
        <v>3</v>
      </c>
      <c r="M3795">
        <v>1</v>
      </c>
      <c r="N3795">
        <v>3</v>
      </c>
      <c r="P3795">
        <f>G3795*I3795/100</f>
        <v>764.47800000000007</v>
      </c>
      <c r="Q3795">
        <f t="shared" si="36"/>
        <v>70567.200000000012</v>
      </c>
      <c r="R3795">
        <f>K3795/J3795</f>
        <v>0.5714285714285714</v>
      </c>
    </row>
    <row r="3796" spans="1:18" x14ac:dyDescent="0.3">
      <c r="A3796">
        <v>32</v>
      </c>
      <c r="B3796">
        <v>862</v>
      </c>
      <c r="C3796" t="s">
        <v>14</v>
      </c>
      <c r="D3796" t="s">
        <v>15</v>
      </c>
      <c r="E3796">
        <v>76</v>
      </c>
      <c r="F3796" t="s">
        <v>24</v>
      </c>
      <c r="G3796">
        <v>3109.7000000000003</v>
      </c>
      <c r="H3796">
        <v>14947</v>
      </c>
      <c r="I3796">
        <v>12</v>
      </c>
      <c r="J3796">
        <v>1</v>
      </c>
      <c r="K3796">
        <v>1</v>
      </c>
      <c r="L3796">
        <v>0</v>
      </c>
      <c r="M3796">
        <v>0</v>
      </c>
      <c r="N3796">
        <v>0</v>
      </c>
      <c r="P3796">
        <f>G3796*I3796/100</f>
        <v>373.16399999999999</v>
      </c>
      <c r="Q3796">
        <f t="shared" si="36"/>
        <v>37316.400000000001</v>
      </c>
      <c r="R3796">
        <f>K3796/J3796</f>
        <v>1</v>
      </c>
    </row>
    <row r="3797" spans="1:18" x14ac:dyDescent="0.3">
      <c r="A3797">
        <v>56</v>
      </c>
      <c r="B3797">
        <v>718</v>
      </c>
      <c r="C3797" t="s">
        <v>17</v>
      </c>
      <c r="D3797" t="s">
        <v>15</v>
      </c>
      <c r="E3797">
        <v>92</v>
      </c>
      <c r="F3797" t="s">
        <v>23</v>
      </c>
      <c r="G3797">
        <v>21937.300000000003</v>
      </c>
      <c r="H3797">
        <v>18575</v>
      </c>
      <c r="I3797">
        <v>13</v>
      </c>
      <c r="J3797">
        <v>28</v>
      </c>
      <c r="K3797">
        <v>5</v>
      </c>
      <c r="L3797">
        <v>2</v>
      </c>
      <c r="M3797">
        <v>4</v>
      </c>
      <c r="N3797">
        <v>2</v>
      </c>
      <c r="P3797">
        <f>G3797*I3797/100</f>
        <v>2851.8490000000002</v>
      </c>
      <c r="Q3797">
        <f t="shared" si="36"/>
        <v>263247.60000000003</v>
      </c>
      <c r="R3797">
        <f>K3797/J3797</f>
        <v>0.17857142857142858</v>
      </c>
    </row>
    <row r="3798" spans="1:18" x14ac:dyDescent="0.3">
      <c r="A3798">
        <v>29</v>
      </c>
      <c r="B3798">
        <v>1401</v>
      </c>
      <c r="C3798" t="s">
        <v>17</v>
      </c>
      <c r="D3798" t="s">
        <v>15</v>
      </c>
      <c r="E3798">
        <v>54</v>
      </c>
      <c r="F3798" t="s">
        <v>20</v>
      </c>
      <c r="G3798">
        <v>3444.1000000000004</v>
      </c>
      <c r="H3798">
        <v>26342</v>
      </c>
      <c r="I3798">
        <v>13</v>
      </c>
      <c r="J3798">
        <v>10</v>
      </c>
      <c r="K3798">
        <v>10</v>
      </c>
      <c r="L3798">
        <v>8</v>
      </c>
      <c r="M3798">
        <v>0</v>
      </c>
      <c r="N3798">
        <v>8</v>
      </c>
      <c r="P3798">
        <f>G3798*I3798/100</f>
        <v>447.733</v>
      </c>
      <c r="Q3798">
        <f t="shared" si="36"/>
        <v>41329.200000000004</v>
      </c>
      <c r="R3798">
        <f>K3798/J3798</f>
        <v>1</v>
      </c>
    </row>
    <row r="3799" spans="1:18" x14ac:dyDescent="0.3">
      <c r="A3799">
        <v>19</v>
      </c>
      <c r="B3799">
        <v>645</v>
      </c>
      <c r="C3799" t="s">
        <v>17</v>
      </c>
      <c r="D3799" t="s">
        <v>18</v>
      </c>
      <c r="E3799">
        <v>54</v>
      </c>
      <c r="F3799" t="s">
        <v>19</v>
      </c>
      <c r="G3799">
        <v>2807.2000000000003</v>
      </c>
      <c r="H3799">
        <v>7172</v>
      </c>
      <c r="I3799">
        <v>25</v>
      </c>
      <c r="J3799">
        <v>1</v>
      </c>
      <c r="K3799">
        <v>1</v>
      </c>
      <c r="L3799">
        <v>1</v>
      </c>
      <c r="M3799">
        <v>0</v>
      </c>
      <c r="N3799">
        <v>0</v>
      </c>
      <c r="P3799">
        <f>G3799*I3799/100</f>
        <v>701.8</v>
      </c>
      <c r="Q3799">
        <f t="shared" si="36"/>
        <v>33686.400000000001</v>
      </c>
      <c r="R3799">
        <f>K3799/J3799</f>
        <v>1</v>
      </c>
    </row>
    <row r="3800" spans="1:18" x14ac:dyDescent="0.3">
      <c r="A3800">
        <v>45</v>
      </c>
      <c r="B3800">
        <v>1457</v>
      </c>
      <c r="C3800" t="s">
        <v>17</v>
      </c>
      <c r="D3800" t="s">
        <v>15</v>
      </c>
      <c r="E3800">
        <v>83</v>
      </c>
      <c r="F3800" t="s">
        <v>19</v>
      </c>
      <c r="G3800">
        <v>4924.7000000000007</v>
      </c>
      <c r="H3800">
        <v>20100</v>
      </c>
      <c r="I3800">
        <v>19</v>
      </c>
      <c r="J3800">
        <v>7</v>
      </c>
      <c r="K3800">
        <v>3</v>
      </c>
      <c r="L3800">
        <v>2</v>
      </c>
      <c r="M3800">
        <v>0</v>
      </c>
      <c r="N3800">
        <v>2</v>
      </c>
      <c r="P3800">
        <f>G3800*I3800/100</f>
        <v>935.69300000000021</v>
      </c>
      <c r="Q3800">
        <f t="shared" si="36"/>
        <v>59096.400000000009</v>
      </c>
      <c r="R3800">
        <f>K3800/J3800</f>
        <v>0.42857142857142855</v>
      </c>
    </row>
    <row r="3801" spans="1:18" x14ac:dyDescent="0.3">
      <c r="A3801">
        <v>37</v>
      </c>
      <c r="B3801">
        <v>977</v>
      </c>
      <c r="C3801" t="s">
        <v>17</v>
      </c>
      <c r="D3801" t="s">
        <v>15</v>
      </c>
      <c r="E3801">
        <v>56</v>
      </c>
      <c r="F3801" t="s">
        <v>21</v>
      </c>
      <c r="G3801">
        <v>7121.4000000000005</v>
      </c>
      <c r="H3801">
        <v>9961</v>
      </c>
      <c r="I3801">
        <v>13</v>
      </c>
      <c r="J3801">
        <v>14</v>
      </c>
      <c r="K3801">
        <v>14</v>
      </c>
      <c r="L3801">
        <v>8</v>
      </c>
      <c r="M3801">
        <v>3</v>
      </c>
      <c r="N3801">
        <v>11</v>
      </c>
      <c r="P3801">
        <f>G3801*I3801/100</f>
        <v>925.78200000000015</v>
      </c>
      <c r="Q3801">
        <f t="shared" si="36"/>
        <v>85456.8</v>
      </c>
      <c r="R3801">
        <f>K3801/J3801</f>
        <v>1</v>
      </c>
    </row>
    <row r="3802" spans="1:18" x14ac:dyDescent="0.3">
      <c r="A3802">
        <v>20</v>
      </c>
      <c r="B3802">
        <v>805</v>
      </c>
      <c r="C3802" t="s">
        <v>17</v>
      </c>
      <c r="D3802" t="s">
        <v>18</v>
      </c>
      <c r="E3802">
        <v>87</v>
      </c>
      <c r="F3802" t="s">
        <v>20</v>
      </c>
      <c r="G3802">
        <v>3336.3</v>
      </c>
      <c r="H3802">
        <v>12828</v>
      </c>
      <c r="I3802">
        <v>12</v>
      </c>
      <c r="J3802">
        <v>2</v>
      </c>
      <c r="K3802">
        <v>2</v>
      </c>
      <c r="L3802">
        <v>2</v>
      </c>
      <c r="M3802">
        <v>1</v>
      </c>
      <c r="N3802">
        <v>2</v>
      </c>
      <c r="P3802">
        <f>G3802*I3802/100</f>
        <v>400.35600000000005</v>
      </c>
      <c r="Q3802">
        <f t="shared" si="36"/>
        <v>40035.600000000006</v>
      </c>
      <c r="R3802">
        <f>K3802/J3802</f>
        <v>1</v>
      </c>
    </row>
    <row r="3803" spans="1:18" x14ac:dyDescent="0.3">
      <c r="A3803">
        <v>44</v>
      </c>
      <c r="B3803">
        <v>1097</v>
      </c>
      <c r="C3803" t="s">
        <v>17</v>
      </c>
      <c r="D3803" t="s">
        <v>18</v>
      </c>
      <c r="E3803">
        <v>96</v>
      </c>
      <c r="F3803" t="s">
        <v>19</v>
      </c>
      <c r="G3803">
        <v>3229.6000000000004</v>
      </c>
      <c r="H3803">
        <v>10826</v>
      </c>
      <c r="I3803">
        <v>11</v>
      </c>
      <c r="J3803">
        <v>6</v>
      </c>
      <c r="K3803">
        <v>6</v>
      </c>
      <c r="L3803">
        <v>4</v>
      </c>
      <c r="M3803">
        <v>0</v>
      </c>
      <c r="N3803">
        <v>2</v>
      </c>
      <c r="P3803">
        <f>G3803*I3803/100</f>
        <v>355.25600000000009</v>
      </c>
      <c r="Q3803">
        <f t="shared" si="36"/>
        <v>38755.200000000004</v>
      </c>
      <c r="R3803">
        <f>K3803/J3803</f>
        <v>1</v>
      </c>
    </row>
    <row r="3804" spans="1:18" x14ac:dyDescent="0.3">
      <c r="A3804">
        <v>53</v>
      </c>
      <c r="B3804">
        <v>1223</v>
      </c>
      <c r="C3804" t="s">
        <v>17</v>
      </c>
      <c r="D3804" t="s">
        <v>15</v>
      </c>
      <c r="E3804">
        <v>50</v>
      </c>
      <c r="F3804" t="s">
        <v>23</v>
      </c>
      <c r="G3804">
        <v>20466.600000000002</v>
      </c>
      <c r="H3804">
        <v>18640</v>
      </c>
      <c r="I3804">
        <v>18</v>
      </c>
      <c r="J3804">
        <v>26</v>
      </c>
      <c r="K3804">
        <v>7</v>
      </c>
      <c r="L3804">
        <v>7</v>
      </c>
      <c r="M3804">
        <v>4</v>
      </c>
      <c r="N3804">
        <v>7</v>
      </c>
      <c r="P3804">
        <f>G3804*I3804/100</f>
        <v>3683.9880000000003</v>
      </c>
      <c r="Q3804">
        <f t="shared" si="36"/>
        <v>245599.2</v>
      </c>
      <c r="R3804">
        <f>K3804/J3804</f>
        <v>0.26923076923076922</v>
      </c>
    </row>
    <row r="3805" spans="1:18" x14ac:dyDescent="0.3">
      <c r="A3805">
        <v>29</v>
      </c>
      <c r="B3805">
        <v>942</v>
      </c>
      <c r="C3805" t="s">
        <v>17</v>
      </c>
      <c r="D3805" t="s">
        <v>15</v>
      </c>
      <c r="E3805">
        <v>69</v>
      </c>
      <c r="F3805" t="s">
        <v>19</v>
      </c>
      <c r="G3805">
        <v>2384.8000000000002</v>
      </c>
      <c r="H3805">
        <v>26933</v>
      </c>
      <c r="I3805">
        <v>18</v>
      </c>
      <c r="J3805">
        <v>6</v>
      </c>
      <c r="K3805">
        <v>5</v>
      </c>
      <c r="L3805">
        <v>4</v>
      </c>
      <c r="M3805">
        <v>1</v>
      </c>
      <c r="N3805">
        <v>3</v>
      </c>
      <c r="P3805">
        <f>G3805*I3805/100</f>
        <v>429.26400000000001</v>
      </c>
      <c r="Q3805">
        <f t="shared" si="36"/>
        <v>28617.600000000002</v>
      </c>
      <c r="R3805">
        <f>K3805/J3805</f>
        <v>0.83333333333333337</v>
      </c>
    </row>
    <row r="3806" spans="1:18" x14ac:dyDescent="0.3">
      <c r="A3806">
        <v>22</v>
      </c>
      <c r="B3806">
        <v>1256</v>
      </c>
      <c r="C3806" t="s">
        <v>17</v>
      </c>
      <c r="D3806" t="s">
        <v>18</v>
      </c>
      <c r="E3806">
        <v>48</v>
      </c>
      <c r="F3806" t="s">
        <v>19</v>
      </c>
      <c r="G3806">
        <v>3138.3</v>
      </c>
      <c r="H3806">
        <v>4223</v>
      </c>
      <c r="I3806">
        <v>11</v>
      </c>
      <c r="J3806">
        <v>1</v>
      </c>
      <c r="K3806">
        <v>0</v>
      </c>
      <c r="L3806">
        <v>0</v>
      </c>
      <c r="M3806">
        <v>0</v>
      </c>
      <c r="N3806">
        <v>0</v>
      </c>
      <c r="P3806">
        <f>G3806*I3806/100</f>
        <v>345.21300000000002</v>
      </c>
      <c r="Q3806">
        <f t="shared" si="36"/>
        <v>37659.600000000006</v>
      </c>
      <c r="R3806">
        <f>K3806/J3806</f>
        <v>0</v>
      </c>
    </row>
    <row r="3807" spans="1:18" x14ac:dyDescent="0.3">
      <c r="A3807">
        <v>46</v>
      </c>
      <c r="B3807">
        <v>1402</v>
      </c>
      <c r="C3807" t="s">
        <v>14</v>
      </c>
      <c r="D3807" t="s">
        <v>15</v>
      </c>
      <c r="E3807">
        <v>69</v>
      </c>
      <c r="F3807" t="s">
        <v>23</v>
      </c>
      <c r="G3807">
        <v>18752.800000000003</v>
      </c>
      <c r="H3807">
        <v>24097</v>
      </c>
      <c r="I3807">
        <v>23</v>
      </c>
      <c r="J3807">
        <v>28</v>
      </c>
      <c r="K3807">
        <v>26</v>
      </c>
      <c r="L3807">
        <v>15</v>
      </c>
      <c r="M3807">
        <v>15</v>
      </c>
      <c r="N3807">
        <v>9</v>
      </c>
      <c r="P3807">
        <f>G3807*I3807/100</f>
        <v>4313.1440000000011</v>
      </c>
      <c r="Q3807">
        <f t="shared" si="36"/>
        <v>225033.60000000003</v>
      </c>
      <c r="R3807">
        <f>K3807/J3807</f>
        <v>0.9285714285714286</v>
      </c>
    </row>
    <row r="3808" spans="1:18" x14ac:dyDescent="0.3">
      <c r="A3808">
        <v>44</v>
      </c>
      <c r="B3808">
        <v>111</v>
      </c>
      <c r="C3808" t="s">
        <v>17</v>
      </c>
      <c r="D3808" t="s">
        <v>18</v>
      </c>
      <c r="E3808">
        <v>74</v>
      </c>
      <c r="F3808" t="s">
        <v>19</v>
      </c>
      <c r="G3808">
        <v>2519</v>
      </c>
      <c r="H3808">
        <v>4279</v>
      </c>
      <c r="I3808">
        <v>13</v>
      </c>
      <c r="J3808">
        <v>6</v>
      </c>
      <c r="K3808">
        <v>0</v>
      </c>
      <c r="L3808">
        <v>0</v>
      </c>
      <c r="M3808">
        <v>0</v>
      </c>
      <c r="N3808">
        <v>0</v>
      </c>
      <c r="P3808">
        <f>G3808*I3808/100</f>
        <v>327.47000000000003</v>
      </c>
      <c r="Q3808">
        <f t="shared" si="36"/>
        <v>30228</v>
      </c>
      <c r="R3808">
        <f>K3808/J3808</f>
        <v>0</v>
      </c>
    </row>
    <row r="3809" spans="1:18" x14ac:dyDescent="0.3">
      <c r="A3809">
        <v>33</v>
      </c>
      <c r="B3809">
        <v>147</v>
      </c>
      <c r="C3809" t="s">
        <v>26</v>
      </c>
      <c r="D3809" t="s">
        <v>18</v>
      </c>
      <c r="E3809">
        <v>99</v>
      </c>
      <c r="F3809" t="s">
        <v>26</v>
      </c>
      <c r="G3809">
        <v>3960.0000000000005</v>
      </c>
      <c r="H3809">
        <v>8429</v>
      </c>
      <c r="I3809">
        <v>13</v>
      </c>
      <c r="J3809">
        <v>5</v>
      </c>
      <c r="K3809">
        <v>5</v>
      </c>
      <c r="L3809">
        <v>4</v>
      </c>
      <c r="M3809">
        <v>1</v>
      </c>
      <c r="N3809">
        <v>4</v>
      </c>
      <c r="P3809">
        <f>G3809*I3809/100</f>
        <v>514.80000000000007</v>
      </c>
      <c r="Q3809">
        <f t="shared" si="36"/>
        <v>47520.000000000007</v>
      </c>
      <c r="R3809">
        <f>K3809/J3809</f>
        <v>1</v>
      </c>
    </row>
    <row r="3810" spans="1:18" x14ac:dyDescent="0.3">
      <c r="A3810">
        <v>41</v>
      </c>
      <c r="B3810">
        <v>906</v>
      </c>
      <c r="C3810" t="s">
        <v>17</v>
      </c>
      <c r="D3810" t="s">
        <v>18</v>
      </c>
      <c r="E3810">
        <v>95</v>
      </c>
      <c r="F3810" t="s">
        <v>19</v>
      </c>
      <c r="G3810">
        <v>2317.7000000000003</v>
      </c>
      <c r="H3810">
        <v>20293</v>
      </c>
      <c r="I3810">
        <v>17</v>
      </c>
      <c r="J3810">
        <v>5</v>
      </c>
      <c r="K3810">
        <v>1</v>
      </c>
      <c r="L3810">
        <v>0</v>
      </c>
      <c r="M3810">
        <v>0</v>
      </c>
      <c r="N3810">
        <v>0</v>
      </c>
      <c r="P3810">
        <f>G3810*I3810/100</f>
        <v>394.00900000000001</v>
      </c>
      <c r="Q3810">
        <f t="shared" si="36"/>
        <v>27812.400000000001</v>
      </c>
      <c r="R3810">
        <f>K3810/J3810</f>
        <v>0.2</v>
      </c>
    </row>
    <row r="3811" spans="1:18" x14ac:dyDescent="0.3">
      <c r="A3811">
        <v>30</v>
      </c>
      <c r="B3811">
        <v>1329</v>
      </c>
      <c r="C3811" t="s">
        <v>14</v>
      </c>
      <c r="D3811" t="s">
        <v>18</v>
      </c>
      <c r="E3811">
        <v>61</v>
      </c>
      <c r="F3811" t="s">
        <v>16</v>
      </c>
      <c r="G3811">
        <v>4526.5</v>
      </c>
      <c r="H3811">
        <v>13192</v>
      </c>
      <c r="I3811">
        <v>19</v>
      </c>
      <c r="J3811">
        <v>8</v>
      </c>
      <c r="K3811">
        <v>4</v>
      </c>
      <c r="L3811">
        <v>3</v>
      </c>
      <c r="M3811">
        <v>0</v>
      </c>
      <c r="N3811">
        <v>3</v>
      </c>
      <c r="P3811">
        <f>G3811*I3811/100</f>
        <v>860.03499999999997</v>
      </c>
      <c r="Q3811">
        <f t="shared" si="36"/>
        <v>54318</v>
      </c>
      <c r="R3811">
        <f>K3811/J3811</f>
        <v>0.5</v>
      </c>
    </row>
    <row r="3812" spans="1:18" x14ac:dyDescent="0.3">
      <c r="A3812">
        <v>40</v>
      </c>
      <c r="B3812">
        <v>1184</v>
      </c>
      <c r="C3812" t="s">
        <v>14</v>
      </c>
      <c r="D3812" t="s">
        <v>18</v>
      </c>
      <c r="E3812">
        <v>62</v>
      </c>
      <c r="F3812" t="s">
        <v>16</v>
      </c>
      <c r="G3812">
        <v>4759.7000000000007</v>
      </c>
      <c r="H3812">
        <v>25440</v>
      </c>
      <c r="I3812">
        <v>12</v>
      </c>
      <c r="J3812">
        <v>5</v>
      </c>
      <c r="K3812">
        <v>0</v>
      </c>
      <c r="L3812">
        <v>0</v>
      </c>
      <c r="M3812">
        <v>0</v>
      </c>
      <c r="N3812">
        <v>0</v>
      </c>
      <c r="P3812">
        <f>G3812*I3812/100</f>
        <v>571.1640000000001</v>
      </c>
      <c r="Q3812">
        <f t="shared" si="36"/>
        <v>57116.400000000009</v>
      </c>
      <c r="R3812">
        <f>K3812/J3812</f>
        <v>0</v>
      </c>
    </row>
    <row r="3813" spans="1:18" x14ac:dyDescent="0.3">
      <c r="A3813">
        <v>50</v>
      </c>
      <c r="B3813">
        <v>1421</v>
      </c>
      <c r="C3813" t="s">
        <v>17</v>
      </c>
      <c r="D3813" t="s">
        <v>15</v>
      </c>
      <c r="E3813">
        <v>30</v>
      </c>
      <c r="F3813" t="s">
        <v>23</v>
      </c>
      <c r="G3813">
        <v>19641.600000000002</v>
      </c>
      <c r="H3813">
        <v>9490</v>
      </c>
      <c r="I3813">
        <v>22</v>
      </c>
      <c r="J3813">
        <v>32</v>
      </c>
      <c r="K3813">
        <v>2</v>
      </c>
      <c r="L3813">
        <v>2</v>
      </c>
      <c r="M3813">
        <v>2</v>
      </c>
      <c r="N3813">
        <v>2</v>
      </c>
      <c r="P3813">
        <f>G3813*I3813/100</f>
        <v>4321.152000000001</v>
      </c>
      <c r="Q3813">
        <f t="shared" si="36"/>
        <v>235699.20000000001</v>
      </c>
      <c r="R3813">
        <f>K3813/J3813</f>
        <v>6.25E-2</v>
      </c>
    </row>
    <row r="3814" spans="1:18" x14ac:dyDescent="0.3">
      <c r="A3814">
        <v>28</v>
      </c>
      <c r="B3814">
        <v>1179</v>
      </c>
      <c r="C3814" t="s">
        <v>17</v>
      </c>
      <c r="D3814" t="s">
        <v>18</v>
      </c>
      <c r="E3814">
        <v>78</v>
      </c>
      <c r="F3814" t="s">
        <v>20</v>
      </c>
      <c r="G3814">
        <v>3515.6000000000004</v>
      </c>
      <c r="H3814">
        <v>12449</v>
      </c>
      <c r="I3814">
        <v>12</v>
      </c>
      <c r="J3814">
        <v>6</v>
      </c>
      <c r="K3814">
        <v>6</v>
      </c>
      <c r="L3814">
        <v>5</v>
      </c>
      <c r="M3814">
        <v>3</v>
      </c>
      <c r="N3814">
        <v>3</v>
      </c>
      <c r="P3814">
        <f>G3814*I3814/100</f>
        <v>421.87200000000007</v>
      </c>
      <c r="Q3814">
        <f t="shared" si="36"/>
        <v>42187.200000000004</v>
      </c>
      <c r="R3814">
        <f>K3814/J3814</f>
        <v>1</v>
      </c>
    </row>
    <row r="3815" spans="1:18" x14ac:dyDescent="0.3">
      <c r="A3815">
        <v>46</v>
      </c>
      <c r="B3815">
        <v>1450</v>
      </c>
      <c r="C3815" t="s">
        <v>17</v>
      </c>
      <c r="D3815" t="s">
        <v>18</v>
      </c>
      <c r="E3815">
        <v>52</v>
      </c>
      <c r="F3815" t="s">
        <v>25</v>
      </c>
      <c r="G3815">
        <v>20989.100000000002</v>
      </c>
      <c r="H3815">
        <v>10849</v>
      </c>
      <c r="I3815">
        <v>11</v>
      </c>
      <c r="J3815">
        <v>25</v>
      </c>
      <c r="K3815">
        <v>4</v>
      </c>
      <c r="L3815">
        <v>2</v>
      </c>
      <c r="M3815">
        <v>0</v>
      </c>
      <c r="N3815">
        <v>3</v>
      </c>
      <c r="P3815">
        <f>G3815*I3815/100</f>
        <v>2308.8010000000004</v>
      </c>
      <c r="Q3815">
        <f t="shared" si="36"/>
        <v>251869.2</v>
      </c>
      <c r="R3815">
        <f>K3815/J3815</f>
        <v>0.16</v>
      </c>
    </row>
    <row r="3816" spans="1:18" x14ac:dyDescent="0.3">
      <c r="A3816">
        <v>35</v>
      </c>
      <c r="B3816">
        <v>1361</v>
      </c>
      <c r="C3816" t="s">
        <v>14</v>
      </c>
      <c r="D3816" t="s">
        <v>18</v>
      </c>
      <c r="E3816">
        <v>94</v>
      </c>
      <c r="F3816" t="s">
        <v>16</v>
      </c>
      <c r="G3816">
        <v>9862.6</v>
      </c>
      <c r="H3816">
        <v>21026</v>
      </c>
      <c r="I3816">
        <v>15</v>
      </c>
      <c r="J3816">
        <v>15</v>
      </c>
      <c r="K3816">
        <v>7</v>
      </c>
      <c r="L3816">
        <v>7</v>
      </c>
      <c r="M3816">
        <v>1</v>
      </c>
      <c r="N3816">
        <v>7</v>
      </c>
      <c r="P3816">
        <f>G3816*I3816/100</f>
        <v>1479.39</v>
      </c>
      <c r="Q3816">
        <f t="shared" si="36"/>
        <v>118351.20000000001</v>
      </c>
      <c r="R3816">
        <f>K3816/J3816</f>
        <v>0.46666666666666667</v>
      </c>
    </row>
    <row r="3817" spans="1:18" x14ac:dyDescent="0.3">
      <c r="A3817">
        <v>24</v>
      </c>
      <c r="B3817">
        <v>984</v>
      </c>
      <c r="C3817" t="s">
        <v>17</v>
      </c>
      <c r="D3817" t="s">
        <v>15</v>
      </c>
      <c r="E3817">
        <v>97</v>
      </c>
      <c r="F3817" t="s">
        <v>20</v>
      </c>
      <c r="G3817">
        <v>2431</v>
      </c>
      <c r="H3817">
        <v>3372</v>
      </c>
      <c r="I3817">
        <v>13</v>
      </c>
      <c r="J3817">
        <v>1</v>
      </c>
      <c r="K3817">
        <v>1</v>
      </c>
      <c r="L3817">
        <v>0</v>
      </c>
      <c r="M3817">
        <v>0</v>
      </c>
      <c r="N3817">
        <v>0</v>
      </c>
      <c r="P3817">
        <f>G3817*I3817/100</f>
        <v>316.02999999999997</v>
      </c>
      <c r="Q3817">
        <f t="shared" si="36"/>
        <v>29172</v>
      </c>
      <c r="R3817">
        <f>K3817/J3817</f>
        <v>1</v>
      </c>
    </row>
    <row r="3818" spans="1:18" x14ac:dyDescent="0.3">
      <c r="A3818">
        <v>33</v>
      </c>
      <c r="B3818">
        <v>1146</v>
      </c>
      <c r="C3818" t="s">
        <v>14</v>
      </c>
      <c r="D3818" t="s">
        <v>15</v>
      </c>
      <c r="E3818">
        <v>82</v>
      </c>
      <c r="F3818" t="s">
        <v>16</v>
      </c>
      <c r="G3818">
        <v>4992.9000000000005</v>
      </c>
      <c r="H3818">
        <v>4905</v>
      </c>
      <c r="I3818">
        <v>12</v>
      </c>
      <c r="J3818">
        <v>10</v>
      </c>
      <c r="K3818">
        <v>10</v>
      </c>
      <c r="L3818">
        <v>7</v>
      </c>
      <c r="M3818">
        <v>0</v>
      </c>
      <c r="N3818">
        <v>1</v>
      </c>
      <c r="P3818">
        <f>G3818*I3818/100</f>
        <v>599.14800000000002</v>
      </c>
      <c r="Q3818">
        <f t="shared" si="36"/>
        <v>59914.8</v>
      </c>
      <c r="R3818">
        <f>K3818/J3818</f>
        <v>1</v>
      </c>
    </row>
    <row r="3819" spans="1:18" x14ac:dyDescent="0.3">
      <c r="A3819">
        <v>36</v>
      </c>
      <c r="B3819">
        <v>917</v>
      </c>
      <c r="C3819" t="s">
        <v>17</v>
      </c>
      <c r="D3819" t="s">
        <v>18</v>
      </c>
      <c r="E3819">
        <v>60</v>
      </c>
      <c r="F3819" t="s">
        <v>20</v>
      </c>
      <c r="G3819">
        <v>3015.1000000000004</v>
      </c>
      <c r="H3819">
        <v>6865</v>
      </c>
      <c r="I3819">
        <v>14</v>
      </c>
      <c r="J3819">
        <v>7</v>
      </c>
      <c r="K3819">
        <v>7</v>
      </c>
      <c r="L3819">
        <v>7</v>
      </c>
      <c r="M3819">
        <v>1</v>
      </c>
      <c r="N3819">
        <v>7</v>
      </c>
      <c r="P3819">
        <f>G3819*I3819/100</f>
        <v>422.11400000000009</v>
      </c>
      <c r="Q3819">
        <f t="shared" si="36"/>
        <v>36181.200000000004</v>
      </c>
      <c r="R3819">
        <f>K3819/J3819</f>
        <v>1</v>
      </c>
    </row>
    <row r="3820" spans="1:18" x14ac:dyDescent="0.3">
      <c r="A3820">
        <v>30</v>
      </c>
      <c r="B3820">
        <v>853</v>
      </c>
      <c r="C3820" t="s">
        <v>17</v>
      </c>
      <c r="D3820" t="s">
        <v>18</v>
      </c>
      <c r="E3820">
        <v>49</v>
      </c>
      <c r="F3820" t="s">
        <v>20</v>
      </c>
      <c r="G3820">
        <v>3840.1000000000004</v>
      </c>
      <c r="H3820">
        <v>11309</v>
      </c>
      <c r="I3820">
        <v>13</v>
      </c>
      <c r="J3820">
        <v>10</v>
      </c>
      <c r="K3820">
        <v>10</v>
      </c>
      <c r="L3820">
        <v>7</v>
      </c>
      <c r="M3820">
        <v>8</v>
      </c>
      <c r="N3820">
        <v>9</v>
      </c>
      <c r="P3820">
        <f>G3820*I3820/100</f>
        <v>499.21300000000002</v>
      </c>
      <c r="Q3820">
        <f t="shared" si="36"/>
        <v>46081.200000000004</v>
      </c>
      <c r="R3820">
        <f>K3820/J3820</f>
        <v>1</v>
      </c>
    </row>
    <row r="3821" spans="1:18" x14ac:dyDescent="0.3">
      <c r="A3821">
        <v>44</v>
      </c>
      <c r="B3821">
        <v>200</v>
      </c>
      <c r="C3821" t="s">
        <v>17</v>
      </c>
      <c r="D3821" t="s">
        <v>18</v>
      </c>
      <c r="E3821">
        <v>32</v>
      </c>
      <c r="F3821" t="s">
        <v>19</v>
      </c>
      <c r="G3821">
        <v>4995.1000000000004</v>
      </c>
      <c r="H3821">
        <v>7744</v>
      </c>
      <c r="I3821">
        <v>25</v>
      </c>
      <c r="J3821">
        <v>20</v>
      </c>
      <c r="K3821">
        <v>20</v>
      </c>
      <c r="L3821">
        <v>11</v>
      </c>
      <c r="M3821">
        <v>13</v>
      </c>
      <c r="N3821">
        <v>17</v>
      </c>
      <c r="P3821">
        <f>G3821*I3821/100</f>
        <v>1248.7750000000001</v>
      </c>
      <c r="Q3821">
        <f t="shared" si="36"/>
        <v>59941.200000000004</v>
      </c>
      <c r="R3821">
        <f>K3821/J3821</f>
        <v>1</v>
      </c>
    </row>
    <row r="3822" spans="1:18" x14ac:dyDescent="0.3">
      <c r="A3822">
        <v>20</v>
      </c>
      <c r="B3822">
        <v>654</v>
      </c>
      <c r="C3822" t="s">
        <v>14</v>
      </c>
      <c r="D3822" t="s">
        <v>18</v>
      </c>
      <c r="E3822">
        <v>43</v>
      </c>
      <c r="F3822" t="s">
        <v>24</v>
      </c>
      <c r="G3822">
        <v>2945.8</v>
      </c>
      <c r="H3822">
        <v>5050</v>
      </c>
      <c r="I3822">
        <v>17</v>
      </c>
      <c r="J3822">
        <v>2</v>
      </c>
      <c r="K3822">
        <v>2</v>
      </c>
      <c r="L3822">
        <v>1</v>
      </c>
      <c r="M3822">
        <v>2</v>
      </c>
      <c r="N3822">
        <v>2</v>
      </c>
      <c r="P3822">
        <f>G3822*I3822/100</f>
        <v>500.78600000000006</v>
      </c>
      <c r="Q3822">
        <f t="shared" si="36"/>
        <v>35349.600000000006</v>
      </c>
      <c r="R3822">
        <f>K3822/J3822</f>
        <v>1</v>
      </c>
    </row>
    <row r="3823" spans="1:18" x14ac:dyDescent="0.3">
      <c r="A3823">
        <v>46</v>
      </c>
      <c r="B3823">
        <v>150</v>
      </c>
      <c r="C3823" t="s">
        <v>17</v>
      </c>
      <c r="D3823" t="s">
        <v>18</v>
      </c>
      <c r="E3823">
        <v>60</v>
      </c>
      <c r="F3823" t="s">
        <v>21</v>
      </c>
      <c r="G3823">
        <v>8116.9000000000005</v>
      </c>
      <c r="H3823">
        <v>17433</v>
      </c>
      <c r="I3823">
        <v>11</v>
      </c>
      <c r="J3823">
        <v>12</v>
      </c>
      <c r="K3823">
        <v>6</v>
      </c>
      <c r="L3823">
        <v>3</v>
      </c>
      <c r="M3823">
        <v>1</v>
      </c>
      <c r="N3823">
        <v>4</v>
      </c>
      <c r="P3823">
        <f>G3823*I3823/100</f>
        <v>892.85900000000004</v>
      </c>
      <c r="Q3823">
        <f t="shared" si="36"/>
        <v>97402.8</v>
      </c>
      <c r="R3823">
        <f>K3823/J3823</f>
        <v>0.5</v>
      </c>
    </row>
    <row r="3824" spans="1:18" x14ac:dyDescent="0.3">
      <c r="A3824">
        <v>42</v>
      </c>
      <c r="B3824">
        <v>179</v>
      </c>
      <c r="C3824" t="s">
        <v>26</v>
      </c>
      <c r="D3824" t="s">
        <v>18</v>
      </c>
      <c r="E3824">
        <v>79</v>
      </c>
      <c r="F3824" t="s">
        <v>26</v>
      </c>
      <c r="G3824">
        <v>6899.2000000000007</v>
      </c>
      <c r="H3824">
        <v>12858</v>
      </c>
      <c r="I3824">
        <v>16</v>
      </c>
      <c r="J3824">
        <v>10</v>
      </c>
      <c r="K3824">
        <v>4</v>
      </c>
      <c r="L3824">
        <v>3</v>
      </c>
      <c r="M3824">
        <v>0</v>
      </c>
      <c r="N3824">
        <v>3</v>
      </c>
      <c r="P3824">
        <f>G3824*I3824/100</f>
        <v>1103.8720000000001</v>
      </c>
      <c r="Q3824">
        <f t="shared" si="36"/>
        <v>82790.400000000009</v>
      </c>
      <c r="R3824">
        <f>K3824/J3824</f>
        <v>0.4</v>
      </c>
    </row>
    <row r="3825" spans="1:18" x14ac:dyDescent="0.3">
      <c r="A3825">
        <v>60</v>
      </c>
      <c r="B3825">
        <v>696</v>
      </c>
      <c r="C3825" t="s">
        <v>14</v>
      </c>
      <c r="D3825" t="s">
        <v>18</v>
      </c>
      <c r="E3825">
        <v>52</v>
      </c>
      <c r="F3825" t="s">
        <v>16</v>
      </c>
      <c r="G3825">
        <v>5742.0000000000009</v>
      </c>
      <c r="H3825">
        <v>10893</v>
      </c>
      <c r="I3825">
        <v>18</v>
      </c>
      <c r="J3825">
        <v>12</v>
      </c>
      <c r="K3825">
        <v>11</v>
      </c>
      <c r="L3825">
        <v>7</v>
      </c>
      <c r="M3825">
        <v>1</v>
      </c>
      <c r="N3825">
        <v>9</v>
      </c>
      <c r="P3825">
        <f>G3825*I3825/100</f>
        <v>1033.5600000000002</v>
      </c>
      <c r="Q3825">
        <f t="shared" si="36"/>
        <v>68904.000000000015</v>
      </c>
      <c r="R3825">
        <f>K3825/J3825</f>
        <v>0.91666666666666663</v>
      </c>
    </row>
    <row r="3826" spans="1:18" x14ac:dyDescent="0.3">
      <c r="A3826">
        <v>32</v>
      </c>
      <c r="B3826">
        <v>116</v>
      </c>
      <c r="C3826" t="s">
        <v>17</v>
      </c>
      <c r="D3826" t="s">
        <v>15</v>
      </c>
      <c r="E3826">
        <v>77</v>
      </c>
      <c r="F3826" t="s">
        <v>20</v>
      </c>
      <c r="G3826">
        <v>3017.3</v>
      </c>
      <c r="H3826">
        <v>7331</v>
      </c>
      <c r="I3826">
        <v>20</v>
      </c>
      <c r="J3826">
        <v>2</v>
      </c>
      <c r="K3826">
        <v>2</v>
      </c>
      <c r="L3826">
        <v>2</v>
      </c>
      <c r="M3826">
        <v>2</v>
      </c>
      <c r="N3826">
        <v>2</v>
      </c>
      <c r="P3826">
        <f>G3826*I3826/100</f>
        <v>603.46</v>
      </c>
      <c r="Q3826">
        <f t="shared" si="36"/>
        <v>36207.600000000006</v>
      </c>
      <c r="R3826">
        <f>K3826/J3826</f>
        <v>1</v>
      </c>
    </row>
    <row r="3827" spans="1:18" x14ac:dyDescent="0.3">
      <c r="A3827">
        <v>32</v>
      </c>
      <c r="B3827">
        <v>1316</v>
      </c>
      <c r="C3827" t="s">
        <v>17</v>
      </c>
      <c r="D3827" t="s">
        <v>15</v>
      </c>
      <c r="E3827">
        <v>38</v>
      </c>
      <c r="F3827" t="s">
        <v>19</v>
      </c>
      <c r="G3827">
        <v>5497.8</v>
      </c>
      <c r="H3827">
        <v>2338</v>
      </c>
      <c r="I3827">
        <v>14</v>
      </c>
      <c r="J3827">
        <v>10</v>
      </c>
      <c r="K3827">
        <v>8</v>
      </c>
      <c r="L3827">
        <v>7</v>
      </c>
      <c r="M3827">
        <v>0</v>
      </c>
      <c r="N3827">
        <v>7</v>
      </c>
      <c r="P3827">
        <f>G3827*I3827/100</f>
        <v>769.69200000000001</v>
      </c>
      <c r="Q3827">
        <f t="shared" si="36"/>
        <v>65973.600000000006</v>
      </c>
      <c r="R3827">
        <f>K3827/J3827</f>
        <v>0.8</v>
      </c>
    </row>
    <row r="3828" spans="1:18" x14ac:dyDescent="0.3">
      <c r="A3828">
        <v>36</v>
      </c>
      <c r="B3828">
        <v>363</v>
      </c>
      <c r="C3828" t="s">
        <v>17</v>
      </c>
      <c r="D3828" t="s">
        <v>15</v>
      </c>
      <c r="E3828">
        <v>77</v>
      </c>
      <c r="F3828" t="s">
        <v>21</v>
      </c>
      <c r="G3828">
        <v>11277.2</v>
      </c>
      <c r="H3828">
        <v>4235</v>
      </c>
      <c r="I3828">
        <v>21</v>
      </c>
      <c r="J3828">
        <v>17</v>
      </c>
      <c r="K3828">
        <v>7</v>
      </c>
      <c r="L3828">
        <v>7</v>
      </c>
      <c r="M3828">
        <v>7</v>
      </c>
      <c r="N3828">
        <v>7</v>
      </c>
      <c r="P3828">
        <f>G3828*I3828/100</f>
        <v>2368.212</v>
      </c>
      <c r="Q3828">
        <f t="shared" si="36"/>
        <v>135326.40000000002</v>
      </c>
      <c r="R3828">
        <f>K3828/J3828</f>
        <v>0.41176470588235292</v>
      </c>
    </row>
    <row r="3829" spans="1:18" x14ac:dyDescent="0.3">
      <c r="A3829">
        <v>33</v>
      </c>
      <c r="B3829">
        <v>117</v>
      </c>
      <c r="C3829" t="s">
        <v>17</v>
      </c>
      <c r="D3829" t="s">
        <v>18</v>
      </c>
      <c r="E3829">
        <v>60</v>
      </c>
      <c r="F3829" t="s">
        <v>19</v>
      </c>
      <c r="G3829">
        <v>3059.1000000000004</v>
      </c>
      <c r="H3829">
        <v>6311</v>
      </c>
      <c r="I3829">
        <v>13</v>
      </c>
      <c r="J3829">
        <v>15</v>
      </c>
      <c r="K3829">
        <v>14</v>
      </c>
      <c r="L3829">
        <v>10</v>
      </c>
      <c r="M3829">
        <v>4</v>
      </c>
      <c r="N3829">
        <v>10</v>
      </c>
      <c r="P3829">
        <f>G3829*I3829/100</f>
        <v>397.68300000000005</v>
      </c>
      <c r="Q3829">
        <f t="shared" si="36"/>
        <v>36709.200000000004</v>
      </c>
      <c r="R3829">
        <f>K3829/J3829</f>
        <v>0.93333333333333335</v>
      </c>
    </row>
    <row r="3830" spans="1:18" x14ac:dyDescent="0.3">
      <c r="A3830">
        <v>40</v>
      </c>
      <c r="B3830">
        <v>107</v>
      </c>
      <c r="C3830" t="s">
        <v>14</v>
      </c>
      <c r="D3830" t="s">
        <v>15</v>
      </c>
      <c r="E3830">
        <v>84</v>
      </c>
      <c r="F3830" t="s">
        <v>16</v>
      </c>
      <c r="G3830">
        <v>7537.2000000000007</v>
      </c>
      <c r="H3830">
        <v>11591</v>
      </c>
      <c r="I3830">
        <v>12</v>
      </c>
      <c r="J3830">
        <v>7</v>
      </c>
      <c r="K3830">
        <v>5</v>
      </c>
      <c r="L3830">
        <v>1</v>
      </c>
      <c r="M3830">
        <v>1</v>
      </c>
      <c r="N3830">
        <v>3</v>
      </c>
      <c r="P3830">
        <f>G3830*I3830/100</f>
        <v>904.46400000000006</v>
      </c>
      <c r="Q3830">
        <f t="shared" si="36"/>
        <v>90446.400000000009</v>
      </c>
      <c r="R3830">
        <f>K3830/J3830</f>
        <v>0.7142857142857143</v>
      </c>
    </row>
    <row r="3831" spans="1:18" x14ac:dyDescent="0.3">
      <c r="A3831">
        <v>25</v>
      </c>
      <c r="B3831">
        <v>1356</v>
      </c>
      <c r="C3831" t="s">
        <v>14</v>
      </c>
      <c r="D3831" t="s">
        <v>18</v>
      </c>
      <c r="E3831">
        <v>57</v>
      </c>
      <c r="F3831" t="s">
        <v>16</v>
      </c>
      <c r="G3831">
        <v>5445</v>
      </c>
      <c r="H3831">
        <v>20623</v>
      </c>
      <c r="I3831">
        <v>14</v>
      </c>
      <c r="J3831">
        <v>5</v>
      </c>
      <c r="K3831">
        <v>4</v>
      </c>
      <c r="L3831">
        <v>3</v>
      </c>
      <c r="M3831">
        <v>1</v>
      </c>
      <c r="N3831">
        <v>1</v>
      </c>
      <c r="P3831">
        <f>G3831*I3831/100</f>
        <v>762.3</v>
      </c>
      <c r="Q3831">
        <f t="shared" si="36"/>
        <v>65340</v>
      </c>
      <c r="R3831">
        <f>K3831/J3831</f>
        <v>0.8</v>
      </c>
    </row>
    <row r="3832" spans="1:18" x14ac:dyDescent="0.3">
      <c r="A3832">
        <v>30</v>
      </c>
      <c r="B3832">
        <v>1465</v>
      </c>
      <c r="C3832" t="s">
        <v>17</v>
      </c>
      <c r="D3832" t="s">
        <v>18</v>
      </c>
      <c r="E3832">
        <v>63</v>
      </c>
      <c r="F3832" t="s">
        <v>19</v>
      </c>
      <c r="G3832">
        <v>3936.9</v>
      </c>
      <c r="H3832">
        <v>9369</v>
      </c>
      <c r="I3832">
        <v>21</v>
      </c>
      <c r="J3832">
        <v>12</v>
      </c>
      <c r="K3832">
        <v>11</v>
      </c>
      <c r="L3832">
        <v>9</v>
      </c>
      <c r="M3832">
        <v>5</v>
      </c>
      <c r="N3832">
        <v>7</v>
      </c>
      <c r="P3832">
        <f>G3832*I3832/100</f>
        <v>826.74900000000014</v>
      </c>
      <c r="Q3832">
        <f t="shared" si="36"/>
        <v>47242.8</v>
      </c>
      <c r="R3832">
        <f>K3832/J3832</f>
        <v>0.91666666666666663</v>
      </c>
    </row>
    <row r="3833" spans="1:18" x14ac:dyDescent="0.3">
      <c r="A3833">
        <v>42</v>
      </c>
      <c r="B3833">
        <v>458</v>
      </c>
      <c r="C3833" t="s">
        <v>17</v>
      </c>
      <c r="D3833" t="s">
        <v>15</v>
      </c>
      <c r="E3833">
        <v>60</v>
      </c>
      <c r="F3833" t="s">
        <v>25</v>
      </c>
      <c r="G3833">
        <v>14510.1</v>
      </c>
      <c r="H3833">
        <v>23281</v>
      </c>
      <c r="I3833">
        <v>17</v>
      </c>
      <c r="J3833">
        <v>20</v>
      </c>
      <c r="K3833">
        <v>1</v>
      </c>
      <c r="L3833">
        <v>0</v>
      </c>
      <c r="M3833">
        <v>0</v>
      </c>
      <c r="N3833">
        <v>0</v>
      </c>
      <c r="P3833">
        <f>G3833*I3833/100</f>
        <v>2466.7170000000001</v>
      </c>
      <c r="Q3833">
        <f t="shared" si="36"/>
        <v>174121.2</v>
      </c>
      <c r="R3833">
        <f>K3833/J3833</f>
        <v>0.05</v>
      </c>
    </row>
    <row r="3834" spans="1:18" x14ac:dyDescent="0.3">
      <c r="A3834">
        <v>35</v>
      </c>
      <c r="B3834">
        <v>1212</v>
      </c>
      <c r="C3834" t="s">
        <v>14</v>
      </c>
      <c r="D3834" t="s">
        <v>15</v>
      </c>
      <c r="E3834">
        <v>78</v>
      </c>
      <c r="F3834" t="s">
        <v>16</v>
      </c>
      <c r="G3834">
        <v>11414.7</v>
      </c>
      <c r="H3834">
        <v>13755</v>
      </c>
      <c r="I3834">
        <v>11</v>
      </c>
      <c r="J3834">
        <v>16</v>
      </c>
      <c r="K3834">
        <v>13</v>
      </c>
      <c r="L3834">
        <v>2</v>
      </c>
      <c r="M3834">
        <v>4</v>
      </c>
      <c r="N3834">
        <v>12</v>
      </c>
      <c r="P3834">
        <f>G3834*I3834/100</f>
        <v>1255.6170000000002</v>
      </c>
      <c r="Q3834">
        <f t="shared" si="36"/>
        <v>136976.40000000002</v>
      </c>
      <c r="R3834">
        <f>K3834/J3834</f>
        <v>0.8125</v>
      </c>
    </row>
    <row r="3835" spans="1:18" x14ac:dyDescent="0.3">
      <c r="A3835">
        <v>27</v>
      </c>
      <c r="B3835">
        <v>1103</v>
      </c>
      <c r="C3835" t="s">
        <v>17</v>
      </c>
      <c r="D3835" t="s">
        <v>18</v>
      </c>
      <c r="E3835">
        <v>42</v>
      </c>
      <c r="F3835" t="s">
        <v>19</v>
      </c>
      <c r="G3835">
        <v>2458.5</v>
      </c>
      <c r="H3835">
        <v>14377</v>
      </c>
      <c r="I3835">
        <v>14</v>
      </c>
      <c r="J3835">
        <v>9</v>
      </c>
      <c r="K3835">
        <v>9</v>
      </c>
      <c r="L3835">
        <v>7</v>
      </c>
      <c r="M3835">
        <v>6</v>
      </c>
      <c r="N3835">
        <v>8</v>
      </c>
      <c r="P3835">
        <f>G3835*I3835/100</f>
        <v>344.19</v>
      </c>
      <c r="Q3835">
        <f t="shared" si="36"/>
        <v>29502</v>
      </c>
      <c r="R3835">
        <f>K3835/J3835</f>
        <v>1</v>
      </c>
    </row>
    <row r="3836" spans="1:18" x14ac:dyDescent="0.3">
      <c r="A3836">
        <v>54</v>
      </c>
      <c r="B3836">
        <v>966</v>
      </c>
      <c r="C3836" t="s">
        <v>17</v>
      </c>
      <c r="D3836" t="s">
        <v>15</v>
      </c>
      <c r="E3836">
        <v>53</v>
      </c>
      <c r="F3836" t="s">
        <v>21</v>
      </c>
      <c r="G3836">
        <v>11552.2</v>
      </c>
      <c r="H3836">
        <v>9659</v>
      </c>
      <c r="I3836">
        <v>17</v>
      </c>
      <c r="J3836">
        <v>33</v>
      </c>
      <c r="K3836">
        <v>5</v>
      </c>
      <c r="L3836">
        <v>4</v>
      </c>
      <c r="M3836">
        <v>1</v>
      </c>
      <c r="N3836">
        <v>4</v>
      </c>
      <c r="P3836">
        <f>G3836*I3836/100</f>
        <v>1963.8740000000003</v>
      </c>
      <c r="Q3836">
        <f t="shared" si="36"/>
        <v>138626.40000000002</v>
      </c>
      <c r="R3836">
        <f>K3836/J3836</f>
        <v>0.15151515151515152</v>
      </c>
    </row>
    <row r="3837" spans="1:18" x14ac:dyDescent="0.3">
      <c r="A3837">
        <v>44</v>
      </c>
      <c r="B3837">
        <v>1117</v>
      </c>
      <c r="C3837" t="s">
        <v>17</v>
      </c>
      <c r="D3837" t="s">
        <v>15</v>
      </c>
      <c r="E3837">
        <v>72</v>
      </c>
      <c r="F3837" t="s">
        <v>19</v>
      </c>
      <c r="G3837">
        <v>2212.1000000000004</v>
      </c>
      <c r="H3837">
        <v>19982</v>
      </c>
      <c r="I3837">
        <v>13</v>
      </c>
      <c r="J3837">
        <v>10</v>
      </c>
      <c r="K3837">
        <v>10</v>
      </c>
      <c r="L3837">
        <v>5</v>
      </c>
      <c r="M3837">
        <v>7</v>
      </c>
      <c r="N3837">
        <v>7</v>
      </c>
      <c r="P3837">
        <f>G3837*I3837/100</f>
        <v>287.57300000000004</v>
      </c>
      <c r="Q3837">
        <f t="shared" si="36"/>
        <v>26545.200000000004</v>
      </c>
      <c r="R3837">
        <f>K3837/J3837</f>
        <v>1</v>
      </c>
    </row>
    <row r="3838" spans="1:18" x14ac:dyDescent="0.3">
      <c r="A3838">
        <v>19</v>
      </c>
      <c r="B3838">
        <v>504</v>
      </c>
      <c r="C3838" t="s">
        <v>17</v>
      </c>
      <c r="D3838" t="s">
        <v>15</v>
      </c>
      <c r="E3838">
        <v>96</v>
      </c>
      <c r="F3838" t="s">
        <v>19</v>
      </c>
      <c r="G3838">
        <v>2044.9</v>
      </c>
      <c r="H3838">
        <v>6148</v>
      </c>
      <c r="I3838">
        <v>25</v>
      </c>
      <c r="J3838">
        <v>1</v>
      </c>
      <c r="K3838">
        <v>1</v>
      </c>
      <c r="L3838">
        <v>1</v>
      </c>
      <c r="M3838">
        <v>0</v>
      </c>
      <c r="N3838">
        <v>0</v>
      </c>
      <c r="P3838">
        <f>G3838*I3838/100</f>
        <v>511.22500000000002</v>
      </c>
      <c r="Q3838">
        <f t="shared" si="36"/>
        <v>24538.800000000003</v>
      </c>
      <c r="R3838">
        <f>K3838/J3838</f>
        <v>1</v>
      </c>
    </row>
    <row r="3839" spans="1:18" x14ac:dyDescent="0.3">
      <c r="A3839">
        <v>29</v>
      </c>
      <c r="B3839">
        <v>1010</v>
      </c>
      <c r="C3839" t="s">
        <v>17</v>
      </c>
      <c r="D3839" t="s">
        <v>15</v>
      </c>
      <c r="E3839">
        <v>97</v>
      </c>
      <c r="F3839" t="s">
        <v>19</v>
      </c>
      <c r="G3839">
        <v>4136</v>
      </c>
      <c r="H3839">
        <v>5598</v>
      </c>
      <c r="I3839">
        <v>15</v>
      </c>
      <c r="J3839">
        <v>3</v>
      </c>
      <c r="K3839">
        <v>3</v>
      </c>
      <c r="L3839">
        <v>2</v>
      </c>
      <c r="M3839">
        <v>1</v>
      </c>
      <c r="N3839">
        <v>2</v>
      </c>
      <c r="P3839">
        <f>G3839*I3839/100</f>
        <v>620.4</v>
      </c>
      <c r="Q3839">
        <f t="shared" si="36"/>
        <v>49632</v>
      </c>
      <c r="R3839">
        <f>K3839/J3839</f>
        <v>1</v>
      </c>
    </row>
    <row r="3840" spans="1:18" x14ac:dyDescent="0.3">
      <c r="A3840">
        <v>54</v>
      </c>
      <c r="B3840">
        <v>685</v>
      </c>
      <c r="C3840" t="s">
        <v>17</v>
      </c>
      <c r="D3840" t="s">
        <v>18</v>
      </c>
      <c r="E3840">
        <v>85</v>
      </c>
      <c r="F3840" t="s">
        <v>25</v>
      </c>
      <c r="G3840">
        <v>19556.900000000001</v>
      </c>
      <c r="H3840">
        <v>23474</v>
      </c>
      <c r="I3840">
        <v>14</v>
      </c>
      <c r="J3840">
        <v>36</v>
      </c>
      <c r="K3840">
        <v>10</v>
      </c>
      <c r="L3840">
        <v>9</v>
      </c>
      <c r="M3840">
        <v>0</v>
      </c>
      <c r="N3840">
        <v>9</v>
      </c>
      <c r="P3840">
        <f>G3840*I3840/100</f>
        <v>2737.9660000000003</v>
      </c>
      <c r="Q3840">
        <f t="shared" si="36"/>
        <v>234682.80000000002</v>
      </c>
      <c r="R3840">
        <f>K3840/J3840</f>
        <v>0.27777777777777779</v>
      </c>
    </row>
    <row r="3841" spans="1:18" x14ac:dyDescent="0.3">
      <c r="A3841">
        <v>31</v>
      </c>
      <c r="B3841">
        <v>1332</v>
      </c>
      <c r="C3841" t="s">
        <v>17</v>
      </c>
      <c r="D3841" t="s">
        <v>18</v>
      </c>
      <c r="E3841">
        <v>80</v>
      </c>
      <c r="F3841" t="s">
        <v>22</v>
      </c>
      <c r="G3841">
        <v>7516.3</v>
      </c>
      <c r="H3841">
        <v>17089</v>
      </c>
      <c r="I3841">
        <v>12</v>
      </c>
      <c r="J3841">
        <v>6</v>
      </c>
      <c r="K3841">
        <v>6</v>
      </c>
      <c r="L3841">
        <v>5</v>
      </c>
      <c r="M3841">
        <v>0</v>
      </c>
      <c r="N3841">
        <v>1</v>
      </c>
      <c r="P3841">
        <f>G3841*I3841/100</f>
        <v>901.95600000000002</v>
      </c>
      <c r="Q3841">
        <f t="shared" si="36"/>
        <v>90195.6</v>
      </c>
      <c r="R3841">
        <f>K3841/J3841</f>
        <v>1</v>
      </c>
    </row>
    <row r="3842" spans="1:18" x14ac:dyDescent="0.3">
      <c r="A3842">
        <v>31</v>
      </c>
      <c r="B3842">
        <v>1062</v>
      </c>
      <c r="C3842" t="s">
        <v>17</v>
      </c>
      <c r="D3842" t="s">
        <v>15</v>
      </c>
      <c r="E3842">
        <v>96</v>
      </c>
      <c r="F3842" t="s">
        <v>22</v>
      </c>
      <c r="G3842">
        <v>7493.2000000000007</v>
      </c>
      <c r="H3842">
        <v>17198</v>
      </c>
      <c r="I3842">
        <v>19</v>
      </c>
      <c r="J3842">
        <v>10</v>
      </c>
      <c r="K3842">
        <v>10</v>
      </c>
      <c r="L3842">
        <v>9</v>
      </c>
      <c r="M3842">
        <v>1</v>
      </c>
      <c r="N3842">
        <v>8</v>
      </c>
      <c r="P3842">
        <f>G3842*I3842/100</f>
        <v>1423.7080000000001</v>
      </c>
      <c r="Q3842">
        <f t="shared" si="36"/>
        <v>89918.400000000009</v>
      </c>
      <c r="R3842">
        <f>K3842/J3842</f>
        <v>1</v>
      </c>
    </row>
    <row r="3843" spans="1:18" x14ac:dyDescent="0.3">
      <c r="A3843">
        <v>59</v>
      </c>
      <c r="B3843">
        <v>326</v>
      </c>
      <c r="C3843" t="s">
        <v>14</v>
      </c>
      <c r="D3843" t="s">
        <v>15</v>
      </c>
      <c r="E3843">
        <v>48</v>
      </c>
      <c r="F3843" t="s">
        <v>16</v>
      </c>
      <c r="G3843">
        <v>5688.1</v>
      </c>
      <c r="H3843">
        <v>16490</v>
      </c>
      <c r="I3843">
        <v>17</v>
      </c>
      <c r="J3843">
        <v>13</v>
      </c>
      <c r="K3843">
        <v>6</v>
      </c>
      <c r="L3843">
        <v>1</v>
      </c>
      <c r="M3843">
        <v>0</v>
      </c>
      <c r="N3843">
        <v>5</v>
      </c>
      <c r="P3843">
        <f>G3843*I3843/100</f>
        <v>966.97700000000009</v>
      </c>
      <c r="Q3843">
        <f t="shared" ref="Q3843:Q3906" si="37">G3843*12</f>
        <v>68257.200000000012</v>
      </c>
      <c r="R3843">
        <f>K3843/J3843</f>
        <v>0.46153846153846156</v>
      </c>
    </row>
    <row r="3844" spans="1:18" x14ac:dyDescent="0.3">
      <c r="A3844">
        <v>43</v>
      </c>
      <c r="B3844">
        <v>920</v>
      </c>
      <c r="C3844" t="s">
        <v>17</v>
      </c>
      <c r="D3844" t="s">
        <v>18</v>
      </c>
      <c r="E3844">
        <v>96</v>
      </c>
      <c r="F3844" t="s">
        <v>25</v>
      </c>
      <c r="G3844">
        <v>21714</v>
      </c>
      <c r="H3844">
        <v>18625</v>
      </c>
      <c r="I3844">
        <v>14</v>
      </c>
      <c r="J3844">
        <v>25</v>
      </c>
      <c r="K3844">
        <v>8</v>
      </c>
      <c r="L3844">
        <v>7</v>
      </c>
      <c r="M3844">
        <v>0</v>
      </c>
      <c r="N3844">
        <v>7</v>
      </c>
      <c r="P3844">
        <f>G3844*I3844/100</f>
        <v>3039.96</v>
      </c>
      <c r="Q3844">
        <f t="shared" si="37"/>
        <v>260568</v>
      </c>
      <c r="R3844">
        <f>K3844/J3844</f>
        <v>0.32</v>
      </c>
    </row>
    <row r="3845" spans="1:18" x14ac:dyDescent="0.3">
      <c r="A3845">
        <v>49</v>
      </c>
      <c r="B3845">
        <v>1098</v>
      </c>
      <c r="C3845" t="s">
        <v>17</v>
      </c>
      <c r="D3845" t="s">
        <v>18</v>
      </c>
      <c r="E3845">
        <v>85</v>
      </c>
      <c r="F3845" t="s">
        <v>23</v>
      </c>
      <c r="G3845">
        <v>20582.100000000002</v>
      </c>
      <c r="H3845">
        <v>12124</v>
      </c>
      <c r="I3845">
        <v>13</v>
      </c>
      <c r="J3845">
        <v>23</v>
      </c>
      <c r="K3845">
        <v>1</v>
      </c>
      <c r="L3845">
        <v>0</v>
      </c>
      <c r="M3845">
        <v>0</v>
      </c>
      <c r="N3845">
        <v>0</v>
      </c>
      <c r="P3845">
        <f>G3845*I3845/100</f>
        <v>2675.6730000000007</v>
      </c>
      <c r="Q3845">
        <f t="shared" si="37"/>
        <v>246985.2</v>
      </c>
      <c r="R3845">
        <f>K3845/J3845</f>
        <v>4.3478260869565216E-2</v>
      </c>
    </row>
    <row r="3846" spans="1:18" x14ac:dyDescent="0.3">
      <c r="A3846">
        <v>36</v>
      </c>
      <c r="B3846">
        <v>469</v>
      </c>
      <c r="C3846" t="s">
        <v>17</v>
      </c>
      <c r="D3846" t="s">
        <v>18</v>
      </c>
      <c r="E3846">
        <v>46</v>
      </c>
      <c r="F3846" t="s">
        <v>19</v>
      </c>
      <c r="G3846">
        <v>4061.2000000000003</v>
      </c>
      <c r="H3846">
        <v>9256</v>
      </c>
      <c r="I3846">
        <v>12</v>
      </c>
      <c r="J3846">
        <v>12</v>
      </c>
      <c r="K3846">
        <v>11</v>
      </c>
      <c r="L3846">
        <v>10</v>
      </c>
      <c r="M3846">
        <v>0</v>
      </c>
      <c r="N3846">
        <v>7</v>
      </c>
      <c r="P3846">
        <f>G3846*I3846/100</f>
        <v>487.34399999999999</v>
      </c>
      <c r="Q3846">
        <f t="shared" si="37"/>
        <v>48734.400000000001</v>
      </c>
      <c r="R3846">
        <f>K3846/J3846</f>
        <v>0.91666666666666663</v>
      </c>
    </row>
    <row r="3847" spans="1:18" x14ac:dyDescent="0.3">
      <c r="A3847">
        <v>48</v>
      </c>
      <c r="B3847">
        <v>969</v>
      </c>
      <c r="C3847" t="s">
        <v>17</v>
      </c>
      <c r="D3847" t="s">
        <v>18</v>
      </c>
      <c r="E3847">
        <v>76</v>
      </c>
      <c r="F3847" t="s">
        <v>20</v>
      </c>
      <c r="G3847">
        <v>2814.9</v>
      </c>
      <c r="H3847">
        <v>16620</v>
      </c>
      <c r="I3847">
        <v>11</v>
      </c>
      <c r="J3847">
        <v>7</v>
      </c>
      <c r="K3847">
        <v>1</v>
      </c>
      <c r="L3847">
        <v>0</v>
      </c>
      <c r="M3847">
        <v>0</v>
      </c>
      <c r="N3847">
        <v>0</v>
      </c>
      <c r="P3847">
        <f>G3847*I3847/100</f>
        <v>309.63900000000001</v>
      </c>
      <c r="Q3847">
        <f t="shared" si="37"/>
        <v>33778.800000000003</v>
      </c>
      <c r="R3847">
        <f>K3847/J3847</f>
        <v>0.14285714285714285</v>
      </c>
    </row>
    <row r="3848" spans="1:18" x14ac:dyDescent="0.3">
      <c r="A3848">
        <v>27</v>
      </c>
      <c r="B3848">
        <v>1167</v>
      </c>
      <c r="C3848" t="s">
        <v>17</v>
      </c>
      <c r="D3848" t="s">
        <v>18</v>
      </c>
      <c r="E3848">
        <v>76</v>
      </c>
      <c r="F3848" t="s">
        <v>19</v>
      </c>
      <c r="G3848">
        <v>2768.7000000000003</v>
      </c>
      <c r="H3848">
        <v>3208</v>
      </c>
      <c r="I3848">
        <v>11</v>
      </c>
      <c r="J3848">
        <v>5</v>
      </c>
      <c r="K3848">
        <v>5</v>
      </c>
      <c r="L3848">
        <v>3</v>
      </c>
      <c r="M3848">
        <v>0</v>
      </c>
      <c r="N3848">
        <v>3</v>
      </c>
      <c r="P3848">
        <f>G3848*I3848/100</f>
        <v>304.55700000000002</v>
      </c>
      <c r="Q3848">
        <f t="shared" si="37"/>
        <v>33224.400000000001</v>
      </c>
      <c r="R3848">
        <f>K3848/J3848</f>
        <v>1</v>
      </c>
    </row>
    <row r="3849" spans="1:18" x14ac:dyDescent="0.3">
      <c r="A3849">
        <v>29</v>
      </c>
      <c r="B3849">
        <v>1329</v>
      </c>
      <c r="C3849" t="s">
        <v>17</v>
      </c>
      <c r="D3849" t="s">
        <v>18</v>
      </c>
      <c r="E3849">
        <v>82</v>
      </c>
      <c r="F3849" t="s">
        <v>22</v>
      </c>
      <c r="G3849">
        <v>7285.3</v>
      </c>
      <c r="H3849">
        <v>4204</v>
      </c>
      <c r="I3849">
        <v>11</v>
      </c>
      <c r="J3849">
        <v>6</v>
      </c>
      <c r="K3849">
        <v>6</v>
      </c>
      <c r="L3849">
        <v>0</v>
      </c>
      <c r="M3849">
        <v>1</v>
      </c>
      <c r="N3849">
        <v>0</v>
      </c>
      <c r="P3849">
        <f>G3849*I3849/100</f>
        <v>801.38300000000004</v>
      </c>
      <c r="Q3849">
        <f t="shared" si="37"/>
        <v>87423.6</v>
      </c>
      <c r="R3849">
        <f>K3849/J3849</f>
        <v>1</v>
      </c>
    </row>
    <row r="3850" spans="1:18" x14ac:dyDescent="0.3">
      <c r="A3850">
        <v>48</v>
      </c>
      <c r="B3850">
        <v>715</v>
      </c>
      <c r="C3850" t="s">
        <v>17</v>
      </c>
      <c r="D3850" t="s">
        <v>18</v>
      </c>
      <c r="E3850">
        <v>76</v>
      </c>
      <c r="F3850" t="s">
        <v>25</v>
      </c>
      <c r="G3850">
        <v>20091.5</v>
      </c>
      <c r="H3850">
        <v>8733</v>
      </c>
      <c r="I3850">
        <v>12</v>
      </c>
      <c r="J3850">
        <v>25</v>
      </c>
      <c r="K3850">
        <v>1</v>
      </c>
      <c r="L3850">
        <v>0</v>
      </c>
      <c r="M3850">
        <v>0</v>
      </c>
      <c r="N3850">
        <v>0</v>
      </c>
      <c r="P3850">
        <f>G3850*I3850/100</f>
        <v>2410.98</v>
      </c>
      <c r="Q3850">
        <f t="shared" si="37"/>
        <v>241098</v>
      </c>
      <c r="R3850">
        <f>K3850/J3850</f>
        <v>0.04</v>
      </c>
    </row>
    <row r="3851" spans="1:18" x14ac:dyDescent="0.3">
      <c r="A3851">
        <v>29</v>
      </c>
      <c r="B3851">
        <v>694</v>
      </c>
      <c r="C3851" t="s">
        <v>17</v>
      </c>
      <c r="D3851" t="s">
        <v>15</v>
      </c>
      <c r="E3851">
        <v>87</v>
      </c>
      <c r="F3851" t="s">
        <v>25</v>
      </c>
      <c r="G3851">
        <v>17736.400000000001</v>
      </c>
      <c r="H3851">
        <v>3423</v>
      </c>
      <c r="I3851">
        <v>14</v>
      </c>
      <c r="J3851">
        <v>9</v>
      </c>
      <c r="K3851">
        <v>7</v>
      </c>
      <c r="L3851">
        <v>7</v>
      </c>
      <c r="M3851">
        <v>1</v>
      </c>
      <c r="N3851">
        <v>7</v>
      </c>
      <c r="P3851">
        <f>G3851*I3851/100</f>
        <v>2483.0960000000005</v>
      </c>
      <c r="Q3851">
        <f t="shared" si="37"/>
        <v>212836.80000000002</v>
      </c>
      <c r="R3851">
        <f>K3851/J3851</f>
        <v>0.77777777777777779</v>
      </c>
    </row>
    <row r="3852" spans="1:18" x14ac:dyDescent="0.3">
      <c r="A3852">
        <v>34</v>
      </c>
      <c r="B3852">
        <v>1320</v>
      </c>
      <c r="C3852" t="s">
        <v>17</v>
      </c>
      <c r="D3852" t="s">
        <v>15</v>
      </c>
      <c r="E3852">
        <v>89</v>
      </c>
      <c r="F3852" t="s">
        <v>19</v>
      </c>
      <c r="G3852">
        <v>2843.5000000000005</v>
      </c>
      <c r="H3852">
        <v>21643</v>
      </c>
      <c r="I3852">
        <v>17</v>
      </c>
      <c r="J3852">
        <v>2</v>
      </c>
      <c r="K3852">
        <v>1</v>
      </c>
      <c r="L3852">
        <v>0</v>
      </c>
      <c r="M3852">
        <v>0</v>
      </c>
      <c r="N3852">
        <v>0</v>
      </c>
      <c r="P3852">
        <f>G3852*I3852/100</f>
        <v>483.3950000000001</v>
      </c>
      <c r="Q3852">
        <f t="shared" si="37"/>
        <v>34122.000000000007</v>
      </c>
      <c r="R3852">
        <f>K3852/J3852</f>
        <v>0.5</v>
      </c>
    </row>
    <row r="3853" spans="1:18" x14ac:dyDescent="0.3">
      <c r="A3853">
        <v>44</v>
      </c>
      <c r="B3853">
        <v>1099</v>
      </c>
      <c r="C3853" t="s">
        <v>14</v>
      </c>
      <c r="D3853" t="s">
        <v>18</v>
      </c>
      <c r="E3853">
        <v>88</v>
      </c>
      <c r="F3853" t="s">
        <v>23</v>
      </c>
      <c r="G3853">
        <v>20034.300000000003</v>
      </c>
      <c r="H3853">
        <v>8751</v>
      </c>
      <c r="I3853">
        <v>11</v>
      </c>
      <c r="J3853">
        <v>26</v>
      </c>
      <c r="K3853">
        <v>22</v>
      </c>
      <c r="L3853">
        <v>9</v>
      </c>
      <c r="M3853">
        <v>3</v>
      </c>
      <c r="N3853">
        <v>10</v>
      </c>
      <c r="P3853">
        <f>G3853*I3853/100</f>
        <v>2203.7730000000006</v>
      </c>
      <c r="Q3853">
        <f t="shared" si="37"/>
        <v>240411.60000000003</v>
      </c>
      <c r="R3853">
        <f>K3853/J3853</f>
        <v>0.84615384615384615</v>
      </c>
    </row>
    <row r="3854" spans="1:18" x14ac:dyDescent="0.3">
      <c r="A3854">
        <v>33</v>
      </c>
      <c r="B3854">
        <v>536</v>
      </c>
      <c r="C3854" t="s">
        <v>14</v>
      </c>
      <c r="D3854" t="s">
        <v>18</v>
      </c>
      <c r="E3854">
        <v>82</v>
      </c>
      <c r="F3854" t="s">
        <v>16</v>
      </c>
      <c r="G3854">
        <v>9218</v>
      </c>
      <c r="H3854">
        <v>21708</v>
      </c>
      <c r="I3854">
        <v>14</v>
      </c>
      <c r="J3854">
        <v>10</v>
      </c>
      <c r="K3854">
        <v>9</v>
      </c>
      <c r="L3854">
        <v>8</v>
      </c>
      <c r="M3854">
        <v>0</v>
      </c>
      <c r="N3854">
        <v>8</v>
      </c>
      <c r="P3854">
        <f>G3854*I3854/100</f>
        <v>1290.52</v>
      </c>
      <c r="Q3854">
        <f t="shared" si="37"/>
        <v>110616</v>
      </c>
      <c r="R3854">
        <f>K3854/J3854</f>
        <v>0.9</v>
      </c>
    </row>
    <row r="3855" spans="1:18" x14ac:dyDescent="0.3">
      <c r="A3855">
        <v>19</v>
      </c>
      <c r="B3855">
        <v>265</v>
      </c>
      <c r="C3855" t="s">
        <v>17</v>
      </c>
      <c r="D3855" t="s">
        <v>15</v>
      </c>
      <c r="E3855">
        <v>57</v>
      </c>
      <c r="F3855" t="s">
        <v>19</v>
      </c>
      <c r="G3855">
        <v>3293.4</v>
      </c>
      <c r="H3855">
        <v>21221</v>
      </c>
      <c r="I3855">
        <v>12</v>
      </c>
      <c r="J3855">
        <v>1</v>
      </c>
      <c r="K3855">
        <v>1</v>
      </c>
      <c r="L3855">
        <v>0</v>
      </c>
      <c r="M3855">
        <v>0</v>
      </c>
      <c r="N3855">
        <v>1</v>
      </c>
      <c r="P3855">
        <f>G3855*I3855/100</f>
        <v>395.20800000000003</v>
      </c>
      <c r="Q3855">
        <f t="shared" si="37"/>
        <v>39520.800000000003</v>
      </c>
      <c r="R3855">
        <f>K3855/J3855</f>
        <v>1</v>
      </c>
    </row>
    <row r="3856" spans="1:18" x14ac:dyDescent="0.3">
      <c r="A3856">
        <v>23</v>
      </c>
      <c r="B3856">
        <v>373</v>
      </c>
      <c r="C3856" t="s">
        <v>17</v>
      </c>
      <c r="D3856" t="s">
        <v>18</v>
      </c>
      <c r="E3856">
        <v>47</v>
      </c>
      <c r="F3856" t="s">
        <v>19</v>
      </c>
      <c r="G3856">
        <v>1345.3000000000002</v>
      </c>
      <c r="H3856">
        <v>16901</v>
      </c>
      <c r="I3856">
        <v>22</v>
      </c>
      <c r="J3856">
        <v>1</v>
      </c>
      <c r="K3856">
        <v>1</v>
      </c>
      <c r="L3856">
        <v>0</v>
      </c>
      <c r="M3856">
        <v>0</v>
      </c>
      <c r="N3856">
        <v>1</v>
      </c>
      <c r="P3856">
        <f>G3856*I3856/100</f>
        <v>295.96600000000007</v>
      </c>
      <c r="Q3856">
        <f t="shared" si="37"/>
        <v>16143.600000000002</v>
      </c>
      <c r="R3856">
        <f>K3856/J3856</f>
        <v>1</v>
      </c>
    </row>
    <row r="3857" spans="1:18" x14ac:dyDescent="0.3">
      <c r="A3857">
        <v>25</v>
      </c>
      <c r="B3857">
        <v>599</v>
      </c>
      <c r="C3857" t="s">
        <v>14</v>
      </c>
      <c r="D3857" t="s">
        <v>18</v>
      </c>
      <c r="E3857">
        <v>73</v>
      </c>
      <c r="F3857" t="s">
        <v>24</v>
      </c>
      <c r="G3857">
        <v>1229.8000000000002</v>
      </c>
      <c r="H3857">
        <v>8040</v>
      </c>
      <c r="I3857">
        <v>14</v>
      </c>
      <c r="J3857">
        <v>1</v>
      </c>
      <c r="K3857">
        <v>1</v>
      </c>
      <c r="L3857">
        <v>0</v>
      </c>
      <c r="M3857">
        <v>1</v>
      </c>
      <c r="N3857">
        <v>0</v>
      </c>
      <c r="P3857">
        <f>G3857*I3857/100</f>
        <v>172.17200000000005</v>
      </c>
      <c r="Q3857">
        <f t="shared" si="37"/>
        <v>14757.600000000002</v>
      </c>
      <c r="R3857">
        <f>K3857/J3857</f>
        <v>1</v>
      </c>
    </row>
    <row r="3858" spans="1:18" x14ac:dyDescent="0.3">
      <c r="A3858">
        <v>26</v>
      </c>
      <c r="B3858">
        <v>583</v>
      </c>
      <c r="C3858" t="s">
        <v>17</v>
      </c>
      <c r="D3858" t="s">
        <v>18</v>
      </c>
      <c r="E3858">
        <v>53</v>
      </c>
      <c r="F3858" t="s">
        <v>19</v>
      </c>
      <c r="G3858">
        <v>3162.5000000000005</v>
      </c>
      <c r="H3858">
        <v>9973</v>
      </c>
      <c r="I3858">
        <v>20</v>
      </c>
      <c r="J3858">
        <v>8</v>
      </c>
      <c r="K3858">
        <v>8</v>
      </c>
      <c r="L3858">
        <v>5</v>
      </c>
      <c r="M3858">
        <v>2</v>
      </c>
      <c r="N3858">
        <v>2</v>
      </c>
      <c r="P3858">
        <f>G3858*I3858/100</f>
        <v>632.50000000000011</v>
      </c>
      <c r="Q3858">
        <f t="shared" si="37"/>
        <v>37950.000000000007</v>
      </c>
      <c r="R3858">
        <f>K3858/J3858</f>
        <v>1</v>
      </c>
    </row>
    <row r="3859" spans="1:18" x14ac:dyDescent="0.3">
      <c r="A3859">
        <v>45</v>
      </c>
      <c r="B3859">
        <v>1449</v>
      </c>
      <c r="C3859" t="s">
        <v>14</v>
      </c>
      <c r="D3859" t="s">
        <v>15</v>
      </c>
      <c r="E3859">
        <v>94</v>
      </c>
      <c r="F3859" t="s">
        <v>23</v>
      </c>
      <c r="G3859">
        <v>20706.400000000001</v>
      </c>
      <c r="H3859">
        <v>2493</v>
      </c>
      <c r="I3859">
        <v>16</v>
      </c>
      <c r="J3859">
        <v>26</v>
      </c>
      <c r="K3859">
        <v>24</v>
      </c>
      <c r="L3859">
        <v>10</v>
      </c>
      <c r="M3859">
        <v>1</v>
      </c>
      <c r="N3859">
        <v>11</v>
      </c>
      <c r="P3859">
        <f>G3859*I3859/100</f>
        <v>3313.0240000000003</v>
      </c>
      <c r="Q3859">
        <f t="shared" si="37"/>
        <v>248476.80000000002</v>
      </c>
      <c r="R3859">
        <f>K3859/J3859</f>
        <v>0.92307692307692313</v>
      </c>
    </row>
    <row r="3860" spans="1:18" x14ac:dyDescent="0.3">
      <c r="A3860">
        <v>55</v>
      </c>
      <c r="B3860">
        <v>177</v>
      </c>
      <c r="C3860" t="s">
        <v>17</v>
      </c>
      <c r="D3860" t="s">
        <v>18</v>
      </c>
      <c r="E3860">
        <v>37</v>
      </c>
      <c r="F3860" t="s">
        <v>22</v>
      </c>
      <c r="G3860">
        <v>14934.7</v>
      </c>
      <c r="H3860">
        <v>25592</v>
      </c>
      <c r="I3860">
        <v>15</v>
      </c>
      <c r="J3860">
        <v>34</v>
      </c>
      <c r="K3860">
        <v>33</v>
      </c>
      <c r="L3860">
        <v>9</v>
      </c>
      <c r="M3860">
        <v>15</v>
      </c>
      <c r="N3860">
        <v>0</v>
      </c>
      <c r="P3860">
        <f>G3860*I3860/100</f>
        <v>2240.2049999999999</v>
      </c>
      <c r="Q3860">
        <f t="shared" si="37"/>
        <v>179216.40000000002</v>
      </c>
      <c r="R3860">
        <f>K3860/J3860</f>
        <v>0.97058823529411764</v>
      </c>
    </row>
    <row r="3861" spans="1:18" x14ac:dyDescent="0.3">
      <c r="A3861">
        <v>21</v>
      </c>
      <c r="B3861">
        <v>251</v>
      </c>
      <c r="C3861" t="s">
        <v>17</v>
      </c>
      <c r="D3861" t="s">
        <v>15</v>
      </c>
      <c r="E3861">
        <v>45</v>
      </c>
      <c r="F3861" t="s">
        <v>20</v>
      </c>
      <c r="G3861">
        <v>2887.5000000000005</v>
      </c>
      <c r="H3861">
        <v>25308</v>
      </c>
      <c r="I3861">
        <v>20</v>
      </c>
      <c r="J3861">
        <v>2</v>
      </c>
      <c r="K3861">
        <v>2</v>
      </c>
      <c r="L3861">
        <v>2</v>
      </c>
      <c r="M3861">
        <v>2</v>
      </c>
      <c r="N3861">
        <v>2</v>
      </c>
      <c r="P3861">
        <f>G3861*I3861/100</f>
        <v>577.50000000000011</v>
      </c>
      <c r="Q3861">
        <f t="shared" si="37"/>
        <v>34650.000000000007</v>
      </c>
      <c r="R3861">
        <f>K3861/J3861</f>
        <v>1</v>
      </c>
    </row>
    <row r="3862" spans="1:18" x14ac:dyDescent="0.3">
      <c r="A3862">
        <v>46</v>
      </c>
      <c r="B3862">
        <v>168</v>
      </c>
      <c r="C3862" t="s">
        <v>14</v>
      </c>
      <c r="D3862" t="s">
        <v>15</v>
      </c>
      <c r="E3862">
        <v>33</v>
      </c>
      <c r="F3862" t="s">
        <v>23</v>
      </c>
      <c r="G3862">
        <v>20667.900000000001</v>
      </c>
      <c r="H3862">
        <v>9946</v>
      </c>
      <c r="I3862">
        <v>14</v>
      </c>
      <c r="J3862">
        <v>26</v>
      </c>
      <c r="K3862">
        <v>11</v>
      </c>
      <c r="L3862">
        <v>4</v>
      </c>
      <c r="M3862">
        <v>0</v>
      </c>
      <c r="N3862">
        <v>8</v>
      </c>
      <c r="P3862">
        <f>G3862*I3862/100</f>
        <v>2893.5060000000003</v>
      </c>
      <c r="Q3862">
        <f t="shared" si="37"/>
        <v>248014.80000000002</v>
      </c>
      <c r="R3862">
        <f>K3862/J3862</f>
        <v>0.42307692307692307</v>
      </c>
    </row>
    <row r="3863" spans="1:18" x14ac:dyDescent="0.3">
      <c r="A3863">
        <v>34</v>
      </c>
      <c r="B3863">
        <v>131</v>
      </c>
      <c r="C3863" t="s">
        <v>14</v>
      </c>
      <c r="D3863" t="s">
        <v>15</v>
      </c>
      <c r="E3863">
        <v>86</v>
      </c>
      <c r="F3863" t="s">
        <v>16</v>
      </c>
      <c r="G3863">
        <v>4991.8</v>
      </c>
      <c r="H3863">
        <v>6039</v>
      </c>
      <c r="I3863">
        <v>12</v>
      </c>
      <c r="J3863">
        <v>4</v>
      </c>
      <c r="K3863">
        <v>3</v>
      </c>
      <c r="L3863">
        <v>2</v>
      </c>
      <c r="M3863">
        <v>0</v>
      </c>
      <c r="N3863">
        <v>2</v>
      </c>
      <c r="P3863">
        <f>G3863*I3863/100</f>
        <v>599.01600000000008</v>
      </c>
      <c r="Q3863">
        <f t="shared" si="37"/>
        <v>59901.600000000006</v>
      </c>
      <c r="R3863">
        <f>K3863/J3863</f>
        <v>0.75</v>
      </c>
    </row>
    <row r="3864" spans="1:18" x14ac:dyDescent="0.3">
      <c r="A3864">
        <v>51</v>
      </c>
      <c r="B3864">
        <v>237</v>
      </c>
      <c r="C3864" t="s">
        <v>14</v>
      </c>
      <c r="D3864" t="s">
        <v>18</v>
      </c>
      <c r="E3864">
        <v>83</v>
      </c>
      <c r="F3864" t="s">
        <v>23</v>
      </c>
      <c r="G3864">
        <v>21831.7</v>
      </c>
      <c r="H3864">
        <v>19196</v>
      </c>
      <c r="I3864">
        <v>24</v>
      </c>
      <c r="J3864">
        <v>31</v>
      </c>
      <c r="K3864">
        <v>29</v>
      </c>
      <c r="L3864">
        <v>10</v>
      </c>
      <c r="M3864">
        <v>11</v>
      </c>
      <c r="N3864">
        <v>10</v>
      </c>
      <c r="P3864">
        <f>G3864*I3864/100</f>
        <v>5239.6080000000002</v>
      </c>
      <c r="Q3864">
        <f t="shared" si="37"/>
        <v>261980.40000000002</v>
      </c>
      <c r="R3864">
        <f>K3864/J3864</f>
        <v>0.93548387096774188</v>
      </c>
    </row>
    <row r="3865" spans="1:18" x14ac:dyDescent="0.3">
      <c r="A3865">
        <v>59</v>
      </c>
      <c r="B3865">
        <v>1429</v>
      </c>
      <c r="C3865" t="s">
        <v>17</v>
      </c>
      <c r="D3865" t="s">
        <v>18</v>
      </c>
      <c r="E3865">
        <v>67</v>
      </c>
      <c r="F3865" t="s">
        <v>21</v>
      </c>
      <c r="G3865">
        <v>11563.2</v>
      </c>
      <c r="H3865">
        <v>20002</v>
      </c>
      <c r="I3865">
        <v>12</v>
      </c>
      <c r="J3865">
        <v>25</v>
      </c>
      <c r="K3865">
        <v>9</v>
      </c>
      <c r="L3865">
        <v>7</v>
      </c>
      <c r="M3865">
        <v>5</v>
      </c>
      <c r="N3865">
        <v>4</v>
      </c>
      <c r="P3865">
        <f>G3865*I3865/100</f>
        <v>1387.5840000000003</v>
      </c>
      <c r="Q3865">
        <f t="shared" si="37"/>
        <v>138758.40000000002</v>
      </c>
      <c r="R3865">
        <f>K3865/J3865</f>
        <v>0.36</v>
      </c>
    </row>
    <row r="3866" spans="1:18" x14ac:dyDescent="0.3">
      <c r="A3866">
        <v>34</v>
      </c>
      <c r="B3866">
        <v>135</v>
      </c>
      <c r="C3866" t="s">
        <v>17</v>
      </c>
      <c r="D3866" t="s">
        <v>15</v>
      </c>
      <c r="E3866">
        <v>46</v>
      </c>
      <c r="F3866" t="s">
        <v>20</v>
      </c>
      <c r="G3866">
        <v>4888.4000000000005</v>
      </c>
      <c r="H3866">
        <v>22534</v>
      </c>
      <c r="I3866">
        <v>13</v>
      </c>
      <c r="J3866">
        <v>15</v>
      </c>
      <c r="K3866">
        <v>11</v>
      </c>
      <c r="L3866">
        <v>8</v>
      </c>
      <c r="M3866">
        <v>5</v>
      </c>
      <c r="N3866">
        <v>10</v>
      </c>
      <c r="P3866">
        <f>G3866*I3866/100</f>
        <v>635.49200000000008</v>
      </c>
      <c r="Q3866">
        <f t="shared" si="37"/>
        <v>58660.800000000003</v>
      </c>
      <c r="R3866">
        <f>K3866/J3866</f>
        <v>0.73333333333333328</v>
      </c>
    </row>
    <row r="3867" spans="1:18" x14ac:dyDescent="0.3">
      <c r="A3867">
        <v>28</v>
      </c>
      <c r="B3867">
        <v>791</v>
      </c>
      <c r="C3867" t="s">
        <v>17</v>
      </c>
      <c r="D3867" t="s">
        <v>18</v>
      </c>
      <c r="E3867">
        <v>44</v>
      </c>
      <c r="F3867" t="s">
        <v>20</v>
      </c>
      <c r="G3867">
        <v>2369.4</v>
      </c>
      <c r="H3867">
        <v>6842</v>
      </c>
      <c r="I3867">
        <v>11</v>
      </c>
      <c r="J3867">
        <v>5</v>
      </c>
      <c r="K3867">
        <v>4</v>
      </c>
      <c r="L3867">
        <v>2</v>
      </c>
      <c r="M3867">
        <v>0</v>
      </c>
      <c r="N3867">
        <v>2</v>
      </c>
      <c r="P3867">
        <f>G3867*I3867/100</f>
        <v>260.63400000000001</v>
      </c>
      <c r="Q3867">
        <f t="shared" si="37"/>
        <v>28432.800000000003</v>
      </c>
      <c r="R3867">
        <f>K3867/J3867</f>
        <v>0.8</v>
      </c>
    </row>
    <row r="3868" spans="1:18" x14ac:dyDescent="0.3">
      <c r="A3868">
        <v>44</v>
      </c>
      <c r="B3868">
        <v>1199</v>
      </c>
      <c r="C3868" t="s">
        <v>17</v>
      </c>
      <c r="D3868" t="s">
        <v>18</v>
      </c>
      <c r="E3868">
        <v>92</v>
      </c>
      <c r="F3868" t="s">
        <v>23</v>
      </c>
      <c r="G3868">
        <v>21109</v>
      </c>
      <c r="H3868">
        <v>17477</v>
      </c>
      <c r="I3868">
        <v>14</v>
      </c>
      <c r="J3868">
        <v>26</v>
      </c>
      <c r="K3868">
        <v>25</v>
      </c>
      <c r="L3868">
        <v>9</v>
      </c>
      <c r="M3868">
        <v>14</v>
      </c>
      <c r="N3868">
        <v>13</v>
      </c>
      <c r="P3868">
        <f>G3868*I3868/100</f>
        <v>2955.26</v>
      </c>
      <c r="Q3868">
        <f t="shared" si="37"/>
        <v>253308</v>
      </c>
      <c r="R3868">
        <f>K3868/J3868</f>
        <v>0.96153846153846156</v>
      </c>
    </row>
    <row r="3869" spans="1:18" x14ac:dyDescent="0.3">
      <c r="A3869">
        <v>34</v>
      </c>
      <c r="B3869">
        <v>648</v>
      </c>
      <c r="C3869" t="s">
        <v>26</v>
      </c>
      <c r="D3869" t="s">
        <v>18</v>
      </c>
      <c r="E3869">
        <v>56</v>
      </c>
      <c r="F3869" t="s">
        <v>26</v>
      </c>
      <c r="G3869">
        <v>4939</v>
      </c>
      <c r="H3869">
        <v>21833</v>
      </c>
      <c r="I3869">
        <v>11</v>
      </c>
      <c r="J3869">
        <v>14</v>
      </c>
      <c r="K3869">
        <v>10</v>
      </c>
      <c r="L3869">
        <v>9</v>
      </c>
      <c r="M3869">
        <v>1</v>
      </c>
      <c r="N3869">
        <v>8</v>
      </c>
      <c r="P3869">
        <f>G3869*I3869/100</f>
        <v>543.29</v>
      </c>
      <c r="Q3869">
        <f t="shared" si="37"/>
        <v>59268</v>
      </c>
      <c r="R3869">
        <f>K3869/J3869</f>
        <v>0.7142857142857143</v>
      </c>
    </row>
    <row r="3870" spans="1:18" x14ac:dyDescent="0.3">
      <c r="A3870">
        <v>35</v>
      </c>
      <c r="B3870">
        <v>735</v>
      </c>
      <c r="C3870" t="s">
        <v>17</v>
      </c>
      <c r="D3870" t="s">
        <v>18</v>
      </c>
      <c r="E3870">
        <v>66</v>
      </c>
      <c r="F3870" t="s">
        <v>19</v>
      </c>
      <c r="G3870">
        <v>3856.6000000000004</v>
      </c>
      <c r="H3870">
        <v>6020</v>
      </c>
      <c r="I3870">
        <v>14</v>
      </c>
      <c r="J3870">
        <v>4</v>
      </c>
      <c r="K3870">
        <v>3</v>
      </c>
      <c r="L3870">
        <v>2</v>
      </c>
      <c r="M3870">
        <v>2</v>
      </c>
      <c r="N3870">
        <v>2</v>
      </c>
      <c r="P3870">
        <f>G3870*I3870/100</f>
        <v>539.92400000000009</v>
      </c>
      <c r="Q3870">
        <f t="shared" si="37"/>
        <v>46279.200000000004</v>
      </c>
      <c r="R3870">
        <f>K3870/J3870</f>
        <v>0.75</v>
      </c>
    </row>
    <row r="3871" spans="1:18" x14ac:dyDescent="0.3">
      <c r="A3871">
        <v>42</v>
      </c>
      <c r="B3871">
        <v>603</v>
      </c>
      <c r="C3871" t="s">
        <v>17</v>
      </c>
      <c r="D3871" t="s">
        <v>15</v>
      </c>
      <c r="E3871">
        <v>78</v>
      </c>
      <c r="F3871" t="s">
        <v>19</v>
      </c>
      <c r="G3871">
        <v>2609.2000000000003</v>
      </c>
      <c r="H3871">
        <v>5628</v>
      </c>
      <c r="I3871">
        <v>16</v>
      </c>
      <c r="J3871">
        <v>18</v>
      </c>
      <c r="K3871">
        <v>1</v>
      </c>
      <c r="L3871">
        <v>0</v>
      </c>
      <c r="M3871">
        <v>0</v>
      </c>
      <c r="N3871">
        <v>0</v>
      </c>
      <c r="P3871">
        <f>G3871*I3871/100</f>
        <v>417.47200000000004</v>
      </c>
      <c r="Q3871">
        <f t="shared" si="37"/>
        <v>31310.400000000001</v>
      </c>
      <c r="R3871">
        <f>K3871/J3871</f>
        <v>5.5555555555555552E-2</v>
      </c>
    </row>
    <row r="3872" spans="1:18" x14ac:dyDescent="0.3">
      <c r="A3872">
        <v>43</v>
      </c>
      <c r="B3872">
        <v>531</v>
      </c>
      <c r="C3872" t="s">
        <v>14</v>
      </c>
      <c r="D3872" t="s">
        <v>15</v>
      </c>
      <c r="E3872">
        <v>56</v>
      </c>
      <c r="F3872" t="s">
        <v>16</v>
      </c>
      <c r="G3872">
        <v>11254.1</v>
      </c>
      <c r="H3872">
        <v>20364</v>
      </c>
      <c r="I3872">
        <v>14</v>
      </c>
      <c r="J3872">
        <v>23</v>
      </c>
      <c r="K3872">
        <v>21</v>
      </c>
      <c r="L3872">
        <v>7</v>
      </c>
      <c r="M3872">
        <v>15</v>
      </c>
      <c r="N3872">
        <v>17</v>
      </c>
      <c r="P3872">
        <f>G3872*I3872/100</f>
        <v>1575.5739999999998</v>
      </c>
      <c r="Q3872">
        <f t="shared" si="37"/>
        <v>135049.20000000001</v>
      </c>
      <c r="R3872">
        <f>K3872/J3872</f>
        <v>0.91304347826086951</v>
      </c>
    </row>
    <row r="3873" spans="1:18" x14ac:dyDescent="0.3">
      <c r="A3873">
        <v>36</v>
      </c>
      <c r="B3873">
        <v>429</v>
      </c>
      <c r="C3873" t="s">
        <v>17</v>
      </c>
      <c r="D3873" t="s">
        <v>15</v>
      </c>
      <c r="E3873">
        <v>53</v>
      </c>
      <c r="F3873" t="s">
        <v>21</v>
      </c>
      <c r="G3873">
        <v>5951.0000000000009</v>
      </c>
      <c r="H3873">
        <v>2323</v>
      </c>
      <c r="I3873">
        <v>11</v>
      </c>
      <c r="J3873">
        <v>18</v>
      </c>
      <c r="K3873">
        <v>16</v>
      </c>
      <c r="L3873">
        <v>14</v>
      </c>
      <c r="M3873">
        <v>5</v>
      </c>
      <c r="N3873">
        <v>12</v>
      </c>
      <c r="P3873">
        <f>G3873*I3873/100</f>
        <v>654.61000000000013</v>
      </c>
      <c r="Q3873">
        <f t="shared" si="37"/>
        <v>71412.000000000015</v>
      </c>
      <c r="R3873">
        <f>K3873/J3873</f>
        <v>0.88888888888888884</v>
      </c>
    </row>
    <row r="3874" spans="1:18" x14ac:dyDescent="0.3">
      <c r="A3874">
        <v>44</v>
      </c>
      <c r="B3874">
        <v>621</v>
      </c>
      <c r="C3874" t="s">
        <v>17</v>
      </c>
      <c r="D3874" t="s">
        <v>15</v>
      </c>
      <c r="E3874">
        <v>73</v>
      </c>
      <c r="F3874" t="s">
        <v>22</v>
      </c>
      <c r="G3874">
        <v>8775.8000000000011</v>
      </c>
      <c r="H3874">
        <v>14075</v>
      </c>
      <c r="I3874">
        <v>11</v>
      </c>
      <c r="J3874">
        <v>10</v>
      </c>
      <c r="K3874">
        <v>10</v>
      </c>
      <c r="L3874">
        <v>7</v>
      </c>
      <c r="M3874">
        <v>0</v>
      </c>
      <c r="N3874">
        <v>5</v>
      </c>
      <c r="P3874">
        <f>G3874*I3874/100</f>
        <v>965.33800000000019</v>
      </c>
      <c r="Q3874">
        <f t="shared" si="37"/>
        <v>105309.6</v>
      </c>
      <c r="R3874">
        <f>K3874/J3874</f>
        <v>1</v>
      </c>
    </row>
    <row r="3875" spans="1:18" x14ac:dyDescent="0.3">
      <c r="A3875">
        <v>28</v>
      </c>
      <c r="B3875">
        <v>193</v>
      </c>
      <c r="C3875" t="s">
        <v>17</v>
      </c>
      <c r="D3875" t="s">
        <v>18</v>
      </c>
      <c r="E3875">
        <v>52</v>
      </c>
      <c r="F3875" t="s">
        <v>20</v>
      </c>
      <c r="G3875">
        <v>4253.7000000000007</v>
      </c>
      <c r="H3875">
        <v>14222</v>
      </c>
      <c r="I3875">
        <v>12</v>
      </c>
      <c r="J3875">
        <v>2</v>
      </c>
      <c r="K3875">
        <v>2</v>
      </c>
      <c r="L3875">
        <v>2</v>
      </c>
      <c r="M3875">
        <v>2</v>
      </c>
      <c r="N3875">
        <v>2</v>
      </c>
      <c r="P3875">
        <f>G3875*I3875/100</f>
        <v>510.44400000000007</v>
      </c>
      <c r="Q3875">
        <f t="shared" si="37"/>
        <v>51044.400000000009</v>
      </c>
      <c r="R3875">
        <f>K3875/J3875</f>
        <v>1</v>
      </c>
    </row>
    <row r="3876" spans="1:18" x14ac:dyDescent="0.3">
      <c r="A3876">
        <v>51</v>
      </c>
      <c r="B3876">
        <v>968</v>
      </c>
      <c r="C3876" t="s">
        <v>17</v>
      </c>
      <c r="D3876" t="s">
        <v>15</v>
      </c>
      <c r="E3876">
        <v>40</v>
      </c>
      <c r="F3876" t="s">
        <v>20</v>
      </c>
      <c r="G3876">
        <v>3121.8</v>
      </c>
      <c r="H3876">
        <v>4257</v>
      </c>
      <c r="I3876">
        <v>14</v>
      </c>
      <c r="J3876">
        <v>8</v>
      </c>
      <c r="K3876">
        <v>7</v>
      </c>
      <c r="L3876">
        <v>0</v>
      </c>
      <c r="M3876">
        <v>7</v>
      </c>
      <c r="N3876">
        <v>7</v>
      </c>
      <c r="P3876">
        <f>G3876*I3876/100</f>
        <v>437.05200000000002</v>
      </c>
      <c r="Q3876">
        <f t="shared" si="37"/>
        <v>37461.600000000006</v>
      </c>
      <c r="R3876">
        <f>K3876/J3876</f>
        <v>0.875</v>
      </c>
    </row>
    <row r="3877" spans="1:18" x14ac:dyDescent="0.3">
      <c r="A3877">
        <v>30</v>
      </c>
      <c r="B3877">
        <v>879</v>
      </c>
      <c r="C3877" t="s">
        <v>17</v>
      </c>
      <c r="D3877" t="s">
        <v>15</v>
      </c>
      <c r="E3877">
        <v>72</v>
      </c>
      <c r="F3877" t="s">
        <v>21</v>
      </c>
      <c r="G3877">
        <v>5164.5</v>
      </c>
      <c r="H3877">
        <v>12858</v>
      </c>
      <c r="I3877">
        <v>18</v>
      </c>
      <c r="J3877">
        <v>10</v>
      </c>
      <c r="K3877">
        <v>8</v>
      </c>
      <c r="L3877">
        <v>4</v>
      </c>
      <c r="M3877">
        <v>1</v>
      </c>
      <c r="N3877">
        <v>7</v>
      </c>
      <c r="P3877">
        <f>G3877*I3877/100</f>
        <v>929.61</v>
      </c>
      <c r="Q3877">
        <f t="shared" si="37"/>
        <v>61974</v>
      </c>
      <c r="R3877">
        <f>K3877/J3877</f>
        <v>0.8</v>
      </c>
    </row>
    <row r="3878" spans="1:18" x14ac:dyDescent="0.3">
      <c r="A3878">
        <v>29</v>
      </c>
      <c r="B3878">
        <v>806</v>
      </c>
      <c r="C3878" t="s">
        <v>17</v>
      </c>
      <c r="D3878" t="s">
        <v>15</v>
      </c>
      <c r="E3878">
        <v>39</v>
      </c>
      <c r="F3878" t="s">
        <v>20</v>
      </c>
      <c r="G3878">
        <v>3672.9</v>
      </c>
      <c r="H3878">
        <v>17285</v>
      </c>
      <c r="I3878">
        <v>13</v>
      </c>
      <c r="J3878">
        <v>10</v>
      </c>
      <c r="K3878">
        <v>7</v>
      </c>
      <c r="L3878">
        <v>7</v>
      </c>
      <c r="M3878">
        <v>7</v>
      </c>
      <c r="N3878">
        <v>7</v>
      </c>
      <c r="P3878">
        <f>G3878*I3878/100</f>
        <v>477.47700000000003</v>
      </c>
      <c r="Q3878">
        <f t="shared" si="37"/>
        <v>44074.8</v>
      </c>
      <c r="R3878">
        <f>K3878/J3878</f>
        <v>0.7</v>
      </c>
    </row>
    <row r="3879" spans="1:18" x14ac:dyDescent="0.3">
      <c r="A3879">
        <v>28</v>
      </c>
      <c r="B3879">
        <v>640</v>
      </c>
      <c r="C3879" t="s">
        <v>17</v>
      </c>
      <c r="D3879" t="s">
        <v>18</v>
      </c>
      <c r="E3879">
        <v>84</v>
      </c>
      <c r="F3879" t="s">
        <v>19</v>
      </c>
      <c r="G3879">
        <v>2288</v>
      </c>
      <c r="H3879">
        <v>4732</v>
      </c>
      <c r="I3879">
        <v>11</v>
      </c>
      <c r="J3879">
        <v>5</v>
      </c>
      <c r="K3879">
        <v>3</v>
      </c>
      <c r="L3879">
        <v>2</v>
      </c>
      <c r="M3879">
        <v>1</v>
      </c>
      <c r="N3879">
        <v>2</v>
      </c>
      <c r="P3879">
        <f>G3879*I3879/100</f>
        <v>251.68</v>
      </c>
      <c r="Q3879">
        <f t="shared" si="37"/>
        <v>27456</v>
      </c>
      <c r="R3879">
        <f>K3879/J3879</f>
        <v>0.6</v>
      </c>
    </row>
    <row r="3880" spans="1:18" x14ac:dyDescent="0.3">
      <c r="A3880">
        <v>25</v>
      </c>
      <c r="B3880">
        <v>266</v>
      </c>
      <c r="C3880" t="s">
        <v>17</v>
      </c>
      <c r="D3880" t="s">
        <v>15</v>
      </c>
      <c r="E3880">
        <v>40</v>
      </c>
      <c r="F3880" t="s">
        <v>19</v>
      </c>
      <c r="G3880">
        <v>2305.6000000000004</v>
      </c>
      <c r="H3880">
        <v>18830</v>
      </c>
      <c r="I3880">
        <v>18</v>
      </c>
      <c r="J3880">
        <v>2</v>
      </c>
      <c r="K3880">
        <v>2</v>
      </c>
      <c r="L3880">
        <v>2</v>
      </c>
      <c r="M3880">
        <v>2</v>
      </c>
      <c r="N3880">
        <v>1</v>
      </c>
      <c r="P3880">
        <f>G3880*I3880/100</f>
        <v>415.00800000000004</v>
      </c>
      <c r="Q3880">
        <f t="shared" si="37"/>
        <v>27667.200000000004</v>
      </c>
      <c r="R3880">
        <f>K3880/J3880</f>
        <v>1</v>
      </c>
    </row>
    <row r="3881" spans="1:18" x14ac:dyDescent="0.3">
      <c r="A3881">
        <v>32</v>
      </c>
      <c r="B3881">
        <v>604</v>
      </c>
      <c r="C3881" t="s">
        <v>14</v>
      </c>
      <c r="D3881" t="s">
        <v>18</v>
      </c>
      <c r="E3881">
        <v>56</v>
      </c>
      <c r="F3881" t="s">
        <v>16</v>
      </c>
      <c r="G3881">
        <v>6829.9000000000005</v>
      </c>
      <c r="H3881">
        <v>11693</v>
      </c>
      <c r="I3881">
        <v>15</v>
      </c>
      <c r="J3881">
        <v>10</v>
      </c>
      <c r="K3881">
        <v>10</v>
      </c>
      <c r="L3881">
        <v>7</v>
      </c>
      <c r="M3881">
        <v>0</v>
      </c>
      <c r="N3881">
        <v>8</v>
      </c>
      <c r="P3881">
        <f>G3881*I3881/100</f>
        <v>1024.4850000000001</v>
      </c>
      <c r="Q3881">
        <f t="shared" si="37"/>
        <v>81958.8</v>
      </c>
      <c r="R3881">
        <f>K3881/J3881</f>
        <v>1</v>
      </c>
    </row>
    <row r="3882" spans="1:18" x14ac:dyDescent="0.3">
      <c r="A3882">
        <v>45</v>
      </c>
      <c r="B3882">
        <v>364</v>
      </c>
      <c r="C3882" t="s">
        <v>17</v>
      </c>
      <c r="D3882" t="s">
        <v>15</v>
      </c>
      <c r="E3882">
        <v>83</v>
      </c>
      <c r="F3882" t="s">
        <v>23</v>
      </c>
      <c r="G3882">
        <v>19867.100000000002</v>
      </c>
      <c r="H3882">
        <v>13035</v>
      </c>
      <c r="I3882">
        <v>22</v>
      </c>
      <c r="J3882">
        <v>22</v>
      </c>
      <c r="K3882">
        <v>0</v>
      </c>
      <c r="L3882">
        <v>0</v>
      </c>
      <c r="M3882">
        <v>0</v>
      </c>
      <c r="N3882">
        <v>0</v>
      </c>
      <c r="P3882">
        <f>G3882*I3882/100</f>
        <v>4370.7620000000006</v>
      </c>
      <c r="Q3882">
        <f t="shared" si="37"/>
        <v>238405.2</v>
      </c>
      <c r="R3882">
        <f>K3882/J3882</f>
        <v>0</v>
      </c>
    </row>
    <row r="3883" spans="1:18" x14ac:dyDescent="0.3">
      <c r="A3883">
        <v>39</v>
      </c>
      <c r="B3883">
        <v>412</v>
      </c>
      <c r="C3883" t="s">
        <v>17</v>
      </c>
      <c r="D3883" t="s">
        <v>15</v>
      </c>
      <c r="E3883">
        <v>94</v>
      </c>
      <c r="F3883" t="s">
        <v>23</v>
      </c>
      <c r="G3883">
        <v>18835.300000000003</v>
      </c>
      <c r="H3883">
        <v>17334</v>
      </c>
      <c r="I3883">
        <v>13</v>
      </c>
      <c r="J3883">
        <v>21</v>
      </c>
      <c r="K3883">
        <v>19</v>
      </c>
      <c r="L3883">
        <v>9</v>
      </c>
      <c r="M3883">
        <v>15</v>
      </c>
      <c r="N3883">
        <v>2</v>
      </c>
      <c r="P3883">
        <f>G3883*I3883/100</f>
        <v>2448.5890000000004</v>
      </c>
      <c r="Q3883">
        <f t="shared" si="37"/>
        <v>226023.60000000003</v>
      </c>
      <c r="R3883">
        <f>K3883/J3883</f>
        <v>0.90476190476190477</v>
      </c>
    </row>
    <row r="3884" spans="1:18" x14ac:dyDescent="0.3">
      <c r="A3884">
        <v>58</v>
      </c>
      <c r="B3884">
        <v>848</v>
      </c>
      <c r="C3884" t="s">
        <v>17</v>
      </c>
      <c r="D3884" t="s">
        <v>18</v>
      </c>
      <c r="E3884">
        <v>88</v>
      </c>
      <c r="F3884" t="s">
        <v>19</v>
      </c>
      <c r="G3884">
        <v>2609.2000000000003</v>
      </c>
      <c r="H3884">
        <v>26076</v>
      </c>
      <c r="I3884">
        <v>12</v>
      </c>
      <c r="J3884">
        <v>2</v>
      </c>
      <c r="K3884">
        <v>2</v>
      </c>
      <c r="L3884">
        <v>2</v>
      </c>
      <c r="M3884">
        <v>2</v>
      </c>
      <c r="N3884">
        <v>2</v>
      </c>
      <c r="P3884">
        <f>G3884*I3884/100</f>
        <v>313.10400000000004</v>
      </c>
      <c r="Q3884">
        <f t="shared" si="37"/>
        <v>31310.400000000001</v>
      </c>
      <c r="R3884">
        <f>K3884/J3884</f>
        <v>1</v>
      </c>
    </row>
    <row r="3885" spans="1:18" x14ac:dyDescent="0.3">
      <c r="A3885">
        <v>32</v>
      </c>
      <c r="B3885">
        <v>1089</v>
      </c>
      <c r="C3885" t="s">
        <v>17</v>
      </c>
      <c r="D3885" t="s">
        <v>18</v>
      </c>
      <c r="E3885">
        <v>79</v>
      </c>
      <c r="F3885" t="s">
        <v>20</v>
      </c>
      <c r="G3885">
        <v>5371.3</v>
      </c>
      <c r="H3885">
        <v>22845</v>
      </c>
      <c r="I3885">
        <v>18</v>
      </c>
      <c r="J3885">
        <v>10</v>
      </c>
      <c r="K3885">
        <v>10</v>
      </c>
      <c r="L3885">
        <v>4</v>
      </c>
      <c r="M3885">
        <v>1</v>
      </c>
      <c r="N3885">
        <v>1</v>
      </c>
      <c r="P3885">
        <f>G3885*I3885/100</f>
        <v>966.83400000000006</v>
      </c>
      <c r="Q3885">
        <f t="shared" si="37"/>
        <v>64455.600000000006</v>
      </c>
      <c r="R3885">
        <f>K3885/J3885</f>
        <v>1</v>
      </c>
    </row>
    <row r="3886" spans="1:18" x14ac:dyDescent="0.3">
      <c r="A3886">
        <v>39</v>
      </c>
      <c r="B3886">
        <v>360</v>
      </c>
      <c r="C3886" t="s">
        <v>17</v>
      </c>
      <c r="D3886" t="s">
        <v>18</v>
      </c>
      <c r="E3886">
        <v>93</v>
      </c>
      <c r="F3886" t="s">
        <v>19</v>
      </c>
      <c r="G3886">
        <v>4294.4000000000005</v>
      </c>
      <c r="H3886">
        <v>22154</v>
      </c>
      <c r="I3886">
        <v>13</v>
      </c>
      <c r="J3886">
        <v>6</v>
      </c>
      <c r="K3886">
        <v>5</v>
      </c>
      <c r="L3886">
        <v>2</v>
      </c>
      <c r="M3886">
        <v>0</v>
      </c>
      <c r="N3886">
        <v>3</v>
      </c>
      <c r="P3886">
        <f>G3886*I3886/100</f>
        <v>558.27200000000005</v>
      </c>
      <c r="Q3886">
        <f t="shared" si="37"/>
        <v>51532.800000000003</v>
      </c>
      <c r="R3886">
        <f>K3886/J3886</f>
        <v>0.83333333333333337</v>
      </c>
    </row>
    <row r="3887" spans="1:18" x14ac:dyDescent="0.3">
      <c r="A3887">
        <v>30</v>
      </c>
      <c r="B3887">
        <v>1138</v>
      </c>
      <c r="C3887" t="s">
        <v>17</v>
      </c>
      <c r="D3887" t="s">
        <v>15</v>
      </c>
      <c r="E3887">
        <v>48</v>
      </c>
      <c r="F3887" t="s">
        <v>20</v>
      </c>
      <c r="G3887">
        <v>5089.7000000000007</v>
      </c>
      <c r="H3887">
        <v>23631</v>
      </c>
      <c r="I3887">
        <v>12</v>
      </c>
      <c r="J3887">
        <v>10</v>
      </c>
      <c r="K3887">
        <v>9</v>
      </c>
      <c r="L3887">
        <v>2</v>
      </c>
      <c r="M3887">
        <v>6</v>
      </c>
      <c r="N3887">
        <v>7</v>
      </c>
      <c r="P3887">
        <f>G3887*I3887/100</f>
        <v>610.76400000000012</v>
      </c>
      <c r="Q3887">
        <f t="shared" si="37"/>
        <v>61076.400000000009</v>
      </c>
      <c r="R3887">
        <f>K3887/J3887</f>
        <v>0.9</v>
      </c>
    </row>
    <row r="3888" spans="1:18" x14ac:dyDescent="0.3">
      <c r="A3888">
        <v>36</v>
      </c>
      <c r="B3888">
        <v>325</v>
      </c>
      <c r="C3888" t="s">
        <v>17</v>
      </c>
      <c r="D3888" t="s">
        <v>15</v>
      </c>
      <c r="E3888">
        <v>63</v>
      </c>
      <c r="F3888" t="s">
        <v>22</v>
      </c>
      <c r="G3888">
        <v>7803.4000000000005</v>
      </c>
      <c r="H3888">
        <v>5747</v>
      </c>
      <c r="I3888">
        <v>12</v>
      </c>
      <c r="J3888">
        <v>10</v>
      </c>
      <c r="K3888">
        <v>7</v>
      </c>
      <c r="L3888">
        <v>7</v>
      </c>
      <c r="M3888">
        <v>1</v>
      </c>
      <c r="N3888">
        <v>7</v>
      </c>
      <c r="P3888">
        <f>G3888*I3888/100</f>
        <v>936.40800000000002</v>
      </c>
      <c r="Q3888">
        <f t="shared" si="37"/>
        <v>93640.8</v>
      </c>
      <c r="R3888">
        <f>K3888/J3888</f>
        <v>0.7</v>
      </c>
    </row>
    <row r="3889" spans="1:18" x14ac:dyDescent="0.3">
      <c r="A3889">
        <v>46</v>
      </c>
      <c r="B3889">
        <v>991</v>
      </c>
      <c r="C3889" t="s">
        <v>26</v>
      </c>
      <c r="D3889" t="s">
        <v>15</v>
      </c>
      <c r="E3889">
        <v>44</v>
      </c>
      <c r="F3889" t="s">
        <v>26</v>
      </c>
      <c r="G3889">
        <v>3765.3</v>
      </c>
      <c r="H3889">
        <v>22957</v>
      </c>
      <c r="I3889">
        <v>12</v>
      </c>
      <c r="J3889">
        <v>10</v>
      </c>
      <c r="K3889">
        <v>7</v>
      </c>
      <c r="L3889">
        <v>6</v>
      </c>
      <c r="M3889">
        <v>5</v>
      </c>
      <c r="N3889">
        <v>7</v>
      </c>
      <c r="P3889">
        <f>G3889*I3889/100</f>
        <v>451.83600000000007</v>
      </c>
      <c r="Q3889">
        <f t="shared" si="37"/>
        <v>45183.600000000006</v>
      </c>
      <c r="R3889">
        <f>K3889/J3889</f>
        <v>0.7</v>
      </c>
    </row>
    <row r="3890" spans="1:18" x14ac:dyDescent="0.3">
      <c r="A3890">
        <v>28</v>
      </c>
      <c r="B3890">
        <v>1476</v>
      </c>
      <c r="C3890" t="s">
        <v>17</v>
      </c>
      <c r="D3890" t="s">
        <v>15</v>
      </c>
      <c r="E3890">
        <v>55</v>
      </c>
      <c r="F3890" t="s">
        <v>20</v>
      </c>
      <c r="G3890">
        <v>7341.4000000000005</v>
      </c>
      <c r="H3890">
        <v>16392</v>
      </c>
      <c r="I3890">
        <v>11</v>
      </c>
      <c r="J3890">
        <v>10</v>
      </c>
      <c r="K3890">
        <v>9</v>
      </c>
      <c r="L3890">
        <v>8</v>
      </c>
      <c r="M3890">
        <v>7</v>
      </c>
      <c r="N3890">
        <v>5</v>
      </c>
      <c r="P3890">
        <f>G3890*I3890/100</f>
        <v>807.55400000000009</v>
      </c>
      <c r="Q3890">
        <f t="shared" si="37"/>
        <v>88096.8</v>
      </c>
      <c r="R3890">
        <f>K3890/J3890</f>
        <v>0.9</v>
      </c>
    </row>
    <row r="3891" spans="1:18" x14ac:dyDescent="0.3">
      <c r="A3891">
        <v>50</v>
      </c>
      <c r="B3891">
        <v>1322</v>
      </c>
      <c r="C3891" t="s">
        <v>17</v>
      </c>
      <c r="D3891" t="s">
        <v>15</v>
      </c>
      <c r="E3891">
        <v>43</v>
      </c>
      <c r="F3891" t="s">
        <v>25</v>
      </c>
      <c r="G3891">
        <v>18568</v>
      </c>
      <c r="H3891">
        <v>22422</v>
      </c>
      <c r="I3891">
        <v>11</v>
      </c>
      <c r="J3891">
        <v>25</v>
      </c>
      <c r="K3891">
        <v>3</v>
      </c>
      <c r="L3891">
        <v>2</v>
      </c>
      <c r="M3891">
        <v>1</v>
      </c>
      <c r="N3891">
        <v>2</v>
      </c>
      <c r="P3891">
        <f>G3891*I3891/100</f>
        <v>2042.48</v>
      </c>
      <c r="Q3891">
        <f t="shared" si="37"/>
        <v>222816</v>
      </c>
      <c r="R3891">
        <f>K3891/J3891</f>
        <v>0.12</v>
      </c>
    </row>
    <row r="3892" spans="1:18" x14ac:dyDescent="0.3">
      <c r="A3892">
        <v>40</v>
      </c>
      <c r="B3892">
        <v>299</v>
      </c>
      <c r="C3892" t="s">
        <v>14</v>
      </c>
      <c r="D3892" t="s">
        <v>18</v>
      </c>
      <c r="E3892">
        <v>57</v>
      </c>
      <c r="F3892" t="s">
        <v>16</v>
      </c>
      <c r="G3892">
        <v>10003.400000000001</v>
      </c>
      <c r="H3892">
        <v>17235</v>
      </c>
      <c r="I3892">
        <v>12</v>
      </c>
      <c r="J3892">
        <v>9</v>
      </c>
      <c r="K3892">
        <v>5</v>
      </c>
      <c r="L3892">
        <v>4</v>
      </c>
      <c r="M3892">
        <v>1</v>
      </c>
      <c r="N3892">
        <v>0</v>
      </c>
      <c r="P3892">
        <f>G3892*I3892/100</f>
        <v>1200.4080000000001</v>
      </c>
      <c r="Q3892">
        <f t="shared" si="37"/>
        <v>120040.80000000002</v>
      </c>
      <c r="R3892">
        <f>K3892/J3892</f>
        <v>0.55555555555555558</v>
      </c>
    </row>
    <row r="3893" spans="1:18" x14ac:dyDescent="0.3">
      <c r="A3893">
        <v>52</v>
      </c>
      <c r="B3893">
        <v>1030</v>
      </c>
      <c r="C3893" t="s">
        <v>14</v>
      </c>
      <c r="D3893" t="s">
        <v>18</v>
      </c>
      <c r="E3893">
        <v>64</v>
      </c>
      <c r="F3893" t="s">
        <v>16</v>
      </c>
      <c r="G3893">
        <v>9290.6</v>
      </c>
      <c r="H3893">
        <v>21534</v>
      </c>
      <c r="I3893">
        <v>19</v>
      </c>
      <c r="J3893">
        <v>10</v>
      </c>
      <c r="K3893">
        <v>8</v>
      </c>
      <c r="L3893">
        <v>7</v>
      </c>
      <c r="M3893">
        <v>7</v>
      </c>
      <c r="N3893">
        <v>7</v>
      </c>
      <c r="P3893">
        <f>G3893*I3893/100</f>
        <v>1765.2139999999999</v>
      </c>
      <c r="Q3893">
        <f t="shared" si="37"/>
        <v>111487.20000000001</v>
      </c>
      <c r="R3893">
        <f>K3893/J3893</f>
        <v>0.8</v>
      </c>
    </row>
    <row r="3894" spans="1:18" x14ac:dyDescent="0.3">
      <c r="A3894">
        <v>30</v>
      </c>
      <c r="B3894">
        <v>634</v>
      </c>
      <c r="C3894" t="s">
        <v>17</v>
      </c>
      <c r="D3894" t="s">
        <v>15</v>
      </c>
      <c r="E3894">
        <v>95</v>
      </c>
      <c r="F3894" t="s">
        <v>23</v>
      </c>
      <c r="G3894">
        <v>13107.6</v>
      </c>
      <c r="H3894">
        <v>25927</v>
      </c>
      <c r="I3894">
        <v>23</v>
      </c>
      <c r="J3894">
        <v>9</v>
      </c>
      <c r="K3894">
        <v>9</v>
      </c>
      <c r="L3894">
        <v>1</v>
      </c>
      <c r="M3894">
        <v>0</v>
      </c>
      <c r="N3894">
        <v>8</v>
      </c>
      <c r="P3894">
        <f>G3894*I3894/100</f>
        <v>3014.748</v>
      </c>
      <c r="Q3894">
        <f t="shared" si="37"/>
        <v>157291.20000000001</v>
      </c>
      <c r="R3894">
        <f>K3894/J3894</f>
        <v>1</v>
      </c>
    </row>
    <row r="3895" spans="1:18" x14ac:dyDescent="0.3">
      <c r="A3895">
        <v>39</v>
      </c>
      <c r="B3895">
        <v>524</v>
      </c>
      <c r="C3895" t="s">
        <v>17</v>
      </c>
      <c r="D3895" t="s">
        <v>18</v>
      </c>
      <c r="E3895">
        <v>32</v>
      </c>
      <c r="F3895" t="s">
        <v>21</v>
      </c>
      <c r="G3895">
        <v>4987.4000000000005</v>
      </c>
      <c r="H3895">
        <v>13352</v>
      </c>
      <c r="I3895">
        <v>11</v>
      </c>
      <c r="J3895">
        <v>9</v>
      </c>
      <c r="K3895">
        <v>8</v>
      </c>
      <c r="L3895">
        <v>7</v>
      </c>
      <c r="M3895">
        <v>1</v>
      </c>
      <c r="N3895">
        <v>7</v>
      </c>
      <c r="P3895">
        <f>G3895*I3895/100</f>
        <v>548.61400000000003</v>
      </c>
      <c r="Q3895">
        <f t="shared" si="37"/>
        <v>59848.800000000003</v>
      </c>
      <c r="R3895">
        <f>K3895/J3895</f>
        <v>0.88888888888888884</v>
      </c>
    </row>
    <row r="3896" spans="1:18" x14ac:dyDescent="0.3">
      <c r="A3896">
        <v>31</v>
      </c>
      <c r="B3896">
        <v>587</v>
      </c>
      <c r="C3896" t="s">
        <v>14</v>
      </c>
      <c r="D3896" t="s">
        <v>15</v>
      </c>
      <c r="E3896">
        <v>57</v>
      </c>
      <c r="F3896" t="s">
        <v>16</v>
      </c>
      <c r="G3896">
        <v>10837.2</v>
      </c>
      <c r="H3896">
        <v>8935</v>
      </c>
      <c r="I3896">
        <v>19</v>
      </c>
      <c r="J3896">
        <v>10</v>
      </c>
      <c r="K3896">
        <v>10</v>
      </c>
      <c r="L3896">
        <v>8</v>
      </c>
      <c r="M3896">
        <v>9</v>
      </c>
      <c r="N3896">
        <v>6</v>
      </c>
      <c r="P3896">
        <f>G3896*I3896/100</f>
        <v>2059.0680000000002</v>
      </c>
      <c r="Q3896">
        <f t="shared" si="37"/>
        <v>130046.40000000001</v>
      </c>
      <c r="R3896">
        <f>K3896/J3896</f>
        <v>1</v>
      </c>
    </row>
    <row r="3897" spans="1:18" x14ac:dyDescent="0.3">
      <c r="A3897">
        <v>41</v>
      </c>
      <c r="B3897">
        <v>256</v>
      </c>
      <c r="C3897" t="s">
        <v>14</v>
      </c>
      <c r="D3897" t="s">
        <v>18</v>
      </c>
      <c r="E3897">
        <v>40</v>
      </c>
      <c r="F3897" t="s">
        <v>16</v>
      </c>
      <c r="G3897">
        <v>6766.1</v>
      </c>
      <c r="H3897">
        <v>22074</v>
      </c>
      <c r="I3897">
        <v>13</v>
      </c>
      <c r="J3897">
        <v>19</v>
      </c>
      <c r="K3897">
        <v>19</v>
      </c>
      <c r="L3897">
        <v>2</v>
      </c>
      <c r="M3897">
        <v>11</v>
      </c>
      <c r="N3897">
        <v>9</v>
      </c>
      <c r="P3897">
        <f>G3897*I3897/100</f>
        <v>879.59300000000007</v>
      </c>
      <c r="Q3897">
        <f t="shared" si="37"/>
        <v>81193.200000000012</v>
      </c>
      <c r="R3897">
        <f>K3897/J3897</f>
        <v>1</v>
      </c>
    </row>
    <row r="3898" spans="1:18" x14ac:dyDescent="0.3">
      <c r="A3898">
        <v>31</v>
      </c>
      <c r="B3898">
        <v>1060</v>
      </c>
      <c r="C3898" t="s">
        <v>14</v>
      </c>
      <c r="D3898" t="s">
        <v>15</v>
      </c>
      <c r="E3898">
        <v>54</v>
      </c>
      <c r="F3898" t="s">
        <v>24</v>
      </c>
      <c r="G3898">
        <v>2532.2000000000003</v>
      </c>
      <c r="H3898">
        <v>8319</v>
      </c>
      <c r="I3898">
        <v>11</v>
      </c>
      <c r="J3898">
        <v>3</v>
      </c>
      <c r="K3898">
        <v>3</v>
      </c>
      <c r="L3898">
        <v>2</v>
      </c>
      <c r="M3898">
        <v>2</v>
      </c>
      <c r="N3898">
        <v>2</v>
      </c>
      <c r="P3898">
        <f>G3898*I3898/100</f>
        <v>278.54200000000003</v>
      </c>
      <c r="Q3898">
        <f t="shared" si="37"/>
        <v>30386.400000000001</v>
      </c>
      <c r="R3898">
        <f>K3898/J3898</f>
        <v>1</v>
      </c>
    </row>
    <row r="3899" spans="1:18" x14ac:dyDescent="0.3">
      <c r="A3899">
        <v>44</v>
      </c>
      <c r="B3899">
        <v>935</v>
      </c>
      <c r="C3899" t="s">
        <v>17</v>
      </c>
      <c r="D3899" t="s">
        <v>18</v>
      </c>
      <c r="E3899">
        <v>89</v>
      </c>
      <c r="F3899" t="s">
        <v>20</v>
      </c>
      <c r="G3899">
        <v>2598.2000000000003</v>
      </c>
      <c r="H3899">
        <v>14669</v>
      </c>
      <c r="I3899">
        <v>12</v>
      </c>
      <c r="J3899">
        <v>10</v>
      </c>
      <c r="K3899">
        <v>3</v>
      </c>
      <c r="L3899">
        <v>2</v>
      </c>
      <c r="M3899">
        <v>1</v>
      </c>
      <c r="N3899">
        <v>2</v>
      </c>
      <c r="P3899">
        <f>G3899*I3899/100</f>
        <v>311.78399999999999</v>
      </c>
      <c r="Q3899">
        <f t="shared" si="37"/>
        <v>31178.400000000001</v>
      </c>
      <c r="R3899">
        <f>K3899/J3899</f>
        <v>0.3</v>
      </c>
    </row>
    <row r="3900" spans="1:18" x14ac:dyDescent="0.3">
      <c r="A3900">
        <v>42</v>
      </c>
      <c r="B3900">
        <v>495</v>
      </c>
      <c r="C3900" t="s">
        <v>17</v>
      </c>
      <c r="D3900" t="s">
        <v>18</v>
      </c>
      <c r="E3900">
        <v>37</v>
      </c>
      <c r="F3900" t="s">
        <v>23</v>
      </c>
      <c r="G3900">
        <v>19647.100000000002</v>
      </c>
      <c r="H3900">
        <v>26582</v>
      </c>
      <c r="I3900">
        <v>13</v>
      </c>
      <c r="J3900">
        <v>21</v>
      </c>
      <c r="K3900">
        <v>20</v>
      </c>
      <c r="L3900">
        <v>8</v>
      </c>
      <c r="M3900">
        <v>2</v>
      </c>
      <c r="N3900">
        <v>10</v>
      </c>
      <c r="P3900">
        <f>G3900*I3900/100</f>
        <v>2554.123</v>
      </c>
      <c r="Q3900">
        <f t="shared" si="37"/>
        <v>235765.2</v>
      </c>
      <c r="R3900">
        <f>K3900/J3900</f>
        <v>0.95238095238095233</v>
      </c>
    </row>
    <row r="3901" spans="1:18" x14ac:dyDescent="0.3">
      <c r="A3901">
        <v>55</v>
      </c>
      <c r="B3901">
        <v>282</v>
      </c>
      <c r="C3901" t="s">
        <v>17</v>
      </c>
      <c r="D3901" t="s">
        <v>15</v>
      </c>
      <c r="E3901">
        <v>58</v>
      </c>
      <c r="F3901" t="s">
        <v>23</v>
      </c>
      <c r="G3901">
        <v>21105.7</v>
      </c>
      <c r="H3901">
        <v>6992</v>
      </c>
      <c r="I3901">
        <v>14</v>
      </c>
      <c r="J3901">
        <v>23</v>
      </c>
      <c r="K3901">
        <v>19</v>
      </c>
      <c r="L3901">
        <v>9</v>
      </c>
      <c r="M3901">
        <v>9</v>
      </c>
      <c r="N3901">
        <v>11</v>
      </c>
      <c r="P3901">
        <f>G3901*I3901/100</f>
        <v>2954.7979999999998</v>
      </c>
      <c r="Q3901">
        <f t="shared" si="37"/>
        <v>253268.40000000002</v>
      </c>
      <c r="R3901">
        <f>K3901/J3901</f>
        <v>0.82608695652173914</v>
      </c>
    </row>
    <row r="3902" spans="1:18" x14ac:dyDescent="0.3">
      <c r="A3902">
        <v>56</v>
      </c>
      <c r="B3902">
        <v>206</v>
      </c>
      <c r="C3902" t="s">
        <v>26</v>
      </c>
      <c r="D3902" t="s">
        <v>18</v>
      </c>
      <c r="E3902">
        <v>99</v>
      </c>
      <c r="F3902" t="s">
        <v>23</v>
      </c>
      <c r="G3902">
        <v>21688.7</v>
      </c>
      <c r="H3902">
        <v>4022</v>
      </c>
      <c r="I3902">
        <v>14</v>
      </c>
      <c r="J3902">
        <v>36</v>
      </c>
      <c r="K3902">
        <v>7</v>
      </c>
      <c r="L3902">
        <v>3</v>
      </c>
      <c r="M3902">
        <v>7</v>
      </c>
      <c r="N3902">
        <v>7</v>
      </c>
      <c r="P3902">
        <f>G3902*I3902/100</f>
        <v>3036.4179999999997</v>
      </c>
      <c r="Q3902">
        <f t="shared" si="37"/>
        <v>260264.40000000002</v>
      </c>
      <c r="R3902">
        <f>K3902/J3902</f>
        <v>0.19444444444444445</v>
      </c>
    </row>
    <row r="3903" spans="1:18" x14ac:dyDescent="0.3">
      <c r="A3903">
        <v>40</v>
      </c>
      <c r="B3903">
        <v>458</v>
      </c>
      <c r="C3903" t="s">
        <v>17</v>
      </c>
      <c r="D3903" t="s">
        <v>18</v>
      </c>
      <c r="E3903">
        <v>74</v>
      </c>
      <c r="F3903" t="s">
        <v>19</v>
      </c>
      <c r="G3903">
        <v>3898.4</v>
      </c>
      <c r="H3903">
        <v>8532</v>
      </c>
      <c r="I3903">
        <v>16</v>
      </c>
      <c r="J3903">
        <v>6</v>
      </c>
      <c r="K3903">
        <v>4</v>
      </c>
      <c r="L3903">
        <v>2</v>
      </c>
      <c r="M3903">
        <v>0</v>
      </c>
      <c r="N3903">
        <v>0</v>
      </c>
      <c r="P3903">
        <f>G3903*I3903/100</f>
        <v>623.74400000000003</v>
      </c>
      <c r="Q3903">
        <f t="shared" si="37"/>
        <v>46780.800000000003</v>
      </c>
      <c r="R3903">
        <f>K3903/J3903</f>
        <v>0.66666666666666663</v>
      </c>
    </row>
    <row r="3904" spans="1:18" x14ac:dyDescent="0.3">
      <c r="A3904">
        <v>34</v>
      </c>
      <c r="B3904">
        <v>943</v>
      </c>
      <c r="C3904" t="s">
        <v>17</v>
      </c>
      <c r="D3904" t="s">
        <v>18</v>
      </c>
      <c r="E3904">
        <v>86</v>
      </c>
      <c r="F3904" t="s">
        <v>22</v>
      </c>
      <c r="G3904">
        <v>9350</v>
      </c>
      <c r="H3904">
        <v>5494</v>
      </c>
      <c r="I3904">
        <v>11</v>
      </c>
      <c r="J3904">
        <v>10</v>
      </c>
      <c r="K3904">
        <v>9</v>
      </c>
      <c r="L3904">
        <v>7</v>
      </c>
      <c r="M3904">
        <v>1</v>
      </c>
      <c r="N3904">
        <v>6</v>
      </c>
      <c r="P3904">
        <f>G3904*I3904/100</f>
        <v>1028.5</v>
      </c>
      <c r="Q3904">
        <f t="shared" si="37"/>
        <v>112200</v>
      </c>
      <c r="R3904">
        <f>K3904/J3904</f>
        <v>0.9</v>
      </c>
    </row>
    <row r="3905" spans="1:18" x14ac:dyDescent="0.3">
      <c r="A3905">
        <v>40</v>
      </c>
      <c r="B3905">
        <v>523</v>
      </c>
      <c r="C3905" t="s">
        <v>17</v>
      </c>
      <c r="D3905" t="s">
        <v>18</v>
      </c>
      <c r="E3905">
        <v>98</v>
      </c>
      <c r="F3905" t="s">
        <v>19</v>
      </c>
      <c r="G3905">
        <v>5127.1000000000004</v>
      </c>
      <c r="H3905">
        <v>22455</v>
      </c>
      <c r="I3905">
        <v>13</v>
      </c>
      <c r="J3905">
        <v>9</v>
      </c>
      <c r="K3905">
        <v>9</v>
      </c>
      <c r="L3905">
        <v>8</v>
      </c>
      <c r="M3905">
        <v>8</v>
      </c>
      <c r="N3905">
        <v>8</v>
      </c>
      <c r="P3905">
        <f>G3905*I3905/100</f>
        <v>666.52300000000002</v>
      </c>
      <c r="Q3905">
        <f t="shared" si="37"/>
        <v>61525.200000000004</v>
      </c>
      <c r="R3905">
        <f>K3905/J3905</f>
        <v>1</v>
      </c>
    </row>
    <row r="3906" spans="1:18" x14ac:dyDescent="0.3">
      <c r="A3906">
        <v>41</v>
      </c>
      <c r="B3906">
        <v>1018</v>
      </c>
      <c r="C3906" t="s">
        <v>14</v>
      </c>
      <c r="D3906" t="s">
        <v>15</v>
      </c>
      <c r="E3906">
        <v>66</v>
      </c>
      <c r="F3906" t="s">
        <v>16</v>
      </c>
      <c r="G3906">
        <v>4513.3</v>
      </c>
      <c r="H3906">
        <v>4297</v>
      </c>
      <c r="I3906">
        <v>17</v>
      </c>
      <c r="J3906">
        <v>10</v>
      </c>
      <c r="K3906">
        <v>9</v>
      </c>
      <c r="L3906">
        <v>3</v>
      </c>
      <c r="M3906">
        <v>1</v>
      </c>
      <c r="N3906">
        <v>7</v>
      </c>
      <c r="P3906">
        <f>G3906*I3906/100</f>
        <v>767.26100000000008</v>
      </c>
      <c r="Q3906">
        <f t="shared" si="37"/>
        <v>54159.600000000006</v>
      </c>
      <c r="R3906">
        <f>K3906/J3906</f>
        <v>0.9</v>
      </c>
    </row>
    <row r="3907" spans="1:18" x14ac:dyDescent="0.3">
      <c r="A3907">
        <v>35</v>
      </c>
      <c r="B3907">
        <v>482</v>
      </c>
      <c r="C3907" t="s">
        <v>17</v>
      </c>
      <c r="D3907" t="s">
        <v>18</v>
      </c>
      <c r="E3907">
        <v>87</v>
      </c>
      <c r="F3907" t="s">
        <v>19</v>
      </c>
      <c r="G3907">
        <v>4673.9000000000005</v>
      </c>
      <c r="H3907">
        <v>2690</v>
      </c>
      <c r="I3907">
        <v>11</v>
      </c>
      <c r="J3907">
        <v>9</v>
      </c>
      <c r="K3907">
        <v>9</v>
      </c>
      <c r="L3907">
        <v>6</v>
      </c>
      <c r="M3907">
        <v>1</v>
      </c>
      <c r="N3907">
        <v>1</v>
      </c>
      <c r="P3907">
        <f>G3907*I3907/100</f>
        <v>514.12900000000013</v>
      </c>
      <c r="Q3907">
        <f t="shared" ref="Q3907:Q3970" si="38">G3907*12</f>
        <v>56086.8</v>
      </c>
      <c r="R3907">
        <f>K3907/J3907</f>
        <v>1</v>
      </c>
    </row>
    <row r="3908" spans="1:18" x14ac:dyDescent="0.3">
      <c r="A3908">
        <v>51</v>
      </c>
      <c r="B3908">
        <v>770</v>
      </c>
      <c r="C3908" t="s">
        <v>26</v>
      </c>
      <c r="D3908" t="s">
        <v>18</v>
      </c>
      <c r="E3908">
        <v>84</v>
      </c>
      <c r="F3908" t="s">
        <v>23</v>
      </c>
      <c r="G3908">
        <v>15428.6</v>
      </c>
      <c r="H3908">
        <v>17588</v>
      </c>
      <c r="I3908">
        <v>11</v>
      </c>
      <c r="J3908">
        <v>33</v>
      </c>
      <c r="K3908">
        <v>33</v>
      </c>
      <c r="L3908">
        <v>9</v>
      </c>
      <c r="M3908">
        <v>0</v>
      </c>
      <c r="N3908">
        <v>10</v>
      </c>
      <c r="P3908">
        <f>G3908*I3908/100</f>
        <v>1697.146</v>
      </c>
      <c r="Q3908">
        <f t="shared" si="38"/>
        <v>185143.2</v>
      </c>
      <c r="R3908">
        <f>K3908/J3908</f>
        <v>1</v>
      </c>
    </row>
    <row r="3909" spans="1:18" x14ac:dyDescent="0.3">
      <c r="A3909">
        <v>38</v>
      </c>
      <c r="B3909">
        <v>1009</v>
      </c>
      <c r="C3909" t="s">
        <v>14</v>
      </c>
      <c r="D3909" t="s">
        <v>15</v>
      </c>
      <c r="E3909">
        <v>31</v>
      </c>
      <c r="F3909" t="s">
        <v>16</v>
      </c>
      <c r="G3909">
        <v>7582.3</v>
      </c>
      <c r="H3909">
        <v>19461</v>
      </c>
      <c r="I3909">
        <v>15</v>
      </c>
      <c r="J3909">
        <v>11</v>
      </c>
      <c r="K3909">
        <v>7</v>
      </c>
      <c r="L3909">
        <v>7</v>
      </c>
      <c r="M3909">
        <v>1</v>
      </c>
      <c r="N3909">
        <v>7</v>
      </c>
      <c r="P3909">
        <f>G3909*I3909/100</f>
        <v>1137.345</v>
      </c>
      <c r="Q3909">
        <f t="shared" si="38"/>
        <v>90987.6</v>
      </c>
      <c r="R3909">
        <f>K3909/J3909</f>
        <v>0.63636363636363635</v>
      </c>
    </row>
    <row r="3910" spans="1:18" x14ac:dyDescent="0.3">
      <c r="A3910">
        <v>34</v>
      </c>
      <c r="B3910">
        <v>507</v>
      </c>
      <c r="C3910" t="s">
        <v>14</v>
      </c>
      <c r="D3910" t="s">
        <v>15</v>
      </c>
      <c r="E3910">
        <v>66</v>
      </c>
      <c r="F3910" t="s">
        <v>16</v>
      </c>
      <c r="G3910">
        <v>6737.5000000000009</v>
      </c>
      <c r="H3910">
        <v>23553</v>
      </c>
      <c r="I3910">
        <v>12</v>
      </c>
      <c r="J3910">
        <v>10</v>
      </c>
      <c r="K3910">
        <v>10</v>
      </c>
      <c r="L3910">
        <v>8</v>
      </c>
      <c r="M3910">
        <v>9</v>
      </c>
      <c r="N3910">
        <v>6</v>
      </c>
      <c r="P3910">
        <f>G3910*I3910/100</f>
        <v>808.50000000000011</v>
      </c>
      <c r="Q3910">
        <f t="shared" si="38"/>
        <v>80850.000000000015</v>
      </c>
      <c r="R3910">
        <f>K3910/J3910</f>
        <v>1</v>
      </c>
    </row>
    <row r="3911" spans="1:18" x14ac:dyDescent="0.3">
      <c r="A3911">
        <v>25</v>
      </c>
      <c r="B3911">
        <v>882</v>
      </c>
      <c r="C3911" t="s">
        <v>17</v>
      </c>
      <c r="D3911" t="s">
        <v>18</v>
      </c>
      <c r="E3911">
        <v>67</v>
      </c>
      <c r="F3911" t="s">
        <v>20</v>
      </c>
      <c r="G3911">
        <v>4035.9000000000005</v>
      </c>
      <c r="H3911">
        <v>9075</v>
      </c>
      <c r="I3911">
        <v>11</v>
      </c>
      <c r="J3911">
        <v>7</v>
      </c>
      <c r="K3911">
        <v>3</v>
      </c>
      <c r="L3911">
        <v>2</v>
      </c>
      <c r="M3911">
        <v>1</v>
      </c>
      <c r="N3911">
        <v>2</v>
      </c>
      <c r="P3911">
        <f>G3911*I3911/100</f>
        <v>443.94900000000007</v>
      </c>
      <c r="Q3911">
        <f t="shared" si="38"/>
        <v>48430.8</v>
      </c>
      <c r="R3911">
        <f>K3911/J3911</f>
        <v>0.42857142857142855</v>
      </c>
    </row>
    <row r="3912" spans="1:18" x14ac:dyDescent="0.3">
      <c r="A3912">
        <v>58</v>
      </c>
      <c r="B3912">
        <v>601</v>
      </c>
      <c r="C3912" t="s">
        <v>17</v>
      </c>
      <c r="D3912" t="s">
        <v>15</v>
      </c>
      <c r="E3912">
        <v>53</v>
      </c>
      <c r="F3912" t="s">
        <v>21</v>
      </c>
      <c r="G3912">
        <v>11008.800000000001</v>
      </c>
      <c r="H3912">
        <v>12023</v>
      </c>
      <c r="I3912">
        <v>14</v>
      </c>
      <c r="J3912">
        <v>31</v>
      </c>
      <c r="K3912">
        <v>10</v>
      </c>
      <c r="L3912">
        <v>9</v>
      </c>
      <c r="M3912">
        <v>5</v>
      </c>
      <c r="N3912">
        <v>9</v>
      </c>
      <c r="P3912">
        <f>G3912*I3912/100</f>
        <v>1541.2320000000002</v>
      </c>
      <c r="Q3912">
        <f t="shared" si="38"/>
        <v>132105.60000000001</v>
      </c>
      <c r="R3912">
        <f>K3912/J3912</f>
        <v>0.32258064516129031</v>
      </c>
    </row>
    <row r="3913" spans="1:18" x14ac:dyDescent="0.3">
      <c r="A3913">
        <v>40</v>
      </c>
      <c r="B3913">
        <v>329</v>
      </c>
      <c r="C3913" t="s">
        <v>17</v>
      </c>
      <c r="D3913" t="s">
        <v>18</v>
      </c>
      <c r="E3913">
        <v>88</v>
      </c>
      <c r="F3913" t="s">
        <v>20</v>
      </c>
      <c r="G3913">
        <v>2625.7000000000003</v>
      </c>
      <c r="H3913">
        <v>6762</v>
      </c>
      <c r="I3913">
        <v>22</v>
      </c>
      <c r="J3913">
        <v>7</v>
      </c>
      <c r="K3913">
        <v>4</v>
      </c>
      <c r="L3913">
        <v>2</v>
      </c>
      <c r="M3913">
        <v>0</v>
      </c>
      <c r="N3913">
        <v>3</v>
      </c>
      <c r="P3913">
        <f>G3913*I3913/100</f>
        <v>577.65400000000011</v>
      </c>
      <c r="Q3913">
        <f t="shared" si="38"/>
        <v>31508.400000000001</v>
      </c>
      <c r="R3913">
        <f>K3913/J3913</f>
        <v>0.5714285714285714</v>
      </c>
    </row>
    <row r="3914" spans="1:18" x14ac:dyDescent="0.3">
      <c r="A3914">
        <v>36</v>
      </c>
      <c r="B3914">
        <v>607</v>
      </c>
      <c r="C3914" t="s">
        <v>14</v>
      </c>
      <c r="D3914" t="s">
        <v>15</v>
      </c>
      <c r="E3914">
        <v>83</v>
      </c>
      <c r="F3914" t="s">
        <v>16</v>
      </c>
      <c r="G3914">
        <v>5102.9000000000005</v>
      </c>
      <c r="H3914">
        <v>2261</v>
      </c>
      <c r="I3914">
        <v>16</v>
      </c>
      <c r="J3914">
        <v>17</v>
      </c>
      <c r="K3914">
        <v>15</v>
      </c>
      <c r="L3914">
        <v>7</v>
      </c>
      <c r="M3914">
        <v>6</v>
      </c>
      <c r="N3914">
        <v>13</v>
      </c>
      <c r="P3914">
        <f>G3914*I3914/100</f>
        <v>816.46400000000006</v>
      </c>
      <c r="Q3914">
        <f t="shared" si="38"/>
        <v>61234.8</v>
      </c>
      <c r="R3914">
        <f>K3914/J3914</f>
        <v>0.88235294117647056</v>
      </c>
    </row>
    <row r="3915" spans="1:18" x14ac:dyDescent="0.3">
      <c r="A3915">
        <v>48</v>
      </c>
      <c r="B3915">
        <v>855</v>
      </c>
      <c r="C3915" t="s">
        <v>17</v>
      </c>
      <c r="D3915" t="s">
        <v>18</v>
      </c>
      <c r="E3915">
        <v>54</v>
      </c>
      <c r="F3915" t="s">
        <v>21</v>
      </c>
      <c r="G3915">
        <v>8687.8000000000011</v>
      </c>
      <c r="H3915">
        <v>18706</v>
      </c>
      <c r="I3915">
        <v>11</v>
      </c>
      <c r="J3915">
        <v>11</v>
      </c>
      <c r="K3915">
        <v>10</v>
      </c>
      <c r="L3915">
        <v>9</v>
      </c>
      <c r="M3915">
        <v>0</v>
      </c>
      <c r="N3915">
        <v>8</v>
      </c>
      <c r="P3915">
        <f>G3915*I3915/100</f>
        <v>955.65800000000013</v>
      </c>
      <c r="Q3915">
        <f t="shared" si="38"/>
        <v>104253.6</v>
      </c>
      <c r="R3915">
        <f>K3915/J3915</f>
        <v>0.90909090909090906</v>
      </c>
    </row>
    <row r="3916" spans="1:18" x14ac:dyDescent="0.3">
      <c r="A3916">
        <v>27</v>
      </c>
      <c r="B3916">
        <v>1291</v>
      </c>
      <c r="C3916" t="s">
        <v>14</v>
      </c>
      <c r="D3916" t="s">
        <v>15</v>
      </c>
      <c r="E3916">
        <v>98</v>
      </c>
      <c r="F3916" t="s">
        <v>24</v>
      </c>
      <c r="G3916">
        <v>2787.4</v>
      </c>
      <c r="H3916">
        <v>6527</v>
      </c>
      <c r="I3916">
        <v>14</v>
      </c>
      <c r="J3916">
        <v>5</v>
      </c>
      <c r="K3916">
        <v>1</v>
      </c>
      <c r="L3916">
        <v>0</v>
      </c>
      <c r="M3916">
        <v>0</v>
      </c>
      <c r="N3916">
        <v>0</v>
      </c>
      <c r="P3916">
        <f>G3916*I3916/100</f>
        <v>390.23599999999999</v>
      </c>
      <c r="Q3916">
        <f t="shared" si="38"/>
        <v>33448.800000000003</v>
      </c>
      <c r="R3916">
        <f>K3916/J3916</f>
        <v>0.2</v>
      </c>
    </row>
    <row r="3917" spans="1:18" x14ac:dyDescent="0.3">
      <c r="A3917">
        <v>51</v>
      </c>
      <c r="B3917">
        <v>1405</v>
      </c>
      <c r="C3917" t="s">
        <v>17</v>
      </c>
      <c r="D3917" t="s">
        <v>15</v>
      </c>
      <c r="E3917">
        <v>82</v>
      </c>
      <c r="F3917" t="s">
        <v>21</v>
      </c>
      <c r="G3917">
        <v>14456.2</v>
      </c>
      <c r="H3917">
        <v>24439</v>
      </c>
      <c r="I3917">
        <v>16</v>
      </c>
      <c r="J3917">
        <v>29</v>
      </c>
      <c r="K3917">
        <v>5</v>
      </c>
      <c r="L3917">
        <v>2</v>
      </c>
      <c r="M3917">
        <v>0</v>
      </c>
      <c r="N3917">
        <v>3</v>
      </c>
      <c r="P3917">
        <f>G3917*I3917/100</f>
        <v>2312.9920000000002</v>
      </c>
      <c r="Q3917">
        <f t="shared" si="38"/>
        <v>173474.40000000002</v>
      </c>
      <c r="R3917">
        <f>K3917/J3917</f>
        <v>0.17241379310344829</v>
      </c>
    </row>
    <row r="3918" spans="1:18" x14ac:dyDescent="0.3">
      <c r="A3918">
        <v>18</v>
      </c>
      <c r="B3918">
        <v>1124</v>
      </c>
      <c r="C3918" t="s">
        <v>17</v>
      </c>
      <c r="D3918" t="s">
        <v>15</v>
      </c>
      <c r="E3918">
        <v>97</v>
      </c>
      <c r="F3918" t="s">
        <v>20</v>
      </c>
      <c r="G3918">
        <v>1772.1000000000001</v>
      </c>
      <c r="H3918">
        <v>19305</v>
      </c>
      <c r="I3918">
        <v>15</v>
      </c>
      <c r="J3918">
        <v>0</v>
      </c>
      <c r="K3918">
        <v>0</v>
      </c>
      <c r="L3918">
        <v>0</v>
      </c>
      <c r="M3918">
        <v>0</v>
      </c>
      <c r="N3918">
        <v>0</v>
      </c>
      <c r="P3918">
        <f>G3918*I3918/100</f>
        <v>265.81500000000005</v>
      </c>
      <c r="Q3918">
        <f t="shared" si="38"/>
        <v>21265.200000000001</v>
      </c>
      <c r="R3918" t="e">
        <f>K3918/J3918</f>
        <v>#DIV/0!</v>
      </c>
    </row>
    <row r="3919" spans="1:18" x14ac:dyDescent="0.3">
      <c r="A3919">
        <v>35</v>
      </c>
      <c r="B3919">
        <v>817</v>
      </c>
      <c r="C3919" t="s">
        <v>17</v>
      </c>
      <c r="D3919" t="s">
        <v>15</v>
      </c>
      <c r="E3919">
        <v>60</v>
      </c>
      <c r="F3919" t="s">
        <v>20</v>
      </c>
      <c r="G3919">
        <v>5899.3</v>
      </c>
      <c r="H3919">
        <v>10846</v>
      </c>
      <c r="I3919">
        <v>12</v>
      </c>
      <c r="J3919">
        <v>10</v>
      </c>
      <c r="K3919">
        <v>9</v>
      </c>
      <c r="L3919">
        <v>7</v>
      </c>
      <c r="M3919">
        <v>0</v>
      </c>
      <c r="N3919">
        <v>0</v>
      </c>
      <c r="P3919">
        <f>G3919*I3919/100</f>
        <v>707.91600000000005</v>
      </c>
      <c r="Q3919">
        <f t="shared" si="38"/>
        <v>70791.600000000006</v>
      </c>
      <c r="R3919">
        <f>K3919/J3919</f>
        <v>0.9</v>
      </c>
    </row>
    <row r="3920" spans="1:18" x14ac:dyDescent="0.3">
      <c r="A3920">
        <v>27</v>
      </c>
      <c r="B3920">
        <v>793</v>
      </c>
      <c r="C3920" t="s">
        <v>14</v>
      </c>
      <c r="D3920" t="s">
        <v>18</v>
      </c>
      <c r="E3920">
        <v>43</v>
      </c>
      <c r="F3920" t="s">
        <v>16</v>
      </c>
      <c r="G3920">
        <v>5578.1</v>
      </c>
      <c r="H3920">
        <v>20392</v>
      </c>
      <c r="I3920">
        <v>20</v>
      </c>
      <c r="J3920">
        <v>8</v>
      </c>
      <c r="K3920">
        <v>6</v>
      </c>
      <c r="L3920">
        <v>2</v>
      </c>
      <c r="M3920">
        <v>0</v>
      </c>
      <c r="N3920">
        <v>0</v>
      </c>
      <c r="P3920">
        <f>G3920*I3920/100</f>
        <v>1115.6199999999999</v>
      </c>
      <c r="Q3920">
        <f t="shared" si="38"/>
        <v>66937.200000000012</v>
      </c>
      <c r="R3920">
        <f>K3920/J3920</f>
        <v>0.75</v>
      </c>
    </row>
    <row r="3921" spans="1:18" x14ac:dyDescent="0.3">
      <c r="A3921">
        <v>55</v>
      </c>
      <c r="B3921">
        <v>267</v>
      </c>
      <c r="C3921" t="s">
        <v>14</v>
      </c>
      <c r="D3921" t="s">
        <v>18</v>
      </c>
      <c r="E3921">
        <v>85</v>
      </c>
      <c r="F3921" t="s">
        <v>16</v>
      </c>
      <c r="G3921">
        <v>15064.500000000002</v>
      </c>
      <c r="H3921">
        <v>9277</v>
      </c>
      <c r="I3921">
        <v>17</v>
      </c>
      <c r="J3921">
        <v>24</v>
      </c>
      <c r="K3921">
        <v>19</v>
      </c>
      <c r="L3921">
        <v>7</v>
      </c>
      <c r="M3921">
        <v>3</v>
      </c>
      <c r="N3921">
        <v>8</v>
      </c>
      <c r="P3921">
        <f>G3921*I3921/100</f>
        <v>2560.9650000000001</v>
      </c>
      <c r="Q3921">
        <f t="shared" si="38"/>
        <v>180774.00000000003</v>
      </c>
      <c r="R3921">
        <f>K3921/J3921</f>
        <v>0.79166666666666663</v>
      </c>
    </row>
    <row r="3922" spans="1:18" x14ac:dyDescent="0.3">
      <c r="A3922">
        <v>56</v>
      </c>
      <c r="B3922">
        <v>1369</v>
      </c>
      <c r="C3922" t="s">
        <v>17</v>
      </c>
      <c r="D3922" t="s">
        <v>18</v>
      </c>
      <c r="E3922">
        <v>68</v>
      </c>
      <c r="F3922" t="s">
        <v>21</v>
      </c>
      <c r="G3922">
        <v>14742.2</v>
      </c>
      <c r="H3922">
        <v>18235</v>
      </c>
      <c r="I3922">
        <v>12</v>
      </c>
      <c r="J3922">
        <v>33</v>
      </c>
      <c r="K3922">
        <v>19</v>
      </c>
      <c r="L3922">
        <v>16</v>
      </c>
      <c r="M3922">
        <v>15</v>
      </c>
      <c r="N3922">
        <v>9</v>
      </c>
      <c r="P3922">
        <f>G3922*I3922/100</f>
        <v>1769.0640000000003</v>
      </c>
      <c r="Q3922">
        <f t="shared" si="38"/>
        <v>176906.40000000002</v>
      </c>
      <c r="R3922">
        <f>K3922/J3922</f>
        <v>0.5757575757575758</v>
      </c>
    </row>
    <row r="3923" spans="1:18" x14ac:dyDescent="0.3">
      <c r="A3923">
        <v>34</v>
      </c>
      <c r="B3923">
        <v>999</v>
      </c>
      <c r="C3923" t="s">
        <v>17</v>
      </c>
      <c r="D3923" t="s">
        <v>15</v>
      </c>
      <c r="E3923">
        <v>92</v>
      </c>
      <c r="F3923" t="s">
        <v>19</v>
      </c>
      <c r="G3923">
        <v>2231.9</v>
      </c>
      <c r="H3923">
        <v>15891</v>
      </c>
      <c r="I3923">
        <v>20</v>
      </c>
      <c r="J3923">
        <v>5</v>
      </c>
      <c r="K3923">
        <v>5</v>
      </c>
      <c r="L3923">
        <v>4</v>
      </c>
      <c r="M3923">
        <v>0</v>
      </c>
      <c r="N3923">
        <v>0</v>
      </c>
      <c r="P3923">
        <f>G3923*I3923/100</f>
        <v>446.38</v>
      </c>
      <c r="Q3923">
        <f t="shared" si="38"/>
        <v>26782.800000000003</v>
      </c>
      <c r="R3923">
        <f>K3923/J3923</f>
        <v>1</v>
      </c>
    </row>
    <row r="3924" spans="1:18" x14ac:dyDescent="0.3">
      <c r="A3924">
        <v>40</v>
      </c>
      <c r="B3924">
        <v>1202</v>
      </c>
      <c r="C3924" t="s">
        <v>17</v>
      </c>
      <c r="D3924" t="s">
        <v>15</v>
      </c>
      <c r="E3924">
        <v>89</v>
      </c>
      <c r="F3924" t="s">
        <v>22</v>
      </c>
      <c r="G3924">
        <v>7014.7000000000007</v>
      </c>
      <c r="H3924">
        <v>13888</v>
      </c>
      <c r="I3924">
        <v>20</v>
      </c>
      <c r="J3924">
        <v>15</v>
      </c>
      <c r="K3924">
        <v>12</v>
      </c>
      <c r="L3924">
        <v>11</v>
      </c>
      <c r="M3924">
        <v>11</v>
      </c>
      <c r="N3924">
        <v>8</v>
      </c>
      <c r="P3924">
        <f>G3924*I3924/100</f>
        <v>1402.94</v>
      </c>
      <c r="Q3924">
        <f t="shared" si="38"/>
        <v>84176.400000000009</v>
      </c>
      <c r="R3924">
        <f>K3924/J3924</f>
        <v>0.8</v>
      </c>
    </row>
    <row r="3925" spans="1:18" x14ac:dyDescent="0.3">
      <c r="A3925">
        <v>34</v>
      </c>
      <c r="B3925">
        <v>285</v>
      </c>
      <c r="C3925" t="s">
        <v>17</v>
      </c>
      <c r="D3925" t="s">
        <v>18</v>
      </c>
      <c r="E3925">
        <v>86</v>
      </c>
      <c r="F3925" t="s">
        <v>20</v>
      </c>
      <c r="G3925">
        <v>5971.9000000000005</v>
      </c>
      <c r="H3925">
        <v>17491</v>
      </c>
      <c r="I3925">
        <v>13</v>
      </c>
      <c r="J3925">
        <v>10</v>
      </c>
      <c r="K3925">
        <v>8</v>
      </c>
      <c r="L3925">
        <v>7</v>
      </c>
      <c r="M3925">
        <v>7</v>
      </c>
      <c r="N3925">
        <v>7</v>
      </c>
      <c r="P3925">
        <f>G3925*I3925/100</f>
        <v>776.34700000000009</v>
      </c>
      <c r="Q3925">
        <f t="shared" si="38"/>
        <v>71662.8</v>
      </c>
      <c r="R3925">
        <f>K3925/J3925</f>
        <v>0.8</v>
      </c>
    </row>
    <row r="3926" spans="1:18" x14ac:dyDescent="0.3">
      <c r="A3926">
        <v>31</v>
      </c>
      <c r="B3926">
        <v>703</v>
      </c>
      <c r="C3926" t="s">
        <v>14</v>
      </c>
      <c r="D3926" t="s">
        <v>15</v>
      </c>
      <c r="E3926">
        <v>90</v>
      </c>
      <c r="F3926" t="s">
        <v>24</v>
      </c>
      <c r="G3926">
        <v>3063.5000000000005</v>
      </c>
      <c r="H3926">
        <v>11882</v>
      </c>
      <c r="I3926">
        <v>14</v>
      </c>
      <c r="J3926">
        <v>3</v>
      </c>
      <c r="K3926">
        <v>1</v>
      </c>
      <c r="L3926">
        <v>0</v>
      </c>
      <c r="M3926">
        <v>0</v>
      </c>
      <c r="N3926">
        <v>0</v>
      </c>
      <c r="P3926">
        <f>G3926*I3926/100</f>
        <v>428.8900000000001</v>
      </c>
      <c r="Q3926">
        <f t="shared" si="38"/>
        <v>36762.000000000007</v>
      </c>
      <c r="R3926">
        <f>K3926/J3926</f>
        <v>0.33333333333333331</v>
      </c>
    </row>
    <row r="3927" spans="1:18" x14ac:dyDescent="0.3">
      <c r="A3927">
        <v>35</v>
      </c>
      <c r="B3927">
        <v>662</v>
      </c>
      <c r="C3927" t="s">
        <v>14</v>
      </c>
      <c r="D3927" t="s">
        <v>15</v>
      </c>
      <c r="E3927">
        <v>67</v>
      </c>
      <c r="F3927" t="s">
        <v>16</v>
      </c>
      <c r="G3927">
        <v>5075.4000000000005</v>
      </c>
      <c r="H3927">
        <v>23288</v>
      </c>
      <c r="I3927">
        <v>18</v>
      </c>
      <c r="J3927">
        <v>5</v>
      </c>
      <c r="K3927">
        <v>4</v>
      </c>
      <c r="L3927">
        <v>2</v>
      </c>
      <c r="M3927">
        <v>3</v>
      </c>
      <c r="N3927">
        <v>2</v>
      </c>
      <c r="P3927">
        <f>G3927*I3927/100</f>
        <v>913.57200000000012</v>
      </c>
      <c r="Q3927">
        <f t="shared" si="38"/>
        <v>60904.800000000003</v>
      </c>
      <c r="R3927">
        <f>K3927/J3927</f>
        <v>0.8</v>
      </c>
    </row>
    <row r="3928" spans="1:18" x14ac:dyDescent="0.3">
      <c r="A3928">
        <v>38</v>
      </c>
      <c r="B3928">
        <v>693</v>
      </c>
      <c r="C3928" t="s">
        <v>17</v>
      </c>
      <c r="D3928" t="s">
        <v>18</v>
      </c>
      <c r="E3928">
        <v>57</v>
      </c>
      <c r="F3928" t="s">
        <v>19</v>
      </c>
      <c r="G3928">
        <v>2871.0000000000005</v>
      </c>
      <c r="H3928">
        <v>15748</v>
      </c>
      <c r="I3928">
        <v>11</v>
      </c>
      <c r="J3928">
        <v>4</v>
      </c>
      <c r="K3928">
        <v>4</v>
      </c>
      <c r="L3928">
        <v>2</v>
      </c>
      <c r="M3928">
        <v>0</v>
      </c>
      <c r="N3928">
        <v>3</v>
      </c>
      <c r="P3928">
        <f>G3928*I3928/100</f>
        <v>315.81000000000006</v>
      </c>
      <c r="Q3928">
        <f t="shared" si="38"/>
        <v>34452.000000000007</v>
      </c>
      <c r="R3928">
        <f>K3928/J3928</f>
        <v>1</v>
      </c>
    </row>
    <row r="3929" spans="1:18" x14ac:dyDescent="0.3">
      <c r="A3929">
        <v>34</v>
      </c>
      <c r="B3929">
        <v>404</v>
      </c>
      <c r="C3929" t="s">
        <v>17</v>
      </c>
      <c r="D3929" t="s">
        <v>15</v>
      </c>
      <c r="E3929">
        <v>98</v>
      </c>
      <c r="F3929" t="s">
        <v>22</v>
      </c>
      <c r="G3929">
        <v>7355.7000000000007</v>
      </c>
      <c r="H3929">
        <v>6163</v>
      </c>
      <c r="I3929">
        <v>11</v>
      </c>
      <c r="J3929">
        <v>14</v>
      </c>
      <c r="K3929">
        <v>14</v>
      </c>
      <c r="L3929">
        <v>11</v>
      </c>
      <c r="M3929">
        <v>4</v>
      </c>
      <c r="N3929">
        <v>11</v>
      </c>
      <c r="P3929">
        <f>G3929*I3929/100</f>
        <v>809.12700000000007</v>
      </c>
      <c r="Q3929">
        <f t="shared" si="38"/>
        <v>88268.400000000009</v>
      </c>
      <c r="R3929">
        <f>K3929/J3929</f>
        <v>1</v>
      </c>
    </row>
    <row r="3930" spans="1:18" x14ac:dyDescent="0.3">
      <c r="A3930">
        <v>28</v>
      </c>
      <c r="B3930">
        <v>736</v>
      </c>
      <c r="C3930" t="s">
        <v>14</v>
      </c>
      <c r="D3930" t="s">
        <v>18</v>
      </c>
      <c r="E3930">
        <v>48</v>
      </c>
      <c r="F3930" t="s">
        <v>16</v>
      </c>
      <c r="G3930">
        <v>5196.4000000000005</v>
      </c>
      <c r="H3930">
        <v>24232</v>
      </c>
      <c r="I3930">
        <v>11</v>
      </c>
      <c r="J3930">
        <v>5</v>
      </c>
      <c r="K3930">
        <v>5</v>
      </c>
      <c r="L3930">
        <v>3</v>
      </c>
      <c r="M3930">
        <v>0</v>
      </c>
      <c r="N3930">
        <v>4</v>
      </c>
      <c r="P3930">
        <f>G3930*I3930/100</f>
        <v>571.60400000000004</v>
      </c>
      <c r="Q3930">
        <f t="shared" si="38"/>
        <v>62356.800000000003</v>
      </c>
      <c r="R3930">
        <f>K3930/J3930</f>
        <v>1</v>
      </c>
    </row>
    <row r="3931" spans="1:18" x14ac:dyDescent="0.3">
      <c r="A3931">
        <v>31</v>
      </c>
      <c r="B3931">
        <v>330</v>
      </c>
      <c r="C3931" t="s">
        <v>17</v>
      </c>
      <c r="D3931" t="s">
        <v>18</v>
      </c>
      <c r="E3931">
        <v>98</v>
      </c>
      <c r="F3931" t="s">
        <v>21</v>
      </c>
      <c r="G3931">
        <v>6796.9000000000005</v>
      </c>
      <c r="H3931">
        <v>21057</v>
      </c>
      <c r="I3931">
        <v>15</v>
      </c>
      <c r="J3931">
        <v>10</v>
      </c>
      <c r="K3931">
        <v>10</v>
      </c>
      <c r="L3931">
        <v>2</v>
      </c>
      <c r="M3931">
        <v>6</v>
      </c>
      <c r="N3931">
        <v>7</v>
      </c>
      <c r="P3931">
        <f>G3931*I3931/100</f>
        <v>1019.5350000000002</v>
      </c>
      <c r="Q3931">
        <f t="shared" si="38"/>
        <v>81562.8</v>
      </c>
      <c r="R3931">
        <f>K3931/J3931</f>
        <v>1</v>
      </c>
    </row>
    <row r="3932" spans="1:18" x14ac:dyDescent="0.3">
      <c r="A3932">
        <v>39</v>
      </c>
      <c r="B3932">
        <v>1498</v>
      </c>
      <c r="C3932" t="s">
        <v>14</v>
      </c>
      <c r="D3932" t="s">
        <v>18</v>
      </c>
      <c r="E3932">
        <v>44</v>
      </c>
      <c r="F3932" t="s">
        <v>16</v>
      </c>
      <c r="G3932">
        <v>6732.0000000000009</v>
      </c>
      <c r="H3932">
        <v>3567</v>
      </c>
      <c r="I3932">
        <v>12</v>
      </c>
      <c r="J3932">
        <v>8</v>
      </c>
      <c r="K3932">
        <v>5</v>
      </c>
      <c r="L3932">
        <v>4</v>
      </c>
      <c r="M3932">
        <v>1</v>
      </c>
      <c r="N3932">
        <v>4</v>
      </c>
      <c r="P3932">
        <f>G3932*I3932/100</f>
        <v>807.84000000000015</v>
      </c>
      <c r="Q3932">
        <f t="shared" si="38"/>
        <v>80784.000000000015</v>
      </c>
      <c r="R3932">
        <f>K3932/J3932</f>
        <v>0.625</v>
      </c>
    </row>
    <row r="3933" spans="1:18" x14ac:dyDescent="0.3">
      <c r="A3933">
        <v>51</v>
      </c>
      <c r="B3933">
        <v>541</v>
      </c>
      <c r="C3933" t="s">
        <v>14</v>
      </c>
      <c r="D3933" t="s">
        <v>18</v>
      </c>
      <c r="E3933">
        <v>52</v>
      </c>
      <c r="F3933" t="s">
        <v>16</v>
      </c>
      <c r="G3933">
        <v>11655.6</v>
      </c>
      <c r="H3933">
        <v>15395</v>
      </c>
      <c r="I3933">
        <v>11</v>
      </c>
      <c r="J3933">
        <v>14</v>
      </c>
      <c r="K3933">
        <v>4</v>
      </c>
      <c r="L3933">
        <v>2</v>
      </c>
      <c r="M3933">
        <v>3</v>
      </c>
      <c r="N3933">
        <v>2</v>
      </c>
      <c r="P3933">
        <f>G3933*I3933/100</f>
        <v>1282.116</v>
      </c>
      <c r="Q3933">
        <f t="shared" si="38"/>
        <v>139867.20000000001</v>
      </c>
      <c r="R3933">
        <f>K3933/J3933</f>
        <v>0.2857142857142857</v>
      </c>
    </row>
    <row r="3934" spans="1:18" x14ac:dyDescent="0.3">
      <c r="A3934">
        <v>41</v>
      </c>
      <c r="B3934">
        <v>1200</v>
      </c>
      <c r="C3934" t="s">
        <v>17</v>
      </c>
      <c r="D3934" t="s">
        <v>15</v>
      </c>
      <c r="E3934">
        <v>75</v>
      </c>
      <c r="F3934" t="s">
        <v>19</v>
      </c>
      <c r="G3934">
        <v>6013.7000000000007</v>
      </c>
      <c r="H3934">
        <v>13953</v>
      </c>
      <c r="I3934">
        <v>14</v>
      </c>
      <c r="J3934">
        <v>12</v>
      </c>
      <c r="K3934">
        <v>6</v>
      </c>
      <c r="L3934">
        <v>2</v>
      </c>
      <c r="M3934">
        <v>3</v>
      </c>
      <c r="N3934">
        <v>3</v>
      </c>
      <c r="P3934">
        <f>G3934*I3934/100</f>
        <v>841.91800000000012</v>
      </c>
      <c r="Q3934">
        <f t="shared" si="38"/>
        <v>72164.400000000009</v>
      </c>
      <c r="R3934">
        <f>K3934/J3934</f>
        <v>0.5</v>
      </c>
    </row>
    <row r="3935" spans="1:18" x14ac:dyDescent="0.3">
      <c r="A3935">
        <v>37</v>
      </c>
      <c r="B3935">
        <v>1439</v>
      </c>
      <c r="C3935" t="s">
        <v>17</v>
      </c>
      <c r="D3935" t="s">
        <v>18</v>
      </c>
      <c r="E3935">
        <v>54</v>
      </c>
      <c r="F3935" t="s">
        <v>19</v>
      </c>
      <c r="G3935">
        <v>3295.6000000000004</v>
      </c>
      <c r="H3935">
        <v>5182</v>
      </c>
      <c r="I3935">
        <v>15</v>
      </c>
      <c r="J3935">
        <v>8</v>
      </c>
      <c r="K3935">
        <v>6</v>
      </c>
      <c r="L3935">
        <v>4</v>
      </c>
      <c r="M3935">
        <v>1</v>
      </c>
      <c r="N3935">
        <v>3</v>
      </c>
      <c r="P3935">
        <f>G3935*I3935/100</f>
        <v>494.34000000000009</v>
      </c>
      <c r="Q3935">
        <f t="shared" si="38"/>
        <v>39547.200000000004</v>
      </c>
      <c r="R3935">
        <f>K3935/J3935</f>
        <v>0.75</v>
      </c>
    </row>
    <row r="3936" spans="1:18" x14ac:dyDescent="0.3">
      <c r="A3936">
        <v>33</v>
      </c>
      <c r="B3936">
        <v>1111</v>
      </c>
      <c r="C3936" t="s">
        <v>14</v>
      </c>
      <c r="D3936" t="s">
        <v>18</v>
      </c>
      <c r="E3936">
        <v>61</v>
      </c>
      <c r="F3936" t="s">
        <v>16</v>
      </c>
      <c r="G3936">
        <v>10997.800000000001</v>
      </c>
      <c r="H3936">
        <v>19293</v>
      </c>
      <c r="I3936">
        <v>13</v>
      </c>
      <c r="J3936">
        <v>8</v>
      </c>
      <c r="K3936">
        <v>5</v>
      </c>
      <c r="L3936">
        <v>4</v>
      </c>
      <c r="M3936">
        <v>1</v>
      </c>
      <c r="N3936">
        <v>2</v>
      </c>
      <c r="P3936">
        <f>G3936*I3936/100</f>
        <v>1429.7140000000002</v>
      </c>
      <c r="Q3936">
        <f t="shared" si="38"/>
        <v>131973.6</v>
      </c>
      <c r="R3936">
        <f>K3936/J3936</f>
        <v>0.625</v>
      </c>
    </row>
    <row r="3937" spans="1:18" x14ac:dyDescent="0.3">
      <c r="A3937">
        <v>32</v>
      </c>
      <c r="B3937">
        <v>499</v>
      </c>
      <c r="C3937" t="s">
        <v>14</v>
      </c>
      <c r="D3937" t="s">
        <v>18</v>
      </c>
      <c r="E3937">
        <v>36</v>
      </c>
      <c r="F3937" t="s">
        <v>16</v>
      </c>
      <c r="G3937">
        <v>4485.8</v>
      </c>
      <c r="H3937">
        <v>20497</v>
      </c>
      <c r="I3937">
        <v>13</v>
      </c>
      <c r="J3937">
        <v>4</v>
      </c>
      <c r="K3937">
        <v>3</v>
      </c>
      <c r="L3937">
        <v>2</v>
      </c>
      <c r="M3937">
        <v>1</v>
      </c>
      <c r="N3937">
        <v>2</v>
      </c>
      <c r="P3937">
        <f>G3937*I3937/100</f>
        <v>583.154</v>
      </c>
      <c r="Q3937">
        <f t="shared" si="38"/>
        <v>53829.600000000006</v>
      </c>
      <c r="R3937">
        <f>K3937/J3937</f>
        <v>0.75</v>
      </c>
    </row>
    <row r="3938" spans="1:18" x14ac:dyDescent="0.3">
      <c r="A3938">
        <v>39</v>
      </c>
      <c r="B3938">
        <v>1485</v>
      </c>
      <c r="C3938" t="s">
        <v>17</v>
      </c>
      <c r="D3938" t="s">
        <v>18</v>
      </c>
      <c r="E3938">
        <v>71</v>
      </c>
      <c r="F3938" t="s">
        <v>22</v>
      </c>
      <c r="G3938">
        <v>12012.000000000002</v>
      </c>
      <c r="H3938">
        <v>3449</v>
      </c>
      <c r="I3938">
        <v>21</v>
      </c>
      <c r="J3938">
        <v>13</v>
      </c>
      <c r="K3938">
        <v>6</v>
      </c>
      <c r="L3938">
        <v>4</v>
      </c>
      <c r="M3938">
        <v>0</v>
      </c>
      <c r="N3938">
        <v>5</v>
      </c>
      <c r="P3938">
        <f>G3938*I3938/100</f>
        <v>2522.5200000000004</v>
      </c>
      <c r="Q3938">
        <f t="shared" si="38"/>
        <v>144144.00000000003</v>
      </c>
      <c r="R3938">
        <f>K3938/J3938</f>
        <v>0.46153846153846156</v>
      </c>
    </row>
    <row r="3939" spans="1:18" x14ac:dyDescent="0.3">
      <c r="A3939">
        <v>25</v>
      </c>
      <c r="B3939">
        <v>1372</v>
      </c>
      <c r="C3939" t="s">
        <v>14</v>
      </c>
      <c r="D3939" t="s">
        <v>18</v>
      </c>
      <c r="E3939">
        <v>93</v>
      </c>
      <c r="F3939" t="s">
        <v>16</v>
      </c>
      <c r="G3939">
        <v>6855.2000000000007</v>
      </c>
      <c r="H3939">
        <v>12477</v>
      </c>
      <c r="I3939">
        <v>11</v>
      </c>
      <c r="J3939">
        <v>6</v>
      </c>
      <c r="K3939">
        <v>3</v>
      </c>
      <c r="L3939">
        <v>2</v>
      </c>
      <c r="M3939">
        <v>1</v>
      </c>
      <c r="N3939">
        <v>2</v>
      </c>
      <c r="P3939">
        <f>G3939*I3939/100</f>
        <v>754.07200000000012</v>
      </c>
      <c r="Q3939">
        <f t="shared" si="38"/>
        <v>82262.400000000009</v>
      </c>
      <c r="R3939">
        <f>K3939/J3939</f>
        <v>0.5</v>
      </c>
    </row>
    <row r="3940" spans="1:18" x14ac:dyDescent="0.3">
      <c r="A3940">
        <v>52</v>
      </c>
      <c r="B3940">
        <v>322</v>
      </c>
      <c r="C3940" t="s">
        <v>17</v>
      </c>
      <c r="D3940" t="s">
        <v>15</v>
      </c>
      <c r="E3940">
        <v>59</v>
      </c>
      <c r="F3940" t="s">
        <v>21</v>
      </c>
      <c r="G3940">
        <v>14571.7</v>
      </c>
      <c r="H3940">
        <v>9731</v>
      </c>
      <c r="I3940">
        <v>11</v>
      </c>
      <c r="J3940">
        <v>24</v>
      </c>
      <c r="K3940">
        <v>5</v>
      </c>
      <c r="L3940">
        <v>3</v>
      </c>
      <c r="M3940">
        <v>0</v>
      </c>
      <c r="N3940">
        <v>2</v>
      </c>
      <c r="P3940">
        <f>G3940*I3940/100</f>
        <v>1602.8870000000002</v>
      </c>
      <c r="Q3940">
        <f t="shared" si="38"/>
        <v>174860.40000000002</v>
      </c>
      <c r="R3940">
        <f>K3940/J3940</f>
        <v>0.20833333333333334</v>
      </c>
    </row>
    <row r="3941" spans="1:18" x14ac:dyDescent="0.3">
      <c r="A3941">
        <v>43</v>
      </c>
      <c r="B3941">
        <v>930</v>
      </c>
      <c r="C3941" t="s">
        <v>17</v>
      </c>
      <c r="D3941" t="s">
        <v>15</v>
      </c>
      <c r="E3941">
        <v>73</v>
      </c>
      <c r="F3941" t="s">
        <v>19</v>
      </c>
      <c r="G3941">
        <v>4489.1000000000004</v>
      </c>
      <c r="H3941">
        <v>20003</v>
      </c>
      <c r="I3941">
        <v>14</v>
      </c>
      <c r="J3941">
        <v>20</v>
      </c>
      <c r="K3941">
        <v>20</v>
      </c>
      <c r="L3941">
        <v>7</v>
      </c>
      <c r="M3941">
        <v>1</v>
      </c>
      <c r="N3941">
        <v>8</v>
      </c>
      <c r="P3941">
        <f>G3941*I3941/100</f>
        <v>628.47400000000005</v>
      </c>
      <c r="Q3941">
        <f t="shared" si="38"/>
        <v>53869.200000000004</v>
      </c>
      <c r="R3941">
        <f>K3941/J3941</f>
        <v>1</v>
      </c>
    </row>
    <row r="3942" spans="1:18" x14ac:dyDescent="0.3">
      <c r="A3942">
        <v>27</v>
      </c>
      <c r="B3942">
        <v>205</v>
      </c>
      <c r="C3942" t="s">
        <v>14</v>
      </c>
      <c r="D3942" t="s">
        <v>15</v>
      </c>
      <c r="E3942">
        <v>98</v>
      </c>
      <c r="F3942" t="s">
        <v>16</v>
      </c>
      <c r="G3942">
        <v>6345.9000000000005</v>
      </c>
      <c r="H3942">
        <v>7100</v>
      </c>
      <c r="I3942">
        <v>11</v>
      </c>
      <c r="J3942">
        <v>6</v>
      </c>
      <c r="K3942">
        <v>6</v>
      </c>
      <c r="L3942">
        <v>2</v>
      </c>
      <c r="M3942">
        <v>4</v>
      </c>
      <c r="N3942">
        <v>4</v>
      </c>
      <c r="P3942">
        <f>G3942*I3942/100</f>
        <v>698.04900000000009</v>
      </c>
      <c r="Q3942">
        <f t="shared" si="38"/>
        <v>76150.8</v>
      </c>
      <c r="R3942">
        <f>K3942/J3942</f>
        <v>1</v>
      </c>
    </row>
    <row r="3943" spans="1:18" x14ac:dyDescent="0.3">
      <c r="A3943">
        <v>27</v>
      </c>
      <c r="B3943">
        <v>135</v>
      </c>
      <c r="C3943" t="s">
        <v>17</v>
      </c>
      <c r="D3943" t="s">
        <v>15</v>
      </c>
      <c r="E3943">
        <v>51</v>
      </c>
      <c r="F3943" t="s">
        <v>19</v>
      </c>
      <c r="G3943">
        <v>2633.4</v>
      </c>
      <c r="H3943">
        <v>25681</v>
      </c>
      <c r="I3943">
        <v>13</v>
      </c>
      <c r="J3943">
        <v>8</v>
      </c>
      <c r="K3943">
        <v>8</v>
      </c>
      <c r="L3943">
        <v>2</v>
      </c>
      <c r="M3943">
        <v>7</v>
      </c>
      <c r="N3943">
        <v>7</v>
      </c>
      <c r="P3943">
        <f>G3943*I3943/100</f>
        <v>342.34200000000004</v>
      </c>
      <c r="Q3943">
        <f t="shared" si="38"/>
        <v>31600.800000000003</v>
      </c>
      <c r="R3943">
        <f>K3943/J3943</f>
        <v>1</v>
      </c>
    </row>
    <row r="3944" spans="1:18" x14ac:dyDescent="0.3">
      <c r="A3944">
        <v>26</v>
      </c>
      <c r="B3944">
        <v>683</v>
      </c>
      <c r="C3944" t="s">
        <v>17</v>
      </c>
      <c r="D3944" t="s">
        <v>18</v>
      </c>
      <c r="E3944">
        <v>36</v>
      </c>
      <c r="F3944" t="s">
        <v>19</v>
      </c>
      <c r="G3944">
        <v>4294.4000000000005</v>
      </c>
      <c r="H3944">
        <v>4050</v>
      </c>
      <c r="I3944">
        <v>12</v>
      </c>
      <c r="J3944">
        <v>5</v>
      </c>
      <c r="K3944">
        <v>4</v>
      </c>
      <c r="L3944">
        <v>3</v>
      </c>
      <c r="M3944">
        <v>1</v>
      </c>
      <c r="N3944">
        <v>1</v>
      </c>
      <c r="P3944">
        <f>G3944*I3944/100</f>
        <v>515.32799999999997</v>
      </c>
      <c r="Q3944">
        <f t="shared" si="38"/>
        <v>51532.800000000003</v>
      </c>
      <c r="R3944">
        <f>K3944/J3944</f>
        <v>0.8</v>
      </c>
    </row>
    <row r="3945" spans="1:18" x14ac:dyDescent="0.3">
      <c r="A3945">
        <v>42</v>
      </c>
      <c r="B3945">
        <v>1147</v>
      </c>
      <c r="C3945" t="s">
        <v>26</v>
      </c>
      <c r="D3945" t="s">
        <v>15</v>
      </c>
      <c r="E3945">
        <v>31</v>
      </c>
      <c r="F3945" t="s">
        <v>23</v>
      </c>
      <c r="G3945">
        <v>18478.900000000001</v>
      </c>
      <c r="H3945">
        <v>16616</v>
      </c>
      <c r="I3945">
        <v>14</v>
      </c>
      <c r="J3945">
        <v>21</v>
      </c>
      <c r="K3945">
        <v>20</v>
      </c>
      <c r="L3945">
        <v>7</v>
      </c>
      <c r="M3945">
        <v>0</v>
      </c>
      <c r="N3945">
        <v>9</v>
      </c>
      <c r="P3945">
        <f>G3945*I3945/100</f>
        <v>2587.0460000000003</v>
      </c>
      <c r="Q3945">
        <f t="shared" si="38"/>
        <v>221746.80000000002</v>
      </c>
      <c r="R3945">
        <f>K3945/J3945</f>
        <v>0.95238095238095233</v>
      </c>
    </row>
    <row r="3946" spans="1:18" x14ac:dyDescent="0.3">
      <c r="A3946">
        <v>52</v>
      </c>
      <c r="B3946">
        <v>258</v>
      </c>
      <c r="C3946" t="s">
        <v>17</v>
      </c>
      <c r="D3946" t="s">
        <v>15</v>
      </c>
      <c r="E3946">
        <v>54</v>
      </c>
      <c r="F3946" t="s">
        <v>20</v>
      </c>
      <c r="G3946">
        <v>3245.0000000000005</v>
      </c>
      <c r="H3946">
        <v>17363</v>
      </c>
      <c r="I3946">
        <v>13</v>
      </c>
      <c r="J3946">
        <v>12</v>
      </c>
      <c r="K3946">
        <v>5</v>
      </c>
      <c r="L3946">
        <v>4</v>
      </c>
      <c r="M3946">
        <v>0</v>
      </c>
      <c r="N3946">
        <v>4</v>
      </c>
      <c r="P3946">
        <f>G3946*I3946/100</f>
        <v>421.85000000000008</v>
      </c>
      <c r="Q3946">
        <f t="shared" si="38"/>
        <v>38940.000000000007</v>
      </c>
      <c r="R3946">
        <f>K3946/J3946</f>
        <v>0.41666666666666669</v>
      </c>
    </row>
    <row r="3947" spans="1:18" x14ac:dyDescent="0.3">
      <c r="A3947">
        <v>37</v>
      </c>
      <c r="B3947">
        <v>1462</v>
      </c>
      <c r="C3947" t="s">
        <v>17</v>
      </c>
      <c r="D3947" t="s">
        <v>15</v>
      </c>
      <c r="E3947">
        <v>94</v>
      </c>
      <c r="F3947" t="s">
        <v>20</v>
      </c>
      <c r="G3947">
        <v>3991.9000000000005</v>
      </c>
      <c r="H3947">
        <v>19106</v>
      </c>
      <c r="I3947">
        <v>18</v>
      </c>
      <c r="J3947">
        <v>8</v>
      </c>
      <c r="K3947">
        <v>3</v>
      </c>
      <c r="L3947">
        <v>2</v>
      </c>
      <c r="M3947">
        <v>0</v>
      </c>
      <c r="N3947">
        <v>2</v>
      </c>
      <c r="P3947">
        <f>G3947*I3947/100</f>
        <v>718.54200000000014</v>
      </c>
      <c r="Q3947">
        <f t="shared" si="38"/>
        <v>47902.8</v>
      </c>
      <c r="R3947">
        <f>K3947/J3947</f>
        <v>0.375</v>
      </c>
    </row>
    <row r="3948" spans="1:18" x14ac:dyDescent="0.3">
      <c r="A3948">
        <v>35</v>
      </c>
      <c r="B3948">
        <v>200</v>
      </c>
      <c r="C3948" t="s">
        <v>17</v>
      </c>
      <c r="D3948" t="s">
        <v>18</v>
      </c>
      <c r="E3948">
        <v>60</v>
      </c>
      <c r="F3948" t="s">
        <v>21</v>
      </c>
      <c r="G3948">
        <v>10298.200000000001</v>
      </c>
      <c r="H3948">
        <v>19944</v>
      </c>
      <c r="I3948">
        <v>11</v>
      </c>
      <c r="J3948">
        <v>10</v>
      </c>
      <c r="K3948">
        <v>2</v>
      </c>
      <c r="L3948">
        <v>2</v>
      </c>
      <c r="M3948">
        <v>2</v>
      </c>
      <c r="N3948">
        <v>2</v>
      </c>
      <c r="P3948">
        <f>G3948*I3948/100</f>
        <v>1132.8020000000001</v>
      </c>
      <c r="Q3948">
        <f t="shared" si="38"/>
        <v>123578.40000000001</v>
      </c>
      <c r="R3948">
        <f>K3948/J3948</f>
        <v>0.2</v>
      </c>
    </row>
    <row r="3949" spans="1:18" x14ac:dyDescent="0.3">
      <c r="A3949">
        <v>25</v>
      </c>
      <c r="B3949">
        <v>949</v>
      </c>
      <c r="C3949" t="s">
        <v>17</v>
      </c>
      <c r="D3949" t="s">
        <v>18</v>
      </c>
      <c r="E3949">
        <v>81</v>
      </c>
      <c r="F3949" t="s">
        <v>20</v>
      </c>
      <c r="G3949">
        <v>3551.9</v>
      </c>
      <c r="H3949">
        <v>4910</v>
      </c>
      <c r="I3949">
        <v>11</v>
      </c>
      <c r="J3949">
        <v>7</v>
      </c>
      <c r="K3949">
        <v>3</v>
      </c>
      <c r="L3949">
        <v>2</v>
      </c>
      <c r="M3949">
        <v>0</v>
      </c>
      <c r="N3949">
        <v>2</v>
      </c>
      <c r="P3949">
        <f>G3949*I3949/100</f>
        <v>390.709</v>
      </c>
      <c r="Q3949">
        <f t="shared" si="38"/>
        <v>42622.8</v>
      </c>
      <c r="R3949">
        <f>K3949/J3949</f>
        <v>0.42857142857142855</v>
      </c>
    </row>
    <row r="3950" spans="1:18" x14ac:dyDescent="0.3">
      <c r="A3950">
        <v>26</v>
      </c>
      <c r="B3950">
        <v>652</v>
      </c>
      <c r="C3950" t="s">
        <v>17</v>
      </c>
      <c r="D3950" t="s">
        <v>18</v>
      </c>
      <c r="E3950">
        <v>100</v>
      </c>
      <c r="F3950" t="s">
        <v>20</v>
      </c>
      <c r="G3950">
        <v>3935.8</v>
      </c>
      <c r="H3950">
        <v>23577</v>
      </c>
      <c r="I3950">
        <v>12</v>
      </c>
      <c r="J3950">
        <v>8</v>
      </c>
      <c r="K3950">
        <v>7</v>
      </c>
      <c r="L3950">
        <v>7</v>
      </c>
      <c r="M3950">
        <v>0</v>
      </c>
      <c r="N3950">
        <v>7</v>
      </c>
      <c r="P3950">
        <f>G3950*I3950/100</f>
        <v>472.29600000000005</v>
      </c>
      <c r="Q3950">
        <f t="shared" si="38"/>
        <v>47229.600000000006</v>
      </c>
      <c r="R3950">
        <f>K3950/J3950</f>
        <v>0.875</v>
      </c>
    </row>
    <row r="3951" spans="1:18" x14ac:dyDescent="0.3">
      <c r="A3951">
        <v>29</v>
      </c>
      <c r="B3951">
        <v>332</v>
      </c>
      <c r="C3951" t="s">
        <v>26</v>
      </c>
      <c r="D3951" t="s">
        <v>18</v>
      </c>
      <c r="E3951">
        <v>51</v>
      </c>
      <c r="F3951" t="s">
        <v>26</v>
      </c>
      <c r="G3951">
        <v>8786.8000000000011</v>
      </c>
      <c r="H3951">
        <v>9769</v>
      </c>
      <c r="I3951">
        <v>13</v>
      </c>
      <c r="J3951">
        <v>10</v>
      </c>
      <c r="K3951">
        <v>10</v>
      </c>
      <c r="L3951">
        <v>9</v>
      </c>
      <c r="M3951">
        <v>0</v>
      </c>
      <c r="N3951">
        <v>9</v>
      </c>
      <c r="P3951">
        <f>G3951*I3951/100</f>
        <v>1142.2840000000001</v>
      </c>
      <c r="Q3951">
        <f t="shared" si="38"/>
        <v>105441.60000000001</v>
      </c>
      <c r="R3951">
        <f>K3951/J3951</f>
        <v>1</v>
      </c>
    </row>
    <row r="3952" spans="1:18" x14ac:dyDescent="0.3">
      <c r="A3952">
        <v>49</v>
      </c>
      <c r="B3952">
        <v>1475</v>
      </c>
      <c r="C3952" t="s">
        <v>17</v>
      </c>
      <c r="D3952" t="s">
        <v>18</v>
      </c>
      <c r="E3952">
        <v>97</v>
      </c>
      <c r="F3952" t="s">
        <v>20</v>
      </c>
      <c r="G3952">
        <v>4712.4000000000005</v>
      </c>
      <c r="H3952">
        <v>22710</v>
      </c>
      <c r="I3952">
        <v>20</v>
      </c>
      <c r="J3952">
        <v>20</v>
      </c>
      <c r="K3952">
        <v>4</v>
      </c>
      <c r="L3952">
        <v>3</v>
      </c>
      <c r="M3952">
        <v>1</v>
      </c>
      <c r="N3952">
        <v>3</v>
      </c>
      <c r="P3952">
        <f>G3952*I3952/100</f>
        <v>942.48000000000013</v>
      </c>
      <c r="Q3952">
        <f t="shared" si="38"/>
        <v>56548.800000000003</v>
      </c>
      <c r="R3952">
        <f>K3952/J3952</f>
        <v>0.2</v>
      </c>
    </row>
    <row r="3953" spans="1:18" x14ac:dyDescent="0.3">
      <c r="A3953">
        <v>29</v>
      </c>
      <c r="B3953">
        <v>337</v>
      </c>
      <c r="C3953" t="s">
        <v>17</v>
      </c>
      <c r="D3953" t="s">
        <v>15</v>
      </c>
      <c r="E3953">
        <v>84</v>
      </c>
      <c r="F3953" t="s">
        <v>22</v>
      </c>
      <c r="G3953">
        <v>8308.3000000000011</v>
      </c>
      <c r="H3953">
        <v>22930</v>
      </c>
      <c r="I3953">
        <v>12</v>
      </c>
      <c r="J3953">
        <v>9</v>
      </c>
      <c r="K3953">
        <v>8</v>
      </c>
      <c r="L3953">
        <v>7</v>
      </c>
      <c r="M3953">
        <v>7</v>
      </c>
      <c r="N3953">
        <v>7</v>
      </c>
      <c r="P3953">
        <f>G3953*I3953/100</f>
        <v>996.99600000000009</v>
      </c>
      <c r="Q3953">
        <f t="shared" si="38"/>
        <v>99699.6</v>
      </c>
      <c r="R3953">
        <f>K3953/J3953</f>
        <v>0.88888888888888884</v>
      </c>
    </row>
    <row r="3954" spans="1:18" x14ac:dyDescent="0.3">
      <c r="A3954">
        <v>54</v>
      </c>
      <c r="B3954">
        <v>971</v>
      </c>
      <c r="C3954" t="s">
        <v>17</v>
      </c>
      <c r="D3954" t="s">
        <v>15</v>
      </c>
      <c r="E3954">
        <v>54</v>
      </c>
      <c r="F3954" t="s">
        <v>25</v>
      </c>
      <c r="G3954">
        <v>19060.800000000003</v>
      </c>
      <c r="H3954">
        <v>5652</v>
      </c>
      <c r="I3954">
        <v>19</v>
      </c>
      <c r="J3954">
        <v>29</v>
      </c>
      <c r="K3954">
        <v>20</v>
      </c>
      <c r="L3954">
        <v>7</v>
      </c>
      <c r="M3954">
        <v>12</v>
      </c>
      <c r="N3954">
        <v>7</v>
      </c>
      <c r="P3954">
        <f>G3954*I3954/100</f>
        <v>3621.5520000000006</v>
      </c>
      <c r="Q3954">
        <f t="shared" si="38"/>
        <v>228729.60000000003</v>
      </c>
      <c r="R3954">
        <f>K3954/J3954</f>
        <v>0.68965517241379315</v>
      </c>
    </row>
    <row r="3955" spans="1:18" x14ac:dyDescent="0.3">
      <c r="A3955">
        <v>58</v>
      </c>
      <c r="B3955">
        <v>1055</v>
      </c>
      <c r="C3955" t="s">
        <v>17</v>
      </c>
      <c r="D3955" t="s">
        <v>15</v>
      </c>
      <c r="E3955">
        <v>76</v>
      </c>
      <c r="F3955" t="s">
        <v>25</v>
      </c>
      <c r="G3955">
        <v>21671.100000000002</v>
      </c>
      <c r="H3955">
        <v>22456</v>
      </c>
      <c r="I3955">
        <v>21</v>
      </c>
      <c r="J3955">
        <v>32</v>
      </c>
      <c r="K3955">
        <v>9</v>
      </c>
      <c r="L3955">
        <v>8</v>
      </c>
      <c r="M3955">
        <v>1</v>
      </c>
      <c r="N3955">
        <v>5</v>
      </c>
      <c r="P3955">
        <f>G3955*I3955/100</f>
        <v>4550.9310000000005</v>
      </c>
      <c r="Q3955">
        <f t="shared" si="38"/>
        <v>260053.2</v>
      </c>
      <c r="R3955">
        <f>K3955/J3955</f>
        <v>0.28125</v>
      </c>
    </row>
    <row r="3956" spans="1:18" x14ac:dyDescent="0.3">
      <c r="A3956">
        <v>55</v>
      </c>
      <c r="B3956">
        <v>1136</v>
      </c>
      <c r="C3956" t="s">
        <v>17</v>
      </c>
      <c r="D3956" t="s">
        <v>18</v>
      </c>
      <c r="E3956">
        <v>81</v>
      </c>
      <c r="F3956" t="s">
        <v>25</v>
      </c>
      <c r="G3956">
        <v>16205.2</v>
      </c>
      <c r="H3956">
        <v>12414</v>
      </c>
      <c r="I3956">
        <v>13</v>
      </c>
      <c r="J3956">
        <v>31</v>
      </c>
      <c r="K3956">
        <v>7</v>
      </c>
      <c r="L3956">
        <v>7</v>
      </c>
      <c r="M3956">
        <v>0</v>
      </c>
      <c r="N3956">
        <v>0</v>
      </c>
      <c r="P3956">
        <f>G3956*I3956/100</f>
        <v>2106.6759999999999</v>
      </c>
      <c r="Q3956">
        <f t="shared" si="38"/>
        <v>194462.40000000002</v>
      </c>
      <c r="R3956">
        <f>K3956/J3956</f>
        <v>0.22580645161290322</v>
      </c>
    </row>
    <row r="3957" spans="1:18" x14ac:dyDescent="0.3">
      <c r="A3957">
        <v>36</v>
      </c>
      <c r="B3957">
        <v>1174</v>
      </c>
      <c r="C3957" t="s">
        <v>14</v>
      </c>
      <c r="D3957" t="s">
        <v>15</v>
      </c>
      <c r="E3957">
        <v>99</v>
      </c>
      <c r="F3957" t="s">
        <v>16</v>
      </c>
      <c r="G3957">
        <v>10205.800000000001</v>
      </c>
      <c r="H3957">
        <v>20763</v>
      </c>
      <c r="I3957">
        <v>16</v>
      </c>
      <c r="J3957">
        <v>15</v>
      </c>
      <c r="K3957">
        <v>5</v>
      </c>
      <c r="L3957">
        <v>4</v>
      </c>
      <c r="M3957">
        <v>0</v>
      </c>
      <c r="N3957">
        <v>1</v>
      </c>
      <c r="P3957">
        <f>G3957*I3957/100</f>
        <v>1632.9280000000001</v>
      </c>
      <c r="Q3957">
        <f t="shared" si="38"/>
        <v>122469.6</v>
      </c>
      <c r="R3957">
        <f>K3957/J3957</f>
        <v>0.33333333333333331</v>
      </c>
    </row>
    <row r="3958" spans="1:18" x14ac:dyDescent="0.3">
      <c r="A3958">
        <v>31</v>
      </c>
      <c r="B3958">
        <v>667</v>
      </c>
      <c r="C3958" t="s">
        <v>14</v>
      </c>
      <c r="D3958" t="s">
        <v>15</v>
      </c>
      <c r="E3958">
        <v>50</v>
      </c>
      <c r="F3958" t="s">
        <v>24</v>
      </c>
      <c r="G3958">
        <v>1494.9</v>
      </c>
      <c r="H3958">
        <v>16154</v>
      </c>
      <c r="I3958">
        <v>12</v>
      </c>
      <c r="J3958">
        <v>1</v>
      </c>
      <c r="K3958">
        <v>1</v>
      </c>
      <c r="L3958">
        <v>0</v>
      </c>
      <c r="M3958">
        <v>0</v>
      </c>
      <c r="N3958">
        <v>0</v>
      </c>
      <c r="P3958">
        <f>G3958*I3958/100</f>
        <v>179.38800000000003</v>
      </c>
      <c r="Q3958">
        <f t="shared" si="38"/>
        <v>17938.800000000003</v>
      </c>
      <c r="R3958">
        <f>K3958/J3958</f>
        <v>1</v>
      </c>
    </row>
    <row r="3959" spans="1:18" x14ac:dyDescent="0.3">
      <c r="A3959">
        <v>30</v>
      </c>
      <c r="B3959">
        <v>855</v>
      </c>
      <c r="C3959" t="s">
        <v>14</v>
      </c>
      <c r="D3959" t="s">
        <v>15</v>
      </c>
      <c r="E3959">
        <v>73</v>
      </c>
      <c r="F3959" t="s">
        <v>16</v>
      </c>
      <c r="G3959">
        <v>5256.9000000000005</v>
      </c>
      <c r="H3959">
        <v>12761</v>
      </c>
      <c r="I3959">
        <v>14</v>
      </c>
      <c r="J3959">
        <v>8</v>
      </c>
      <c r="K3959">
        <v>3</v>
      </c>
      <c r="L3959">
        <v>2</v>
      </c>
      <c r="M3959">
        <v>0</v>
      </c>
      <c r="N3959">
        <v>2</v>
      </c>
      <c r="P3959">
        <f>G3959*I3959/100</f>
        <v>735.96600000000001</v>
      </c>
      <c r="Q3959">
        <f t="shared" si="38"/>
        <v>63082.8</v>
      </c>
      <c r="R3959">
        <f>K3959/J3959</f>
        <v>0.375</v>
      </c>
    </row>
    <row r="3960" spans="1:18" x14ac:dyDescent="0.3">
      <c r="A3960">
        <v>31</v>
      </c>
      <c r="B3960">
        <v>182</v>
      </c>
      <c r="C3960" t="s">
        <v>17</v>
      </c>
      <c r="D3960" t="s">
        <v>15</v>
      </c>
      <c r="E3960">
        <v>93</v>
      </c>
      <c r="F3960" t="s">
        <v>25</v>
      </c>
      <c r="G3960">
        <v>18064.2</v>
      </c>
      <c r="H3960">
        <v>8847</v>
      </c>
      <c r="I3960">
        <v>11</v>
      </c>
      <c r="J3960">
        <v>9</v>
      </c>
      <c r="K3960">
        <v>3</v>
      </c>
      <c r="L3960">
        <v>2</v>
      </c>
      <c r="M3960">
        <v>1</v>
      </c>
      <c r="N3960">
        <v>0</v>
      </c>
      <c r="P3960">
        <f>G3960*I3960/100</f>
        <v>1987.0620000000001</v>
      </c>
      <c r="Q3960">
        <f t="shared" si="38"/>
        <v>216770.40000000002</v>
      </c>
      <c r="R3960">
        <f>K3960/J3960</f>
        <v>0.33333333333333331</v>
      </c>
    </row>
    <row r="3961" spans="1:18" x14ac:dyDescent="0.3">
      <c r="A3961">
        <v>34</v>
      </c>
      <c r="B3961">
        <v>560</v>
      </c>
      <c r="C3961" t="s">
        <v>17</v>
      </c>
      <c r="D3961" t="s">
        <v>18</v>
      </c>
      <c r="E3961">
        <v>91</v>
      </c>
      <c r="F3961" t="s">
        <v>19</v>
      </c>
      <c r="G3961">
        <v>3295.6000000000004</v>
      </c>
      <c r="H3961">
        <v>20284</v>
      </c>
      <c r="I3961">
        <v>14</v>
      </c>
      <c r="J3961">
        <v>10</v>
      </c>
      <c r="K3961">
        <v>4</v>
      </c>
      <c r="L3961">
        <v>3</v>
      </c>
      <c r="M3961">
        <v>1</v>
      </c>
      <c r="N3961">
        <v>3</v>
      </c>
      <c r="P3961">
        <f>G3961*I3961/100</f>
        <v>461.38400000000007</v>
      </c>
      <c r="Q3961">
        <f t="shared" si="38"/>
        <v>39547.200000000004</v>
      </c>
      <c r="R3961">
        <f>K3961/J3961</f>
        <v>0.4</v>
      </c>
    </row>
    <row r="3962" spans="1:18" x14ac:dyDescent="0.3">
      <c r="A3962">
        <v>31</v>
      </c>
      <c r="B3962">
        <v>202</v>
      </c>
      <c r="C3962" t="s">
        <v>17</v>
      </c>
      <c r="D3962" t="s">
        <v>15</v>
      </c>
      <c r="E3962">
        <v>34</v>
      </c>
      <c r="F3962" t="s">
        <v>19</v>
      </c>
      <c r="G3962">
        <v>1387.1000000000001</v>
      </c>
      <c r="H3962">
        <v>22262</v>
      </c>
      <c r="I3962">
        <v>12</v>
      </c>
      <c r="J3962">
        <v>1</v>
      </c>
      <c r="K3962">
        <v>1</v>
      </c>
      <c r="L3962">
        <v>0</v>
      </c>
      <c r="M3962">
        <v>0</v>
      </c>
      <c r="N3962">
        <v>0</v>
      </c>
      <c r="P3962">
        <f>G3962*I3962/100</f>
        <v>166.452</v>
      </c>
      <c r="Q3962">
        <f t="shared" si="38"/>
        <v>16645.2</v>
      </c>
      <c r="R3962">
        <f>K3962/J3962</f>
        <v>1</v>
      </c>
    </row>
    <row r="3963" spans="1:18" x14ac:dyDescent="0.3">
      <c r="A3963">
        <v>27</v>
      </c>
      <c r="B3963">
        <v>1377</v>
      </c>
      <c r="C3963" t="s">
        <v>17</v>
      </c>
      <c r="D3963" t="s">
        <v>18</v>
      </c>
      <c r="E3963">
        <v>91</v>
      </c>
      <c r="F3963" t="s">
        <v>20</v>
      </c>
      <c r="G3963">
        <v>2308.9</v>
      </c>
      <c r="H3963">
        <v>7679</v>
      </c>
      <c r="I3963">
        <v>14</v>
      </c>
      <c r="J3963">
        <v>6</v>
      </c>
      <c r="K3963">
        <v>5</v>
      </c>
      <c r="L3963">
        <v>0</v>
      </c>
      <c r="M3963">
        <v>1</v>
      </c>
      <c r="N3963">
        <v>4</v>
      </c>
      <c r="P3963">
        <f>G3963*I3963/100</f>
        <v>323.24600000000004</v>
      </c>
      <c r="Q3963">
        <f t="shared" si="38"/>
        <v>27706.800000000003</v>
      </c>
      <c r="R3963">
        <f>K3963/J3963</f>
        <v>0.83333333333333337</v>
      </c>
    </row>
    <row r="3964" spans="1:18" x14ac:dyDescent="0.3">
      <c r="A3964">
        <v>36</v>
      </c>
      <c r="B3964">
        <v>172</v>
      </c>
      <c r="C3964" t="s">
        <v>17</v>
      </c>
      <c r="D3964" t="s">
        <v>18</v>
      </c>
      <c r="E3964">
        <v>37</v>
      </c>
      <c r="F3964" t="s">
        <v>20</v>
      </c>
      <c r="G3964">
        <v>6391.0000000000009</v>
      </c>
      <c r="H3964">
        <v>22604</v>
      </c>
      <c r="I3964">
        <v>16</v>
      </c>
      <c r="J3964">
        <v>10</v>
      </c>
      <c r="K3964">
        <v>10</v>
      </c>
      <c r="L3964">
        <v>4</v>
      </c>
      <c r="M3964">
        <v>1</v>
      </c>
      <c r="N3964">
        <v>8</v>
      </c>
      <c r="P3964">
        <f>G3964*I3964/100</f>
        <v>1022.5600000000002</v>
      </c>
      <c r="Q3964">
        <f t="shared" si="38"/>
        <v>76692.000000000015</v>
      </c>
      <c r="R3964">
        <f>K3964/J3964</f>
        <v>1</v>
      </c>
    </row>
    <row r="3965" spans="1:18" x14ac:dyDescent="0.3">
      <c r="A3965">
        <v>36</v>
      </c>
      <c r="B3965">
        <v>329</v>
      </c>
      <c r="C3965" t="s">
        <v>14</v>
      </c>
      <c r="D3965" t="s">
        <v>15</v>
      </c>
      <c r="E3965">
        <v>98</v>
      </c>
      <c r="F3965" t="s">
        <v>16</v>
      </c>
      <c r="G3965">
        <v>6211.7000000000007</v>
      </c>
      <c r="H3965">
        <v>13494</v>
      </c>
      <c r="I3965">
        <v>13</v>
      </c>
      <c r="J3965">
        <v>11</v>
      </c>
      <c r="K3965">
        <v>3</v>
      </c>
      <c r="L3965">
        <v>2</v>
      </c>
      <c r="M3965">
        <v>0</v>
      </c>
      <c r="N3965">
        <v>2</v>
      </c>
      <c r="P3965">
        <f>G3965*I3965/100</f>
        <v>807.52100000000007</v>
      </c>
      <c r="Q3965">
        <f t="shared" si="38"/>
        <v>74540.400000000009</v>
      </c>
      <c r="R3965">
        <f>K3965/J3965</f>
        <v>0.27272727272727271</v>
      </c>
    </row>
    <row r="3966" spans="1:18" x14ac:dyDescent="0.3">
      <c r="A3966">
        <v>47</v>
      </c>
      <c r="B3966">
        <v>465</v>
      </c>
      <c r="C3966" t="s">
        <v>17</v>
      </c>
      <c r="D3966" t="s">
        <v>18</v>
      </c>
      <c r="E3966">
        <v>74</v>
      </c>
      <c r="F3966" t="s">
        <v>19</v>
      </c>
      <c r="G3966">
        <v>3762.0000000000005</v>
      </c>
      <c r="H3966">
        <v>10205</v>
      </c>
      <c r="I3966">
        <v>12</v>
      </c>
      <c r="J3966">
        <v>17</v>
      </c>
      <c r="K3966">
        <v>6</v>
      </c>
      <c r="L3966">
        <v>5</v>
      </c>
      <c r="M3966">
        <v>1</v>
      </c>
      <c r="N3966">
        <v>2</v>
      </c>
      <c r="P3966">
        <f>G3966*I3966/100</f>
        <v>451.44000000000005</v>
      </c>
      <c r="Q3966">
        <f t="shared" si="38"/>
        <v>45144.000000000007</v>
      </c>
      <c r="R3966">
        <f>K3966/J3966</f>
        <v>0.35294117647058826</v>
      </c>
    </row>
    <row r="3967" spans="1:18" x14ac:dyDescent="0.3">
      <c r="A3967">
        <v>25</v>
      </c>
      <c r="B3967">
        <v>383</v>
      </c>
      <c r="C3967" t="s">
        <v>14</v>
      </c>
      <c r="D3967" t="s">
        <v>18</v>
      </c>
      <c r="E3967">
        <v>68</v>
      </c>
      <c r="F3967" t="s">
        <v>24</v>
      </c>
      <c r="G3967">
        <v>4840</v>
      </c>
      <c r="H3967">
        <v>15182</v>
      </c>
      <c r="I3967">
        <v>12</v>
      </c>
      <c r="J3967">
        <v>6</v>
      </c>
      <c r="K3967">
        <v>3</v>
      </c>
      <c r="L3967">
        <v>2</v>
      </c>
      <c r="M3967">
        <v>2</v>
      </c>
      <c r="N3967">
        <v>2</v>
      </c>
      <c r="P3967">
        <f>G3967*I3967/100</f>
        <v>580.79999999999995</v>
      </c>
      <c r="Q3967">
        <f t="shared" si="38"/>
        <v>58080</v>
      </c>
      <c r="R3967">
        <f>K3967/J3967</f>
        <v>0.5</v>
      </c>
    </row>
    <row r="3968" spans="1:18" x14ac:dyDescent="0.3">
      <c r="A3968">
        <v>37</v>
      </c>
      <c r="B3968">
        <v>1413</v>
      </c>
      <c r="C3968" t="s">
        <v>17</v>
      </c>
      <c r="D3968" t="s">
        <v>18</v>
      </c>
      <c r="E3968">
        <v>84</v>
      </c>
      <c r="F3968" t="s">
        <v>20</v>
      </c>
      <c r="G3968">
        <v>3850.0000000000005</v>
      </c>
      <c r="H3968">
        <v>25470</v>
      </c>
      <c r="I3968">
        <v>14</v>
      </c>
      <c r="J3968">
        <v>7</v>
      </c>
      <c r="K3968">
        <v>6</v>
      </c>
      <c r="L3968">
        <v>5</v>
      </c>
      <c r="M3968">
        <v>1</v>
      </c>
      <c r="N3968">
        <v>3</v>
      </c>
      <c r="P3968">
        <f>G3968*I3968/100</f>
        <v>539.00000000000011</v>
      </c>
      <c r="Q3968">
        <f t="shared" si="38"/>
        <v>46200.000000000007</v>
      </c>
      <c r="R3968">
        <f>K3968/J3968</f>
        <v>0.8571428571428571</v>
      </c>
    </row>
    <row r="3969" spans="1:18" x14ac:dyDescent="0.3">
      <c r="A3969">
        <v>56</v>
      </c>
      <c r="B3969">
        <v>1255</v>
      </c>
      <c r="C3969" t="s">
        <v>17</v>
      </c>
      <c r="D3969" t="s">
        <v>15</v>
      </c>
      <c r="E3969">
        <v>90</v>
      </c>
      <c r="F3969" t="s">
        <v>19</v>
      </c>
      <c r="G3969">
        <v>2272.6000000000004</v>
      </c>
      <c r="H3969">
        <v>10494</v>
      </c>
      <c r="I3969">
        <v>22</v>
      </c>
      <c r="J3969">
        <v>5</v>
      </c>
      <c r="K3969">
        <v>3</v>
      </c>
      <c r="L3969">
        <v>2</v>
      </c>
      <c r="M3969">
        <v>1</v>
      </c>
      <c r="N3969">
        <v>0</v>
      </c>
      <c r="P3969">
        <f>G3969*I3969/100</f>
        <v>499.97200000000009</v>
      </c>
      <c r="Q3969">
        <f t="shared" si="38"/>
        <v>27271.200000000004</v>
      </c>
      <c r="R3969">
        <f>K3969/J3969</f>
        <v>0.6</v>
      </c>
    </row>
    <row r="3970" spans="1:18" x14ac:dyDescent="0.3">
      <c r="A3970">
        <v>47</v>
      </c>
      <c r="B3970">
        <v>359</v>
      </c>
      <c r="C3970" t="s">
        <v>17</v>
      </c>
      <c r="D3970" t="s">
        <v>15</v>
      </c>
      <c r="E3970">
        <v>82</v>
      </c>
      <c r="F3970" t="s">
        <v>25</v>
      </c>
      <c r="G3970">
        <v>18885.900000000001</v>
      </c>
      <c r="H3970">
        <v>26703</v>
      </c>
      <c r="I3970">
        <v>19</v>
      </c>
      <c r="J3970">
        <v>26</v>
      </c>
      <c r="K3970">
        <v>20</v>
      </c>
      <c r="L3970">
        <v>17</v>
      </c>
      <c r="M3970">
        <v>5</v>
      </c>
      <c r="N3970">
        <v>6</v>
      </c>
      <c r="P3970">
        <f>G3970*I3970/100</f>
        <v>3588.3210000000004</v>
      </c>
      <c r="Q3970">
        <f t="shared" si="38"/>
        <v>226630.80000000002</v>
      </c>
      <c r="R3970">
        <f>K3970/J3970</f>
        <v>0.76923076923076927</v>
      </c>
    </row>
    <row r="3971" spans="1:18" x14ac:dyDescent="0.3">
      <c r="A3971">
        <v>24</v>
      </c>
      <c r="B3971">
        <v>1476</v>
      </c>
      <c r="C3971" t="s">
        <v>14</v>
      </c>
      <c r="D3971" t="s">
        <v>15</v>
      </c>
      <c r="E3971">
        <v>42</v>
      </c>
      <c r="F3971" t="s">
        <v>16</v>
      </c>
      <c r="G3971">
        <v>4578.2000000000007</v>
      </c>
      <c r="H3971">
        <v>15211</v>
      </c>
      <c r="I3971">
        <v>12</v>
      </c>
      <c r="J3971">
        <v>5</v>
      </c>
      <c r="K3971">
        <v>5</v>
      </c>
      <c r="L3971">
        <v>4</v>
      </c>
      <c r="M3971">
        <v>0</v>
      </c>
      <c r="N3971">
        <v>3</v>
      </c>
      <c r="P3971">
        <f>G3971*I3971/100</f>
        <v>549.38400000000013</v>
      </c>
      <c r="Q3971">
        <f t="shared" ref="Q3971:Q4034" si="39">G3971*12</f>
        <v>54938.400000000009</v>
      </c>
      <c r="R3971">
        <f>K3971/J3971</f>
        <v>1</v>
      </c>
    </row>
    <row r="3972" spans="1:18" x14ac:dyDescent="0.3">
      <c r="A3972">
        <v>32</v>
      </c>
      <c r="B3972">
        <v>601</v>
      </c>
      <c r="C3972" t="s">
        <v>14</v>
      </c>
      <c r="D3972" t="s">
        <v>18</v>
      </c>
      <c r="E3972">
        <v>97</v>
      </c>
      <c r="F3972" t="s">
        <v>16</v>
      </c>
      <c r="G3972">
        <v>10124.400000000001</v>
      </c>
      <c r="H3972">
        <v>23343</v>
      </c>
      <c r="I3972">
        <v>12</v>
      </c>
      <c r="J3972">
        <v>7</v>
      </c>
      <c r="K3972">
        <v>4</v>
      </c>
      <c r="L3972">
        <v>3</v>
      </c>
      <c r="M3972">
        <v>0</v>
      </c>
      <c r="N3972">
        <v>3</v>
      </c>
      <c r="P3972">
        <f>G3972*I3972/100</f>
        <v>1214.9280000000001</v>
      </c>
      <c r="Q3972">
        <f t="shared" si="39"/>
        <v>121492.80000000002</v>
      </c>
      <c r="R3972">
        <f>K3972/J3972</f>
        <v>0.5714285714285714</v>
      </c>
    </row>
    <row r="3973" spans="1:18" x14ac:dyDescent="0.3">
      <c r="A3973">
        <v>34</v>
      </c>
      <c r="B3973">
        <v>401</v>
      </c>
      <c r="C3973" t="s">
        <v>17</v>
      </c>
      <c r="D3973" t="s">
        <v>15</v>
      </c>
      <c r="E3973">
        <v>86</v>
      </c>
      <c r="F3973" t="s">
        <v>20</v>
      </c>
      <c r="G3973">
        <v>3623.4</v>
      </c>
      <c r="H3973">
        <v>3708</v>
      </c>
      <c r="I3973">
        <v>17</v>
      </c>
      <c r="J3973">
        <v>7</v>
      </c>
      <c r="K3973">
        <v>5</v>
      </c>
      <c r="L3973">
        <v>4</v>
      </c>
      <c r="M3973">
        <v>0</v>
      </c>
      <c r="N3973">
        <v>2</v>
      </c>
      <c r="P3973">
        <f>G3973*I3973/100</f>
        <v>615.97800000000007</v>
      </c>
      <c r="Q3973">
        <f t="shared" si="39"/>
        <v>43480.800000000003</v>
      </c>
      <c r="R3973">
        <f>K3973/J3973</f>
        <v>0.7142857142857143</v>
      </c>
    </row>
    <row r="3974" spans="1:18" x14ac:dyDescent="0.3">
      <c r="A3974">
        <v>41</v>
      </c>
      <c r="B3974">
        <v>1283</v>
      </c>
      <c r="C3974" t="s">
        <v>17</v>
      </c>
      <c r="D3974" t="s">
        <v>18</v>
      </c>
      <c r="E3974">
        <v>90</v>
      </c>
      <c r="F3974" t="s">
        <v>19</v>
      </c>
      <c r="G3974">
        <v>2339.7000000000003</v>
      </c>
      <c r="H3974">
        <v>5561</v>
      </c>
      <c r="I3974">
        <v>12</v>
      </c>
      <c r="J3974">
        <v>7</v>
      </c>
      <c r="K3974">
        <v>4</v>
      </c>
      <c r="L3974">
        <v>2</v>
      </c>
      <c r="M3974">
        <v>0</v>
      </c>
      <c r="N3974">
        <v>3</v>
      </c>
      <c r="P3974">
        <f>G3974*I3974/100</f>
        <v>280.76400000000001</v>
      </c>
      <c r="Q3974">
        <f t="shared" si="39"/>
        <v>28076.400000000001</v>
      </c>
      <c r="R3974">
        <f>K3974/J3974</f>
        <v>0.5714285714285714</v>
      </c>
    </row>
    <row r="3975" spans="1:18" x14ac:dyDescent="0.3">
      <c r="A3975">
        <v>40</v>
      </c>
      <c r="B3975">
        <v>663</v>
      </c>
      <c r="C3975" t="s">
        <v>17</v>
      </c>
      <c r="D3975" t="s">
        <v>18</v>
      </c>
      <c r="E3975">
        <v>81</v>
      </c>
      <c r="F3975" t="s">
        <v>20</v>
      </c>
      <c r="G3975">
        <v>4372.5</v>
      </c>
      <c r="H3975">
        <v>23099</v>
      </c>
      <c r="I3975">
        <v>11</v>
      </c>
      <c r="J3975">
        <v>11</v>
      </c>
      <c r="K3975">
        <v>8</v>
      </c>
      <c r="L3975">
        <v>7</v>
      </c>
      <c r="M3975">
        <v>0</v>
      </c>
      <c r="N3975">
        <v>7</v>
      </c>
      <c r="P3975">
        <f>G3975*I3975/100</f>
        <v>480.97500000000002</v>
      </c>
      <c r="Q3975">
        <f t="shared" si="39"/>
        <v>52470</v>
      </c>
      <c r="R3975">
        <f>K3975/J3975</f>
        <v>0.72727272727272729</v>
      </c>
    </row>
    <row r="3976" spans="1:18" x14ac:dyDescent="0.3">
      <c r="A3976">
        <v>31</v>
      </c>
      <c r="B3976">
        <v>326</v>
      </c>
      <c r="C3976" t="s">
        <v>14</v>
      </c>
      <c r="D3976" t="s">
        <v>18</v>
      </c>
      <c r="E3976">
        <v>31</v>
      </c>
      <c r="F3976" t="s">
        <v>16</v>
      </c>
      <c r="G3976">
        <v>11872.300000000001</v>
      </c>
      <c r="H3976">
        <v>8386</v>
      </c>
      <c r="I3976">
        <v>18</v>
      </c>
      <c r="J3976">
        <v>13</v>
      </c>
      <c r="K3976">
        <v>13</v>
      </c>
      <c r="L3976">
        <v>7</v>
      </c>
      <c r="M3976">
        <v>9</v>
      </c>
      <c r="N3976">
        <v>9</v>
      </c>
      <c r="P3976">
        <f>G3976*I3976/100</f>
        <v>2137.0140000000001</v>
      </c>
      <c r="Q3976">
        <f t="shared" si="39"/>
        <v>142467.6</v>
      </c>
      <c r="R3976">
        <f>K3976/J3976</f>
        <v>1</v>
      </c>
    </row>
    <row r="3977" spans="1:18" x14ac:dyDescent="0.3">
      <c r="A3977">
        <v>46</v>
      </c>
      <c r="B3977">
        <v>377</v>
      </c>
      <c r="C3977" t="s">
        <v>14</v>
      </c>
      <c r="D3977" t="s">
        <v>18</v>
      </c>
      <c r="E3977">
        <v>52</v>
      </c>
      <c r="F3977" t="s">
        <v>16</v>
      </c>
      <c r="G3977">
        <v>11105.6</v>
      </c>
      <c r="H3977">
        <v>15986</v>
      </c>
      <c r="I3977">
        <v>11</v>
      </c>
      <c r="J3977">
        <v>28</v>
      </c>
      <c r="K3977">
        <v>7</v>
      </c>
      <c r="L3977">
        <v>7</v>
      </c>
      <c r="M3977">
        <v>4</v>
      </c>
      <c r="N3977">
        <v>3</v>
      </c>
      <c r="P3977">
        <f>G3977*I3977/100</f>
        <v>1221.616</v>
      </c>
      <c r="Q3977">
        <f t="shared" si="39"/>
        <v>133267.20000000001</v>
      </c>
      <c r="R3977">
        <f>K3977/J3977</f>
        <v>0.25</v>
      </c>
    </row>
    <row r="3978" spans="1:18" x14ac:dyDescent="0.3">
      <c r="A3978">
        <v>39</v>
      </c>
      <c r="B3978">
        <v>592</v>
      </c>
      <c r="C3978" t="s">
        <v>17</v>
      </c>
      <c r="D3978" t="s">
        <v>15</v>
      </c>
      <c r="E3978">
        <v>54</v>
      </c>
      <c r="F3978" t="s">
        <v>20</v>
      </c>
      <c r="G3978">
        <v>4010.6000000000004</v>
      </c>
      <c r="H3978">
        <v>17181</v>
      </c>
      <c r="I3978">
        <v>23</v>
      </c>
      <c r="J3978">
        <v>11</v>
      </c>
      <c r="K3978">
        <v>1</v>
      </c>
      <c r="L3978">
        <v>0</v>
      </c>
      <c r="M3978">
        <v>0</v>
      </c>
      <c r="N3978">
        <v>0</v>
      </c>
      <c r="P3978">
        <f>G3978*I3978/100</f>
        <v>922.43799999999999</v>
      </c>
      <c r="Q3978">
        <f t="shared" si="39"/>
        <v>48127.200000000004</v>
      </c>
      <c r="R3978">
        <f>K3978/J3978</f>
        <v>9.0909090909090912E-2</v>
      </c>
    </row>
    <row r="3979" spans="1:18" x14ac:dyDescent="0.3">
      <c r="A3979">
        <v>31</v>
      </c>
      <c r="B3979">
        <v>1445</v>
      </c>
      <c r="C3979" t="s">
        <v>17</v>
      </c>
      <c r="D3979" t="s">
        <v>15</v>
      </c>
      <c r="E3979">
        <v>100</v>
      </c>
      <c r="F3979" t="s">
        <v>21</v>
      </c>
      <c r="G3979">
        <v>8190.6</v>
      </c>
      <c r="H3979">
        <v>8931</v>
      </c>
      <c r="I3979">
        <v>11</v>
      </c>
      <c r="J3979">
        <v>10</v>
      </c>
      <c r="K3979">
        <v>10</v>
      </c>
      <c r="L3979">
        <v>8</v>
      </c>
      <c r="M3979">
        <v>4</v>
      </c>
      <c r="N3979">
        <v>7</v>
      </c>
      <c r="P3979">
        <f>G3979*I3979/100</f>
        <v>900.96600000000001</v>
      </c>
      <c r="Q3979">
        <f t="shared" si="39"/>
        <v>98287.200000000012</v>
      </c>
      <c r="R3979">
        <f>K3979/J3979</f>
        <v>1</v>
      </c>
    </row>
    <row r="3980" spans="1:18" x14ac:dyDescent="0.3">
      <c r="A3980">
        <v>45</v>
      </c>
      <c r="B3980">
        <v>1038</v>
      </c>
      <c r="C3980" t="s">
        <v>17</v>
      </c>
      <c r="D3980" t="s">
        <v>18</v>
      </c>
      <c r="E3980">
        <v>95</v>
      </c>
      <c r="F3980" t="s">
        <v>22</v>
      </c>
      <c r="G3980">
        <v>11936.1</v>
      </c>
      <c r="H3980">
        <v>19863</v>
      </c>
      <c r="I3980">
        <v>18</v>
      </c>
      <c r="J3980">
        <v>24</v>
      </c>
      <c r="K3980">
        <v>7</v>
      </c>
      <c r="L3980">
        <v>7</v>
      </c>
      <c r="M3980">
        <v>0</v>
      </c>
      <c r="N3980">
        <v>7</v>
      </c>
      <c r="P3980">
        <f>G3980*I3980/100</f>
        <v>2148.498</v>
      </c>
      <c r="Q3980">
        <f t="shared" si="39"/>
        <v>143233.20000000001</v>
      </c>
      <c r="R3980">
        <f>K3980/J3980</f>
        <v>0.29166666666666669</v>
      </c>
    </row>
    <row r="3981" spans="1:18" x14ac:dyDescent="0.3">
      <c r="A3981">
        <v>31</v>
      </c>
      <c r="B3981">
        <v>1398</v>
      </c>
      <c r="C3981" t="s">
        <v>26</v>
      </c>
      <c r="D3981" t="s">
        <v>15</v>
      </c>
      <c r="E3981">
        <v>96</v>
      </c>
      <c r="F3981" t="s">
        <v>26</v>
      </c>
      <c r="G3981">
        <v>2319.9</v>
      </c>
      <c r="H3981">
        <v>24609</v>
      </c>
      <c r="I3981">
        <v>18</v>
      </c>
      <c r="J3981">
        <v>8</v>
      </c>
      <c r="K3981">
        <v>3</v>
      </c>
      <c r="L3981">
        <v>2</v>
      </c>
      <c r="M3981">
        <v>0</v>
      </c>
      <c r="N3981">
        <v>2</v>
      </c>
      <c r="P3981">
        <f>G3981*I3981/100</f>
        <v>417.58200000000005</v>
      </c>
      <c r="Q3981">
        <f t="shared" si="39"/>
        <v>27838.800000000003</v>
      </c>
      <c r="R3981">
        <f>K3981/J3981</f>
        <v>0.375</v>
      </c>
    </row>
    <row r="3982" spans="1:18" x14ac:dyDescent="0.3">
      <c r="A3982">
        <v>31</v>
      </c>
      <c r="B3982">
        <v>523</v>
      </c>
      <c r="C3982" t="s">
        <v>17</v>
      </c>
      <c r="D3982" t="s">
        <v>18</v>
      </c>
      <c r="E3982">
        <v>94</v>
      </c>
      <c r="F3982" t="s">
        <v>20</v>
      </c>
      <c r="G3982">
        <v>4094.2000000000003</v>
      </c>
      <c r="H3982">
        <v>21081</v>
      </c>
      <c r="I3982">
        <v>13</v>
      </c>
      <c r="J3982">
        <v>7</v>
      </c>
      <c r="K3982">
        <v>2</v>
      </c>
      <c r="L3982">
        <v>2</v>
      </c>
      <c r="M3982">
        <v>2</v>
      </c>
      <c r="N3982">
        <v>2</v>
      </c>
      <c r="P3982">
        <f>G3982*I3982/100</f>
        <v>532.24600000000009</v>
      </c>
      <c r="Q3982">
        <f t="shared" si="39"/>
        <v>49130.400000000001</v>
      </c>
      <c r="R3982">
        <f>K3982/J3982</f>
        <v>0.2857142857142857</v>
      </c>
    </row>
    <row r="3983" spans="1:18" x14ac:dyDescent="0.3">
      <c r="A3983">
        <v>45</v>
      </c>
      <c r="B3983">
        <v>1448</v>
      </c>
      <c r="C3983" t="s">
        <v>17</v>
      </c>
      <c r="D3983" t="s">
        <v>18</v>
      </c>
      <c r="E3983">
        <v>55</v>
      </c>
      <c r="F3983" t="s">
        <v>21</v>
      </c>
      <c r="G3983">
        <v>10318</v>
      </c>
      <c r="H3983">
        <v>14720</v>
      </c>
      <c r="I3983">
        <v>18</v>
      </c>
      <c r="J3983">
        <v>10</v>
      </c>
      <c r="K3983">
        <v>3</v>
      </c>
      <c r="L3983">
        <v>1</v>
      </c>
      <c r="M3983">
        <v>1</v>
      </c>
      <c r="N3983">
        <v>2</v>
      </c>
      <c r="P3983">
        <f>G3983*I3983/100</f>
        <v>1857.24</v>
      </c>
      <c r="Q3983">
        <f t="shared" si="39"/>
        <v>123816</v>
      </c>
      <c r="R3983">
        <f>K3983/J3983</f>
        <v>0.3</v>
      </c>
    </row>
    <row r="3984" spans="1:18" x14ac:dyDescent="0.3">
      <c r="A3984">
        <v>48</v>
      </c>
      <c r="B3984">
        <v>1221</v>
      </c>
      <c r="C3984" t="s">
        <v>14</v>
      </c>
      <c r="D3984" t="s">
        <v>18</v>
      </c>
      <c r="E3984">
        <v>96</v>
      </c>
      <c r="F3984" t="s">
        <v>16</v>
      </c>
      <c r="G3984">
        <v>6034.6</v>
      </c>
      <c r="H3984">
        <v>24795</v>
      </c>
      <c r="I3984">
        <v>11</v>
      </c>
      <c r="J3984">
        <v>15</v>
      </c>
      <c r="K3984">
        <v>2</v>
      </c>
      <c r="L3984">
        <v>2</v>
      </c>
      <c r="M3984">
        <v>2</v>
      </c>
      <c r="N3984">
        <v>2</v>
      </c>
      <c r="P3984">
        <f>G3984*I3984/100</f>
        <v>663.80600000000004</v>
      </c>
      <c r="Q3984">
        <f t="shared" si="39"/>
        <v>72415.200000000012</v>
      </c>
      <c r="R3984">
        <f>K3984/J3984</f>
        <v>0.13333333333333333</v>
      </c>
    </row>
    <row r="3985" spans="1:18" x14ac:dyDescent="0.3">
      <c r="A3985">
        <v>34</v>
      </c>
      <c r="B3985">
        <v>1107</v>
      </c>
      <c r="C3985" t="s">
        <v>26</v>
      </c>
      <c r="D3985" t="s">
        <v>15</v>
      </c>
      <c r="E3985">
        <v>52</v>
      </c>
      <c r="F3985" t="s">
        <v>26</v>
      </c>
      <c r="G3985">
        <v>3016.2000000000003</v>
      </c>
      <c r="H3985">
        <v>3072</v>
      </c>
      <c r="I3985">
        <v>15</v>
      </c>
      <c r="J3985">
        <v>2</v>
      </c>
      <c r="K3985">
        <v>2</v>
      </c>
      <c r="L3985">
        <v>2</v>
      </c>
      <c r="M3985">
        <v>2</v>
      </c>
      <c r="N3985">
        <v>2</v>
      </c>
      <c r="P3985">
        <f>G3985*I3985/100</f>
        <v>452.43000000000006</v>
      </c>
      <c r="Q3985">
        <f t="shared" si="39"/>
        <v>36194.400000000001</v>
      </c>
      <c r="R3985">
        <f>K3985/J3985</f>
        <v>1</v>
      </c>
    </row>
    <row r="3986" spans="1:18" x14ac:dyDescent="0.3">
      <c r="A3986">
        <v>40</v>
      </c>
      <c r="B3986">
        <v>218</v>
      </c>
      <c r="C3986" t="s">
        <v>17</v>
      </c>
      <c r="D3986" t="s">
        <v>18</v>
      </c>
      <c r="E3986">
        <v>55</v>
      </c>
      <c r="F3986" t="s">
        <v>25</v>
      </c>
      <c r="G3986">
        <v>15132.7</v>
      </c>
      <c r="H3986">
        <v>25178</v>
      </c>
      <c r="I3986">
        <v>11</v>
      </c>
      <c r="J3986">
        <v>16</v>
      </c>
      <c r="K3986">
        <v>9</v>
      </c>
      <c r="L3986">
        <v>8</v>
      </c>
      <c r="M3986">
        <v>4</v>
      </c>
      <c r="N3986">
        <v>8</v>
      </c>
      <c r="P3986">
        <f>G3986*I3986/100</f>
        <v>1664.5970000000002</v>
      </c>
      <c r="Q3986">
        <f t="shared" si="39"/>
        <v>181592.40000000002</v>
      </c>
      <c r="R3986">
        <f>K3986/J3986</f>
        <v>0.5625</v>
      </c>
    </row>
    <row r="3987" spans="1:18" x14ac:dyDescent="0.3">
      <c r="A3987">
        <v>28</v>
      </c>
      <c r="B3987">
        <v>866</v>
      </c>
      <c r="C3987" t="s">
        <v>14</v>
      </c>
      <c r="D3987" t="s">
        <v>18</v>
      </c>
      <c r="E3987">
        <v>84</v>
      </c>
      <c r="F3987" t="s">
        <v>16</v>
      </c>
      <c r="G3987">
        <v>9309.3000000000011</v>
      </c>
      <c r="H3987">
        <v>23490</v>
      </c>
      <c r="I3987">
        <v>18</v>
      </c>
      <c r="J3987">
        <v>6</v>
      </c>
      <c r="K3987">
        <v>5</v>
      </c>
      <c r="L3987">
        <v>4</v>
      </c>
      <c r="M3987">
        <v>1</v>
      </c>
      <c r="N3987">
        <v>3</v>
      </c>
      <c r="P3987">
        <f>G3987*I3987/100</f>
        <v>1675.6740000000002</v>
      </c>
      <c r="Q3987">
        <f t="shared" si="39"/>
        <v>111711.6</v>
      </c>
      <c r="R3987">
        <f>K3987/J3987</f>
        <v>0.83333333333333337</v>
      </c>
    </row>
    <row r="3988" spans="1:18" x14ac:dyDescent="0.3">
      <c r="A3988">
        <v>44</v>
      </c>
      <c r="B3988">
        <v>981</v>
      </c>
      <c r="C3988" t="s">
        <v>17</v>
      </c>
      <c r="D3988" t="s">
        <v>18</v>
      </c>
      <c r="E3988">
        <v>90</v>
      </c>
      <c r="F3988" t="s">
        <v>20</v>
      </c>
      <c r="G3988">
        <v>3478.2000000000003</v>
      </c>
      <c r="H3988">
        <v>7973</v>
      </c>
      <c r="I3988">
        <v>14</v>
      </c>
      <c r="J3988">
        <v>7</v>
      </c>
      <c r="K3988">
        <v>5</v>
      </c>
      <c r="L3988">
        <v>2</v>
      </c>
      <c r="M3988">
        <v>0</v>
      </c>
      <c r="N3988">
        <v>3</v>
      </c>
      <c r="P3988">
        <f>G3988*I3988/100</f>
        <v>486.94800000000004</v>
      </c>
      <c r="Q3988">
        <f t="shared" si="39"/>
        <v>41738.400000000001</v>
      </c>
      <c r="R3988">
        <f>K3988/J3988</f>
        <v>0.7142857142857143</v>
      </c>
    </row>
    <row r="3989" spans="1:18" x14ac:dyDescent="0.3">
      <c r="A3989">
        <v>53</v>
      </c>
      <c r="B3989">
        <v>447</v>
      </c>
      <c r="C3989" t="s">
        <v>17</v>
      </c>
      <c r="D3989" t="s">
        <v>18</v>
      </c>
      <c r="E3989">
        <v>39</v>
      </c>
      <c r="F3989" t="s">
        <v>25</v>
      </c>
      <c r="G3989">
        <v>18257.800000000003</v>
      </c>
      <c r="H3989">
        <v>19764</v>
      </c>
      <c r="I3989">
        <v>12</v>
      </c>
      <c r="J3989">
        <v>35</v>
      </c>
      <c r="K3989">
        <v>9</v>
      </c>
      <c r="L3989">
        <v>8</v>
      </c>
      <c r="M3989">
        <v>8</v>
      </c>
      <c r="N3989">
        <v>8</v>
      </c>
      <c r="P3989">
        <f>G3989*I3989/100</f>
        <v>2190.9360000000001</v>
      </c>
      <c r="Q3989">
        <f t="shared" si="39"/>
        <v>219093.60000000003</v>
      </c>
      <c r="R3989">
        <f>K3989/J3989</f>
        <v>0.25714285714285712</v>
      </c>
    </row>
    <row r="3990" spans="1:18" x14ac:dyDescent="0.3">
      <c r="A3990">
        <v>49</v>
      </c>
      <c r="B3990">
        <v>1495</v>
      </c>
      <c r="C3990" t="s">
        <v>17</v>
      </c>
      <c r="D3990" t="s">
        <v>18</v>
      </c>
      <c r="E3990">
        <v>96</v>
      </c>
      <c r="F3990" t="s">
        <v>22</v>
      </c>
      <c r="G3990">
        <v>7316.1</v>
      </c>
      <c r="H3990">
        <v>21534</v>
      </c>
      <c r="I3990">
        <v>14</v>
      </c>
      <c r="J3990">
        <v>20</v>
      </c>
      <c r="K3990">
        <v>3</v>
      </c>
      <c r="L3990">
        <v>2</v>
      </c>
      <c r="M3990">
        <v>1</v>
      </c>
      <c r="N3990">
        <v>2</v>
      </c>
      <c r="P3990">
        <f>G3990*I3990/100</f>
        <v>1024.2540000000001</v>
      </c>
      <c r="Q3990">
        <f t="shared" si="39"/>
        <v>87793.200000000012</v>
      </c>
      <c r="R3990">
        <f>K3990/J3990</f>
        <v>0.15</v>
      </c>
    </row>
    <row r="3991" spans="1:18" x14ac:dyDescent="0.3">
      <c r="A3991">
        <v>40</v>
      </c>
      <c r="B3991">
        <v>896</v>
      </c>
      <c r="C3991" t="s">
        <v>17</v>
      </c>
      <c r="D3991" t="s">
        <v>18</v>
      </c>
      <c r="E3991">
        <v>68</v>
      </c>
      <c r="F3991" t="s">
        <v>19</v>
      </c>
      <c r="G3991">
        <v>2579.5</v>
      </c>
      <c r="H3991">
        <v>8045</v>
      </c>
      <c r="I3991">
        <v>14</v>
      </c>
      <c r="J3991">
        <v>8</v>
      </c>
      <c r="K3991">
        <v>3</v>
      </c>
      <c r="L3991">
        <v>1</v>
      </c>
      <c r="M3991">
        <v>1</v>
      </c>
      <c r="N3991">
        <v>2</v>
      </c>
      <c r="P3991">
        <f>G3991*I3991/100</f>
        <v>361.13</v>
      </c>
      <c r="Q3991">
        <f t="shared" si="39"/>
        <v>30954</v>
      </c>
      <c r="R3991">
        <f>K3991/J3991</f>
        <v>0.375</v>
      </c>
    </row>
    <row r="3992" spans="1:18" x14ac:dyDescent="0.3">
      <c r="A3992">
        <v>44</v>
      </c>
      <c r="B3992">
        <v>1467</v>
      </c>
      <c r="C3992" t="s">
        <v>17</v>
      </c>
      <c r="D3992" t="s">
        <v>18</v>
      </c>
      <c r="E3992">
        <v>49</v>
      </c>
      <c r="F3992" t="s">
        <v>19</v>
      </c>
      <c r="G3992">
        <v>3762.0000000000005</v>
      </c>
      <c r="H3992">
        <v>21158</v>
      </c>
      <c r="I3992">
        <v>13</v>
      </c>
      <c r="J3992">
        <v>6</v>
      </c>
      <c r="K3992">
        <v>5</v>
      </c>
      <c r="L3992">
        <v>2</v>
      </c>
      <c r="M3992">
        <v>1</v>
      </c>
      <c r="N3992">
        <v>3</v>
      </c>
      <c r="P3992">
        <f>G3992*I3992/100</f>
        <v>489.06000000000006</v>
      </c>
      <c r="Q3992">
        <f t="shared" si="39"/>
        <v>45144.000000000007</v>
      </c>
      <c r="R3992">
        <f>K3992/J3992</f>
        <v>0.83333333333333337</v>
      </c>
    </row>
    <row r="3993" spans="1:18" x14ac:dyDescent="0.3">
      <c r="A3993">
        <v>33</v>
      </c>
      <c r="B3993">
        <v>430</v>
      </c>
      <c r="C3993" t="s">
        <v>14</v>
      </c>
      <c r="D3993" t="s">
        <v>18</v>
      </c>
      <c r="E3993">
        <v>54</v>
      </c>
      <c r="F3993" t="s">
        <v>16</v>
      </c>
      <c r="G3993">
        <v>4810.3</v>
      </c>
      <c r="H3993">
        <v>17456</v>
      </c>
      <c r="I3993">
        <v>14</v>
      </c>
      <c r="J3993">
        <v>5</v>
      </c>
      <c r="K3993">
        <v>4</v>
      </c>
      <c r="L3993">
        <v>3</v>
      </c>
      <c r="M3993">
        <v>0</v>
      </c>
      <c r="N3993">
        <v>3</v>
      </c>
      <c r="P3993">
        <f>G3993*I3993/100</f>
        <v>673.44200000000001</v>
      </c>
      <c r="Q3993">
        <f t="shared" si="39"/>
        <v>57723.600000000006</v>
      </c>
      <c r="R3993">
        <f>K3993/J3993</f>
        <v>0.8</v>
      </c>
    </row>
    <row r="3994" spans="1:18" x14ac:dyDescent="0.3">
      <c r="A3994">
        <v>34</v>
      </c>
      <c r="B3994">
        <v>1326</v>
      </c>
      <c r="C3994" t="s">
        <v>14</v>
      </c>
      <c r="D3994" t="s">
        <v>18</v>
      </c>
      <c r="E3994">
        <v>81</v>
      </c>
      <c r="F3994" t="s">
        <v>16</v>
      </c>
      <c r="G3994">
        <v>5234.9000000000005</v>
      </c>
      <c r="H3994">
        <v>15891</v>
      </c>
      <c r="I3994">
        <v>18</v>
      </c>
      <c r="J3994">
        <v>15</v>
      </c>
      <c r="K3994">
        <v>13</v>
      </c>
      <c r="L3994">
        <v>9</v>
      </c>
      <c r="M3994">
        <v>3</v>
      </c>
      <c r="N3994">
        <v>12</v>
      </c>
      <c r="P3994">
        <f>G3994*I3994/100</f>
        <v>942.28200000000015</v>
      </c>
      <c r="Q3994">
        <f t="shared" si="39"/>
        <v>62818.8</v>
      </c>
      <c r="R3994">
        <f>K3994/J3994</f>
        <v>0.8666666666666667</v>
      </c>
    </row>
    <row r="3995" spans="1:18" x14ac:dyDescent="0.3">
      <c r="A3995">
        <v>30</v>
      </c>
      <c r="B3995">
        <v>1358</v>
      </c>
      <c r="C3995" t="s">
        <v>14</v>
      </c>
      <c r="D3995" t="s">
        <v>18</v>
      </c>
      <c r="E3995">
        <v>96</v>
      </c>
      <c r="F3995" t="s">
        <v>16</v>
      </c>
      <c r="G3995">
        <v>5831.1</v>
      </c>
      <c r="H3995">
        <v>2939</v>
      </c>
      <c r="I3995">
        <v>15</v>
      </c>
      <c r="J3995">
        <v>4</v>
      </c>
      <c r="K3995">
        <v>2</v>
      </c>
      <c r="L3995">
        <v>1</v>
      </c>
      <c r="M3995">
        <v>2</v>
      </c>
      <c r="N3995">
        <v>2</v>
      </c>
      <c r="P3995">
        <f>G3995*I3995/100</f>
        <v>874.66499999999996</v>
      </c>
      <c r="Q3995">
        <f t="shared" si="39"/>
        <v>69973.200000000012</v>
      </c>
      <c r="R3995">
        <f>K3995/J3995</f>
        <v>0.5</v>
      </c>
    </row>
    <row r="3996" spans="1:18" x14ac:dyDescent="0.3">
      <c r="A3996">
        <v>42</v>
      </c>
      <c r="B3996">
        <v>748</v>
      </c>
      <c r="C3996" t="s">
        <v>17</v>
      </c>
      <c r="D3996" t="s">
        <v>15</v>
      </c>
      <c r="E3996">
        <v>74</v>
      </c>
      <c r="F3996" t="s">
        <v>20</v>
      </c>
      <c r="G3996">
        <v>4040.3</v>
      </c>
      <c r="H3996">
        <v>16458</v>
      </c>
      <c r="I3996">
        <v>13</v>
      </c>
      <c r="J3996">
        <v>12</v>
      </c>
      <c r="K3996">
        <v>12</v>
      </c>
      <c r="L3996">
        <v>9</v>
      </c>
      <c r="M3996">
        <v>5</v>
      </c>
      <c r="N3996">
        <v>8</v>
      </c>
      <c r="P3996">
        <f>G3996*I3996/100</f>
        <v>525.23900000000003</v>
      </c>
      <c r="Q3996">
        <f t="shared" si="39"/>
        <v>48483.600000000006</v>
      </c>
      <c r="R3996">
        <f>K3996/J3996</f>
        <v>1</v>
      </c>
    </row>
    <row r="3997" spans="1:18" x14ac:dyDescent="0.3">
      <c r="A3997">
        <v>44</v>
      </c>
      <c r="B3997">
        <v>383</v>
      </c>
      <c r="C3997" t="s">
        <v>14</v>
      </c>
      <c r="D3997" t="s">
        <v>15</v>
      </c>
      <c r="E3997">
        <v>79</v>
      </c>
      <c r="F3997" t="s">
        <v>16</v>
      </c>
      <c r="G3997">
        <v>5244.8</v>
      </c>
      <c r="H3997">
        <v>9282</v>
      </c>
      <c r="I3997">
        <v>12</v>
      </c>
      <c r="J3997">
        <v>11</v>
      </c>
      <c r="K3997">
        <v>1</v>
      </c>
      <c r="L3997">
        <v>0</v>
      </c>
      <c r="M3997">
        <v>0</v>
      </c>
      <c r="N3997">
        <v>0</v>
      </c>
      <c r="P3997">
        <f>G3997*I3997/100</f>
        <v>629.37600000000009</v>
      </c>
      <c r="Q3997">
        <f t="shared" si="39"/>
        <v>62937.600000000006</v>
      </c>
      <c r="R3997">
        <f>K3997/J3997</f>
        <v>9.0909090909090912E-2</v>
      </c>
    </row>
    <row r="3998" spans="1:18" x14ac:dyDescent="0.3">
      <c r="A3998">
        <v>30</v>
      </c>
      <c r="B3998">
        <v>990</v>
      </c>
      <c r="C3998" t="s">
        <v>17</v>
      </c>
      <c r="D3998" t="s">
        <v>18</v>
      </c>
      <c r="E3998">
        <v>64</v>
      </c>
      <c r="F3998" t="s">
        <v>19</v>
      </c>
      <c r="G3998">
        <v>1401.4</v>
      </c>
      <c r="H3998">
        <v>7152</v>
      </c>
      <c r="I3998">
        <v>13</v>
      </c>
      <c r="J3998">
        <v>1</v>
      </c>
      <c r="K3998">
        <v>1</v>
      </c>
      <c r="L3998">
        <v>0</v>
      </c>
      <c r="M3998">
        <v>0</v>
      </c>
      <c r="N3998">
        <v>0</v>
      </c>
      <c r="P3998">
        <f>G3998*I3998/100</f>
        <v>182.18200000000002</v>
      </c>
      <c r="Q3998">
        <f t="shared" si="39"/>
        <v>16816.800000000003</v>
      </c>
      <c r="R3998">
        <f>K3998/J3998</f>
        <v>1</v>
      </c>
    </row>
    <row r="3999" spans="1:18" x14ac:dyDescent="0.3">
      <c r="A3999">
        <v>57</v>
      </c>
      <c r="B3999">
        <v>405</v>
      </c>
      <c r="C3999" t="s">
        <v>17</v>
      </c>
      <c r="D3999" t="s">
        <v>18</v>
      </c>
      <c r="E3999">
        <v>93</v>
      </c>
      <c r="F3999" t="s">
        <v>19</v>
      </c>
      <c r="G3999">
        <v>5390</v>
      </c>
      <c r="H3999">
        <v>2721</v>
      </c>
      <c r="I3999">
        <v>24</v>
      </c>
      <c r="J3999">
        <v>13</v>
      </c>
      <c r="K3999">
        <v>12</v>
      </c>
      <c r="L3999">
        <v>9</v>
      </c>
      <c r="M3999">
        <v>2</v>
      </c>
      <c r="N3999">
        <v>8</v>
      </c>
      <c r="P3999">
        <f>G3999*I3999/100</f>
        <v>1293.5999999999999</v>
      </c>
      <c r="Q3999">
        <f t="shared" si="39"/>
        <v>64680</v>
      </c>
      <c r="R3999">
        <f>K3999/J3999</f>
        <v>0.92307692307692313</v>
      </c>
    </row>
    <row r="4000" spans="1:18" x14ac:dyDescent="0.3">
      <c r="A4000">
        <v>49</v>
      </c>
      <c r="B4000">
        <v>1490</v>
      </c>
      <c r="C4000" t="s">
        <v>17</v>
      </c>
      <c r="D4000" t="s">
        <v>18</v>
      </c>
      <c r="E4000">
        <v>35</v>
      </c>
      <c r="F4000" t="s">
        <v>22</v>
      </c>
      <c r="G4000">
        <v>11512.6</v>
      </c>
      <c r="H4000">
        <v>20948</v>
      </c>
      <c r="I4000">
        <v>14</v>
      </c>
      <c r="J4000">
        <v>29</v>
      </c>
      <c r="K4000">
        <v>8</v>
      </c>
      <c r="L4000">
        <v>7</v>
      </c>
      <c r="M4000">
        <v>0</v>
      </c>
      <c r="N4000">
        <v>7</v>
      </c>
      <c r="P4000">
        <f>G4000*I4000/100</f>
        <v>1611.7639999999999</v>
      </c>
      <c r="Q4000">
        <f t="shared" si="39"/>
        <v>138151.20000000001</v>
      </c>
      <c r="R4000">
        <f>K4000/J4000</f>
        <v>0.27586206896551724</v>
      </c>
    </row>
    <row r="4001" spans="1:18" x14ac:dyDescent="0.3">
      <c r="A4001">
        <v>34</v>
      </c>
      <c r="B4001">
        <v>829</v>
      </c>
      <c r="C4001" t="s">
        <v>17</v>
      </c>
      <c r="D4001" t="s">
        <v>18</v>
      </c>
      <c r="E4001">
        <v>71</v>
      </c>
      <c r="F4001" t="s">
        <v>25</v>
      </c>
      <c r="G4001">
        <v>18707.7</v>
      </c>
      <c r="H4001">
        <v>11929</v>
      </c>
      <c r="I4001">
        <v>14</v>
      </c>
      <c r="J4001">
        <v>16</v>
      </c>
      <c r="K4001">
        <v>14</v>
      </c>
      <c r="L4001">
        <v>8</v>
      </c>
      <c r="M4001">
        <v>6</v>
      </c>
      <c r="N4001">
        <v>9</v>
      </c>
      <c r="P4001">
        <f>G4001*I4001/100</f>
        <v>2619.078</v>
      </c>
      <c r="Q4001">
        <f t="shared" si="39"/>
        <v>224492.40000000002</v>
      </c>
      <c r="R4001">
        <f>K4001/J4001</f>
        <v>0.875</v>
      </c>
    </row>
    <row r="4002" spans="1:18" x14ac:dyDescent="0.3">
      <c r="A4002">
        <v>28</v>
      </c>
      <c r="B4002">
        <v>1496</v>
      </c>
      <c r="C4002" t="s">
        <v>14</v>
      </c>
      <c r="D4002" t="s">
        <v>18</v>
      </c>
      <c r="E4002">
        <v>92</v>
      </c>
      <c r="F4002" t="s">
        <v>24</v>
      </c>
      <c r="G4002">
        <v>3199.9</v>
      </c>
      <c r="H4002">
        <v>15747</v>
      </c>
      <c r="I4002">
        <v>15</v>
      </c>
      <c r="J4002">
        <v>5</v>
      </c>
      <c r="K4002">
        <v>3</v>
      </c>
      <c r="L4002">
        <v>2</v>
      </c>
      <c r="M4002">
        <v>1</v>
      </c>
      <c r="N4002">
        <v>2</v>
      </c>
      <c r="P4002">
        <f>G4002*I4002/100</f>
        <v>479.98500000000001</v>
      </c>
      <c r="Q4002">
        <f t="shared" si="39"/>
        <v>38398.800000000003</v>
      </c>
      <c r="R4002">
        <f>K4002/J4002</f>
        <v>0.6</v>
      </c>
    </row>
    <row r="4003" spans="1:18" x14ac:dyDescent="0.3">
      <c r="A4003">
        <v>29</v>
      </c>
      <c r="B4003">
        <v>115</v>
      </c>
      <c r="C4003" t="s">
        <v>14</v>
      </c>
      <c r="D4003" t="s">
        <v>15</v>
      </c>
      <c r="E4003">
        <v>51</v>
      </c>
      <c r="F4003" t="s">
        <v>16</v>
      </c>
      <c r="G4003">
        <v>6341.5000000000009</v>
      </c>
      <c r="H4003">
        <v>17485</v>
      </c>
      <c r="I4003">
        <v>11</v>
      </c>
      <c r="J4003">
        <v>7</v>
      </c>
      <c r="K4003">
        <v>5</v>
      </c>
      <c r="L4003">
        <v>3</v>
      </c>
      <c r="M4003">
        <v>0</v>
      </c>
      <c r="N4003">
        <v>0</v>
      </c>
      <c r="P4003">
        <f>G4003*I4003/100</f>
        <v>697.56500000000017</v>
      </c>
      <c r="Q4003">
        <f t="shared" si="39"/>
        <v>76098.000000000015</v>
      </c>
      <c r="R4003">
        <f>K4003/J4003</f>
        <v>0.7142857142857143</v>
      </c>
    </row>
    <row r="4004" spans="1:18" x14ac:dyDescent="0.3">
      <c r="A4004">
        <v>34</v>
      </c>
      <c r="B4004">
        <v>790</v>
      </c>
      <c r="C4004" t="s">
        <v>14</v>
      </c>
      <c r="D4004" t="s">
        <v>15</v>
      </c>
      <c r="E4004">
        <v>40</v>
      </c>
      <c r="F4004" t="s">
        <v>16</v>
      </c>
      <c r="G4004">
        <v>5058.9000000000005</v>
      </c>
      <c r="H4004">
        <v>7815</v>
      </c>
      <c r="I4004">
        <v>23</v>
      </c>
      <c r="J4004">
        <v>16</v>
      </c>
      <c r="K4004">
        <v>15</v>
      </c>
      <c r="L4004">
        <v>9</v>
      </c>
      <c r="M4004">
        <v>10</v>
      </c>
      <c r="N4004">
        <v>10</v>
      </c>
      <c r="P4004">
        <f>G4004*I4004/100</f>
        <v>1163.547</v>
      </c>
      <c r="Q4004">
        <f t="shared" si="39"/>
        <v>60706.8</v>
      </c>
      <c r="R4004">
        <f>K4004/J4004</f>
        <v>0.9375</v>
      </c>
    </row>
    <row r="4005" spans="1:18" x14ac:dyDescent="0.3">
      <c r="A4005">
        <v>35</v>
      </c>
      <c r="B4005">
        <v>660</v>
      </c>
      <c r="C4005" t="s">
        <v>14</v>
      </c>
      <c r="D4005" t="s">
        <v>18</v>
      </c>
      <c r="E4005">
        <v>76</v>
      </c>
      <c r="F4005" t="s">
        <v>24</v>
      </c>
      <c r="G4005">
        <v>2644.4</v>
      </c>
      <c r="H4005">
        <v>16192</v>
      </c>
      <c r="I4005">
        <v>13</v>
      </c>
      <c r="J4005">
        <v>1</v>
      </c>
      <c r="K4005">
        <v>1</v>
      </c>
      <c r="L4005">
        <v>0</v>
      </c>
      <c r="M4005">
        <v>0</v>
      </c>
      <c r="N4005">
        <v>0</v>
      </c>
      <c r="P4005">
        <f>G4005*I4005/100</f>
        <v>343.77200000000005</v>
      </c>
      <c r="Q4005">
        <f t="shared" si="39"/>
        <v>31732.800000000003</v>
      </c>
      <c r="R4005">
        <f>K4005/J4005</f>
        <v>1</v>
      </c>
    </row>
    <row r="4006" spans="1:18" x14ac:dyDescent="0.3">
      <c r="A4006">
        <v>24</v>
      </c>
      <c r="B4006">
        <v>381</v>
      </c>
      <c r="C4006" t="s">
        <v>17</v>
      </c>
      <c r="D4006" t="s">
        <v>18</v>
      </c>
      <c r="E4006">
        <v>89</v>
      </c>
      <c r="F4006" t="s">
        <v>20</v>
      </c>
      <c r="G4006">
        <v>3489.2000000000003</v>
      </c>
      <c r="H4006">
        <v>16998</v>
      </c>
      <c r="I4006">
        <v>11</v>
      </c>
      <c r="J4006">
        <v>4</v>
      </c>
      <c r="K4006">
        <v>0</v>
      </c>
      <c r="L4006">
        <v>0</v>
      </c>
      <c r="M4006">
        <v>0</v>
      </c>
      <c r="N4006">
        <v>0</v>
      </c>
      <c r="P4006">
        <f>G4006*I4006/100</f>
        <v>383.81200000000007</v>
      </c>
      <c r="Q4006">
        <f t="shared" si="39"/>
        <v>41870.400000000001</v>
      </c>
      <c r="R4006">
        <f>K4006/J4006</f>
        <v>0</v>
      </c>
    </row>
    <row r="4007" spans="1:18" x14ac:dyDescent="0.3">
      <c r="A4007">
        <v>24</v>
      </c>
      <c r="B4007">
        <v>830</v>
      </c>
      <c r="C4007" t="s">
        <v>14</v>
      </c>
      <c r="D4007" t="s">
        <v>15</v>
      </c>
      <c r="E4007">
        <v>78</v>
      </c>
      <c r="F4007" t="s">
        <v>24</v>
      </c>
      <c r="G4007">
        <v>2236.3000000000002</v>
      </c>
      <c r="H4007">
        <v>7103</v>
      </c>
      <c r="I4007">
        <v>13</v>
      </c>
      <c r="J4007">
        <v>1</v>
      </c>
      <c r="K4007">
        <v>1</v>
      </c>
      <c r="L4007">
        <v>0</v>
      </c>
      <c r="M4007">
        <v>0</v>
      </c>
      <c r="N4007">
        <v>0</v>
      </c>
      <c r="P4007">
        <f>G4007*I4007/100</f>
        <v>290.71899999999999</v>
      </c>
      <c r="Q4007">
        <f t="shared" si="39"/>
        <v>26835.600000000002</v>
      </c>
      <c r="R4007">
        <f>K4007/J4007</f>
        <v>1</v>
      </c>
    </row>
    <row r="4008" spans="1:18" x14ac:dyDescent="0.3">
      <c r="A4008">
        <v>44</v>
      </c>
      <c r="B4008">
        <v>1193</v>
      </c>
      <c r="C4008" t="s">
        <v>17</v>
      </c>
      <c r="D4008" t="s">
        <v>18</v>
      </c>
      <c r="E4008">
        <v>86</v>
      </c>
      <c r="F4008" t="s">
        <v>21</v>
      </c>
      <c r="G4008">
        <v>11229.900000000001</v>
      </c>
      <c r="H4008">
        <v>19719</v>
      </c>
      <c r="I4008">
        <v>18</v>
      </c>
      <c r="J4008">
        <v>16</v>
      </c>
      <c r="K4008">
        <v>2</v>
      </c>
      <c r="L4008">
        <v>2</v>
      </c>
      <c r="M4008">
        <v>2</v>
      </c>
      <c r="N4008">
        <v>2</v>
      </c>
      <c r="P4008">
        <f>G4008*I4008/100</f>
        <v>2021.3820000000001</v>
      </c>
      <c r="Q4008">
        <f t="shared" si="39"/>
        <v>134758.80000000002</v>
      </c>
      <c r="R4008">
        <f>K4008/J4008</f>
        <v>0.125</v>
      </c>
    </row>
    <row r="4009" spans="1:18" x14ac:dyDescent="0.3">
      <c r="A4009">
        <v>29</v>
      </c>
      <c r="B4009">
        <v>1246</v>
      </c>
      <c r="C4009" t="s">
        <v>14</v>
      </c>
      <c r="D4009" t="s">
        <v>18</v>
      </c>
      <c r="E4009">
        <v>77</v>
      </c>
      <c r="F4009" t="s">
        <v>16</v>
      </c>
      <c r="G4009">
        <v>9482</v>
      </c>
      <c r="H4009">
        <v>23757</v>
      </c>
      <c r="I4009">
        <v>14</v>
      </c>
      <c r="J4009">
        <v>10</v>
      </c>
      <c r="K4009">
        <v>10</v>
      </c>
      <c r="L4009">
        <v>7</v>
      </c>
      <c r="M4009">
        <v>0</v>
      </c>
      <c r="N4009">
        <v>4</v>
      </c>
      <c r="P4009">
        <f>G4009*I4009/100</f>
        <v>1327.48</v>
      </c>
      <c r="Q4009">
        <f t="shared" si="39"/>
        <v>113784</v>
      </c>
      <c r="R4009">
        <f>K4009/J4009</f>
        <v>1</v>
      </c>
    </row>
    <row r="4010" spans="1:18" x14ac:dyDescent="0.3">
      <c r="A4010">
        <v>30</v>
      </c>
      <c r="B4010">
        <v>330</v>
      </c>
      <c r="C4010" t="s">
        <v>26</v>
      </c>
      <c r="D4010" t="s">
        <v>18</v>
      </c>
      <c r="E4010">
        <v>46</v>
      </c>
      <c r="F4010" t="s">
        <v>26</v>
      </c>
      <c r="G4010">
        <v>2270.4</v>
      </c>
      <c r="H4010">
        <v>15428</v>
      </c>
      <c r="I4010">
        <v>21</v>
      </c>
      <c r="J4010">
        <v>6</v>
      </c>
      <c r="K4010">
        <v>5</v>
      </c>
      <c r="L4010">
        <v>3</v>
      </c>
      <c r="M4010">
        <v>1</v>
      </c>
      <c r="N4010">
        <v>3</v>
      </c>
      <c r="P4010">
        <f>G4010*I4010/100</f>
        <v>476.78399999999999</v>
      </c>
      <c r="Q4010">
        <f t="shared" si="39"/>
        <v>27244.800000000003</v>
      </c>
      <c r="R4010">
        <f>K4010/J4010</f>
        <v>0.83333333333333337</v>
      </c>
    </row>
    <row r="4011" spans="1:18" x14ac:dyDescent="0.3">
      <c r="A4011">
        <v>55</v>
      </c>
      <c r="B4011">
        <v>1229</v>
      </c>
      <c r="C4011" t="s">
        <v>17</v>
      </c>
      <c r="D4011" t="s">
        <v>18</v>
      </c>
      <c r="E4011">
        <v>30</v>
      </c>
      <c r="F4011" t="s">
        <v>22</v>
      </c>
      <c r="G4011">
        <v>4438.5</v>
      </c>
      <c r="H4011">
        <v>16143</v>
      </c>
      <c r="I4011">
        <v>16</v>
      </c>
      <c r="J4011">
        <v>4</v>
      </c>
      <c r="K4011">
        <v>3</v>
      </c>
      <c r="L4011">
        <v>2</v>
      </c>
      <c r="M4011">
        <v>1</v>
      </c>
      <c r="N4011">
        <v>2</v>
      </c>
      <c r="P4011">
        <f>G4011*I4011/100</f>
        <v>710.16</v>
      </c>
      <c r="Q4011">
        <f t="shared" si="39"/>
        <v>53262</v>
      </c>
      <c r="R4011">
        <f>K4011/J4011</f>
        <v>0.75</v>
      </c>
    </row>
    <row r="4012" spans="1:18" x14ac:dyDescent="0.3">
      <c r="A4012">
        <v>33</v>
      </c>
      <c r="B4012">
        <v>1099</v>
      </c>
      <c r="C4012" t="s">
        <v>17</v>
      </c>
      <c r="D4012" t="s">
        <v>15</v>
      </c>
      <c r="E4012">
        <v>82</v>
      </c>
      <c r="F4012" t="s">
        <v>20</v>
      </c>
      <c r="G4012">
        <v>4221.8</v>
      </c>
      <c r="H4012">
        <v>8192</v>
      </c>
      <c r="I4012">
        <v>11</v>
      </c>
      <c r="J4012">
        <v>8</v>
      </c>
      <c r="K4012">
        <v>5</v>
      </c>
      <c r="L4012">
        <v>4</v>
      </c>
      <c r="M4012">
        <v>0</v>
      </c>
      <c r="N4012">
        <v>2</v>
      </c>
      <c r="P4012">
        <f>G4012*I4012/100</f>
        <v>464.39800000000002</v>
      </c>
      <c r="Q4012">
        <f t="shared" si="39"/>
        <v>50661.600000000006</v>
      </c>
      <c r="R4012">
        <f>K4012/J4012</f>
        <v>0.625</v>
      </c>
    </row>
    <row r="4013" spans="1:18" x14ac:dyDescent="0.3">
      <c r="A4013">
        <v>47</v>
      </c>
      <c r="B4013">
        <v>571</v>
      </c>
      <c r="C4013" t="s">
        <v>14</v>
      </c>
      <c r="D4013" t="s">
        <v>15</v>
      </c>
      <c r="E4013">
        <v>78</v>
      </c>
      <c r="F4013" t="s">
        <v>16</v>
      </c>
      <c r="G4013">
        <v>5050.1000000000004</v>
      </c>
      <c r="H4013">
        <v>24200</v>
      </c>
      <c r="I4013">
        <v>17</v>
      </c>
      <c r="J4013">
        <v>11</v>
      </c>
      <c r="K4013">
        <v>5</v>
      </c>
      <c r="L4013">
        <v>4</v>
      </c>
      <c r="M4013">
        <v>1</v>
      </c>
      <c r="N4013">
        <v>2</v>
      </c>
      <c r="P4013">
        <f>G4013*I4013/100</f>
        <v>858.51700000000017</v>
      </c>
      <c r="Q4013">
        <f t="shared" si="39"/>
        <v>60601.200000000004</v>
      </c>
      <c r="R4013">
        <f>K4013/J4013</f>
        <v>0.45454545454545453</v>
      </c>
    </row>
    <row r="4014" spans="1:18" x14ac:dyDescent="0.3">
      <c r="A4014">
        <v>28</v>
      </c>
      <c r="B4014">
        <v>289</v>
      </c>
      <c r="C4014" t="s">
        <v>17</v>
      </c>
      <c r="D4014" t="s">
        <v>18</v>
      </c>
      <c r="E4014">
        <v>38</v>
      </c>
      <c r="F4014" t="s">
        <v>20</v>
      </c>
      <c r="G4014">
        <v>2817.1000000000004</v>
      </c>
      <c r="H4014">
        <v>5355</v>
      </c>
      <c r="I4014">
        <v>11</v>
      </c>
      <c r="J4014">
        <v>8</v>
      </c>
      <c r="K4014">
        <v>0</v>
      </c>
      <c r="L4014">
        <v>0</v>
      </c>
      <c r="M4014">
        <v>0</v>
      </c>
      <c r="N4014">
        <v>0</v>
      </c>
      <c r="P4014">
        <f>G4014*I4014/100</f>
        <v>309.88100000000009</v>
      </c>
      <c r="Q4014">
        <f t="shared" si="39"/>
        <v>33805.200000000004</v>
      </c>
      <c r="R4014">
        <f>K4014/J4014</f>
        <v>0</v>
      </c>
    </row>
    <row r="4015" spans="1:18" x14ac:dyDescent="0.3">
      <c r="A4015">
        <v>28</v>
      </c>
      <c r="B4015">
        <v>1423</v>
      </c>
      <c r="C4015" t="s">
        <v>17</v>
      </c>
      <c r="D4015" t="s">
        <v>18</v>
      </c>
      <c r="E4015">
        <v>72</v>
      </c>
      <c r="F4015" t="s">
        <v>19</v>
      </c>
      <c r="G4015">
        <v>1719.3000000000002</v>
      </c>
      <c r="H4015">
        <v>12530</v>
      </c>
      <c r="I4015">
        <v>14</v>
      </c>
      <c r="J4015">
        <v>1</v>
      </c>
      <c r="K4015">
        <v>1</v>
      </c>
      <c r="L4015">
        <v>0</v>
      </c>
      <c r="M4015">
        <v>0</v>
      </c>
      <c r="N4015">
        <v>0</v>
      </c>
      <c r="P4015">
        <f>G4015*I4015/100</f>
        <v>240.70200000000006</v>
      </c>
      <c r="Q4015">
        <f t="shared" si="39"/>
        <v>20631.600000000002</v>
      </c>
      <c r="R4015">
        <f>K4015/J4015</f>
        <v>1</v>
      </c>
    </row>
    <row r="4016" spans="1:18" x14ac:dyDescent="0.3">
      <c r="A4016">
        <v>28</v>
      </c>
      <c r="B4016">
        <v>467</v>
      </c>
      <c r="C4016" t="s">
        <v>14</v>
      </c>
      <c r="D4016" t="s">
        <v>18</v>
      </c>
      <c r="E4016">
        <v>55</v>
      </c>
      <c r="F4016" t="s">
        <v>16</v>
      </c>
      <c r="G4016">
        <v>5387.8</v>
      </c>
      <c r="H4016">
        <v>11827</v>
      </c>
      <c r="I4016">
        <v>14</v>
      </c>
      <c r="J4016">
        <v>5</v>
      </c>
      <c r="K4016">
        <v>4</v>
      </c>
      <c r="L4016">
        <v>2</v>
      </c>
      <c r="M4016">
        <v>1</v>
      </c>
      <c r="N4016">
        <v>3</v>
      </c>
      <c r="P4016">
        <f>G4016*I4016/100</f>
        <v>754.29199999999992</v>
      </c>
      <c r="Q4016">
        <f t="shared" si="39"/>
        <v>64653.600000000006</v>
      </c>
      <c r="R4016">
        <f>K4016/J4016</f>
        <v>0.8</v>
      </c>
    </row>
    <row r="4017" spans="1:18" x14ac:dyDescent="0.3">
      <c r="A4017">
        <v>49</v>
      </c>
      <c r="B4017">
        <v>271</v>
      </c>
      <c r="C4017" t="s">
        <v>17</v>
      </c>
      <c r="D4017" t="s">
        <v>15</v>
      </c>
      <c r="E4017">
        <v>43</v>
      </c>
      <c r="F4017" t="s">
        <v>20</v>
      </c>
      <c r="G4017">
        <v>5267.9000000000005</v>
      </c>
      <c r="H4017">
        <v>23070</v>
      </c>
      <c r="I4017">
        <v>25</v>
      </c>
      <c r="J4017">
        <v>10</v>
      </c>
      <c r="K4017">
        <v>3</v>
      </c>
      <c r="L4017">
        <v>2</v>
      </c>
      <c r="M4017">
        <v>1</v>
      </c>
      <c r="N4017">
        <v>2</v>
      </c>
      <c r="P4017">
        <f>G4017*I4017/100</f>
        <v>1316.9749999999999</v>
      </c>
      <c r="Q4017">
        <f t="shared" si="39"/>
        <v>63214.8</v>
      </c>
      <c r="R4017">
        <f>K4017/J4017</f>
        <v>0.3</v>
      </c>
    </row>
    <row r="4018" spans="1:18" x14ac:dyDescent="0.3">
      <c r="A4018">
        <v>29</v>
      </c>
      <c r="B4018">
        <v>410</v>
      </c>
      <c r="C4018" t="s">
        <v>17</v>
      </c>
      <c r="D4018" t="s">
        <v>15</v>
      </c>
      <c r="E4018">
        <v>97</v>
      </c>
      <c r="F4018" t="s">
        <v>20</v>
      </c>
      <c r="G4018">
        <v>3498.0000000000005</v>
      </c>
      <c r="H4018">
        <v>4668</v>
      </c>
      <c r="I4018">
        <v>13</v>
      </c>
      <c r="J4018">
        <v>4</v>
      </c>
      <c r="K4018">
        <v>3</v>
      </c>
      <c r="L4018">
        <v>2</v>
      </c>
      <c r="M4018">
        <v>0</v>
      </c>
      <c r="N4018">
        <v>2</v>
      </c>
      <c r="P4018">
        <f>G4018*I4018/100</f>
        <v>454.74000000000007</v>
      </c>
      <c r="Q4018">
        <f t="shared" si="39"/>
        <v>41976.000000000007</v>
      </c>
      <c r="R4018">
        <f>K4018/J4018</f>
        <v>0.75</v>
      </c>
    </row>
    <row r="4019" spans="1:18" x14ac:dyDescent="0.3">
      <c r="A4019">
        <v>28</v>
      </c>
      <c r="B4019">
        <v>1083</v>
      </c>
      <c r="C4019" t="s">
        <v>17</v>
      </c>
      <c r="D4019" t="s">
        <v>18</v>
      </c>
      <c r="E4019">
        <v>96</v>
      </c>
      <c r="F4019" t="s">
        <v>21</v>
      </c>
      <c r="G4019">
        <v>7203.9000000000005</v>
      </c>
      <c r="H4019">
        <v>3173</v>
      </c>
      <c r="I4019">
        <v>14</v>
      </c>
      <c r="J4019">
        <v>8</v>
      </c>
      <c r="K4019">
        <v>8</v>
      </c>
      <c r="L4019">
        <v>6</v>
      </c>
      <c r="M4019">
        <v>1</v>
      </c>
      <c r="N4019">
        <v>7</v>
      </c>
      <c r="P4019">
        <f>G4019*I4019/100</f>
        <v>1008.546</v>
      </c>
      <c r="Q4019">
        <f t="shared" si="39"/>
        <v>86446.8</v>
      </c>
      <c r="R4019">
        <f>K4019/J4019</f>
        <v>1</v>
      </c>
    </row>
    <row r="4020" spans="1:18" x14ac:dyDescent="0.3">
      <c r="A4020">
        <v>33</v>
      </c>
      <c r="B4020">
        <v>516</v>
      </c>
      <c r="C4020" t="s">
        <v>17</v>
      </c>
      <c r="D4020" t="s">
        <v>18</v>
      </c>
      <c r="E4020">
        <v>69</v>
      </c>
      <c r="F4020" t="s">
        <v>22</v>
      </c>
      <c r="G4020">
        <v>7026.8</v>
      </c>
      <c r="H4020">
        <v>22049</v>
      </c>
      <c r="I4020">
        <v>17</v>
      </c>
      <c r="J4020">
        <v>14</v>
      </c>
      <c r="K4020">
        <v>0</v>
      </c>
      <c r="L4020">
        <v>0</v>
      </c>
      <c r="M4020">
        <v>0</v>
      </c>
      <c r="N4020">
        <v>0</v>
      </c>
      <c r="P4020">
        <f>G4020*I4020/100</f>
        <v>1194.556</v>
      </c>
      <c r="Q4020">
        <f t="shared" si="39"/>
        <v>84321.600000000006</v>
      </c>
      <c r="R4020">
        <f>K4020/J4020</f>
        <v>0</v>
      </c>
    </row>
    <row r="4021" spans="1:18" x14ac:dyDescent="0.3">
      <c r="A4021">
        <v>32</v>
      </c>
      <c r="B4021">
        <v>495</v>
      </c>
      <c r="C4021" t="s">
        <v>17</v>
      </c>
      <c r="D4021" t="s">
        <v>18</v>
      </c>
      <c r="E4021">
        <v>64</v>
      </c>
      <c r="F4021" t="s">
        <v>23</v>
      </c>
      <c r="G4021">
        <v>12368.400000000001</v>
      </c>
      <c r="H4021">
        <v>21072</v>
      </c>
      <c r="I4021">
        <v>25</v>
      </c>
      <c r="J4021">
        <v>10</v>
      </c>
      <c r="K4021">
        <v>5</v>
      </c>
      <c r="L4021">
        <v>2</v>
      </c>
      <c r="M4021">
        <v>0</v>
      </c>
      <c r="N4021">
        <v>0</v>
      </c>
      <c r="P4021">
        <f>G4021*I4021/100</f>
        <v>3092.1000000000004</v>
      </c>
      <c r="Q4021">
        <f t="shared" si="39"/>
        <v>148420.80000000002</v>
      </c>
      <c r="R4021">
        <f>K4021/J4021</f>
        <v>0.5</v>
      </c>
    </row>
    <row r="4022" spans="1:18" x14ac:dyDescent="0.3">
      <c r="A4022">
        <v>54</v>
      </c>
      <c r="B4022">
        <v>1050</v>
      </c>
      <c r="C4022" t="s">
        <v>17</v>
      </c>
      <c r="D4022" t="s">
        <v>15</v>
      </c>
      <c r="E4022">
        <v>87</v>
      </c>
      <c r="F4022" t="s">
        <v>23</v>
      </c>
      <c r="G4022">
        <v>17635.2</v>
      </c>
      <c r="H4022">
        <v>24456</v>
      </c>
      <c r="I4022">
        <v>20</v>
      </c>
      <c r="J4022">
        <v>26</v>
      </c>
      <c r="K4022">
        <v>14</v>
      </c>
      <c r="L4022">
        <v>9</v>
      </c>
      <c r="M4022">
        <v>1</v>
      </c>
      <c r="N4022">
        <v>12</v>
      </c>
      <c r="P4022">
        <f>G4022*I4022/100</f>
        <v>3527.04</v>
      </c>
      <c r="Q4022">
        <f t="shared" si="39"/>
        <v>211622.40000000002</v>
      </c>
      <c r="R4022">
        <f>K4022/J4022</f>
        <v>0.53846153846153844</v>
      </c>
    </row>
    <row r="4023" spans="1:18" x14ac:dyDescent="0.3">
      <c r="A4023">
        <v>29</v>
      </c>
      <c r="B4023">
        <v>224</v>
      </c>
      <c r="C4023" t="s">
        <v>17</v>
      </c>
      <c r="D4023" t="s">
        <v>18</v>
      </c>
      <c r="E4023">
        <v>100</v>
      </c>
      <c r="F4023" t="s">
        <v>19</v>
      </c>
      <c r="G4023">
        <v>2598.2000000000003</v>
      </c>
      <c r="H4023">
        <v>7568</v>
      </c>
      <c r="I4023">
        <v>13</v>
      </c>
      <c r="J4023">
        <v>11</v>
      </c>
      <c r="K4023">
        <v>9</v>
      </c>
      <c r="L4023">
        <v>7</v>
      </c>
      <c r="M4023">
        <v>0</v>
      </c>
      <c r="N4023">
        <v>7</v>
      </c>
      <c r="P4023">
        <f>G4023*I4023/100</f>
        <v>337.76600000000008</v>
      </c>
      <c r="Q4023">
        <f t="shared" si="39"/>
        <v>31178.400000000001</v>
      </c>
      <c r="R4023">
        <f>K4023/J4023</f>
        <v>0.81818181818181823</v>
      </c>
    </row>
    <row r="4024" spans="1:18" x14ac:dyDescent="0.3">
      <c r="A4024">
        <v>44</v>
      </c>
      <c r="B4024">
        <v>136</v>
      </c>
      <c r="C4024" t="s">
        <v>17</v>
      </c>
      <c r="D4024" t="s">
        <v>18</v>
      </c>
      <c r="E4024">
        <v>32</v>
      </c>
      <c r="F4024" t="s">
        <v>25</v>
      </c>
      <c r="G4024">
        <v>17960.800000000003</v>
      </c>
      <c r="H4024">
        <v>22074</v>
      </c>
      <c r="I4024">
        <v>13</v>
      </c>
      <c r="J4024">
        <v>24</v>
      </c>
      <c r="K4024">
        <v>20</v>
      </c>
      <c r="L4024">
        <v>6</v>
      </c>
      <c r="M4024">
        <v>14</v>
      </c>
      <c r="N4024">
        <v>17</v>
      </c>
      <c r="P4024">
        <f>G4024*I4024/100</f>
        <v>2334.9040000000005</v>
      </c>
      <c r="Q4024">
        <f t="shared" si="39"/>
        <v>215529.60000000003</v>
      </c>
      <c r="R4024">
        <f>K4024/J4024</f>
        <v>0.83333333333333337</v>
      </c>
    </row>
    <row r="4025" spans="1:18" x14ac:dyDescent="0.3">
      <c r="A4025">
        <v>39</v>
      </c>
      <c r="B4025">
        <v>1089</v>
      </c>
      <c r="C4025" t="s">
        <v>17</v>
      </c>
      <c r="D4025" t="s">
        <v>15</v>
      </c>
      <c r="E4025">
        <v>32</v>
      </c>
      <c r="F4025" t="s">
        <v>21</v>
      </c>
      <c r="G4025">
        <v>9213.6</v>
      </c>
      <c r="H4025">
        <v>9150</v>
      </c>
      <c r="I4025">
        <v>18</v>
      </c>
      <c r="J4025">
        <v>9</v>
      </c>
      <c r="K4025">
        <v>2</v>
      </c>
      <c r="L4025">
        <v>0</v>
      </c>
      <c r="M4025">
        <v>2</v>
      </c>
      <c r="N4025">
        <v>2</v>
      </c>
      <c r="P4025">
        <f>G4025*I4025/100</f>
        <v>1658.4480000000001</v>
      </c>
      <c r="Q4025">
        <f t="shared" si="39"/>
        <v>110563.20000000001</v>
      </c>
      <c r="R4025">
        <f>K4025/J4025</f>
        <v>0.22222222222222221</v>
      </c>
    </row>
    <row r="4026" spans="1:18" x14ac:dyDescent="0.3">
      <c r="A4026">
        <v>46</v>
      </c>
      <c r="B4026">
        <v>228</v>
      </c>
      <c r="C4026" t="s">
        <v>14</v>
      </c>
      <c r="D4026" t="s">
        <v>15</v>
      </c>
      <c r="E4026">
        <v>51</v>
      </c>
      <c r="F4026" t="s">
        <v>23</v>
      </c>
      <c r="G4026">
        <v>18266.600000000002</v>
      </c>
      <c r="H4026">
        <v>11380</v>
      </c>
      <c r="I4026">
        <v>12</v>
      </c>
      <c r="J4026">
        <v>23</v>
      </c>
      <c r="K4026">
        <v>13</v>
      </c>
      <c r="L4026">
        <v>12</v>
      </c>
      <c r="M4026">
        <v>5</v>
      </c>
      <c r="N4026">
        <v>1</v>
      </c>
      <c r="P4026">
        <f>G4026*I4026/100</f>
        <v>2191.9920000000002</v>
      </c>
      <c r="Q4026">
        <f t="shared" si="39"/>
        <v>219199.2</v>
      </c>
      <c r="R4026">
        <f>K4026/J4026</f>
        <v>0.56521739130434778</v>
      </c>
    </row>
    <row r="4027" spans="1:18" x14ac:dyDescent="0.3">
      <c r="A4027">
        <v>35</v>
      </c>
      <c r="B4027">
        <v>1029</v>
      </c>
      <c r="C4027" t="s">
        <v>17</v>
      </c>
      <c r="D4027" t="s">
        <v>15</v>
      </c>
      <c r="E4027">
        <v>91</v>
      </c>
      <c r="F4027" t="s">
        <v>22</v>
      </c>
      <c r="G4027">
        <v>9466.6</v>
      </c>
      <c r="H4027">
        <v>21195</v>
      </c>
      <c r="I4027">
        <v>19</v>
      </c>
      <c r="J4027">
        <v>11</v>
      </c>
      <c r="K4027">
        <v>11</v>
      </c>
      <c r="L4027">
        <v>8</v>
      </c>
      <c r="M4027">
        <v>3</v>
      </c>
      <c r="N4027">
        <v>3</v>
      </c>
      <c r="P4027">
        <f>G4027*I4027/100</f>
        <v>1798.654</v>
      </c>
      <c r="Q4027">
        <f t="shared" si="39"/>
        <v>113599.20000000001</v>
      </c>
      <c r="R4027">
        <f>K4027/J4027</f>
        <v>1</v>
      </c>
    </row>
    <row r="4028" spans="1:18" x14ac:dyDescent="0.3">
      <c r="A4028">
        <v>23</v>
      </c>
      <c r="B4028">
        <v>507</v>
      </c>
      <c r="C4028" t="s">
        <v>17</v>
      </c>
      <c r="D4028" t="s">
        <v>18</v>
      </c>
      <c r="E4028">
        <v>97</v>
      </c>
      <c r="F4028" t="s">
        <v>20</v>
      </c>
      <c r="G4028">
        <v>2499.2000000000003</v>
      </c>
      <c r="H4028">
        <v>24812</v>
      </c>
      <c r="I4028">
        <v>14</v>
      </c>
      <c r="J4028">
        <v>5</v>
      </c>
      <c r="K4028">
        <v>4</v>
      </c>
      <c r="L4028">
        <v>3</v>
      </c>
      <c r="M4028">
        <v>1</v>
      </c>
      <c r="N4028">
        <v>2</v>
      </c>
      <c r="P4028">
        <f>G4028*I4028/100</f>
        <v>349.88800000000003</v>
      </c>
      <c r="Q4028">
        <f t="shared" si="39"/>
        <v>29990.400000000001</v>
      </c>
      <c r="R4028">
        <f>K4028/J4028</f>
        <v>0.8</v>
      </c>
    </row>
    <row r="4029" spans="1:18" x14ac:dyDescent="0.3">
      <c r="A4029">
        <v>40</v>
      </c>
      <c r="B4029">
        <v>676</v>
      </c>
      <c r="C4029" t="s">
        <v>17</v>
      </c>
      <c r="D4029" t="s">
        <v>18</v>
      </c>
      <c r="E4029">
        <v>86</v>
      </c>
      <c r="F4029" t="s">
        <v>20</v>
      </c>
      <c r="G4029">
        <v>2219.8000000000002</v>
      </c>
      <c r="H4029">
        <v>21831</v>
      </c>
      <c r="I4029">
        <v>14</v>
      </c>
      <c r="J4029">
        <v>15</v>
      </c>
      <c r="K4029">
        <v>5</v>
      </c>
      <c r="L4029">
        <v>4</v>
      </c>
      <c r="M4029">
        <v>1</v>
      </c>
      <c r="N4029">
        <v>0</v>
      </c>
      <c r="P4029">
        <f>G4029*I4029/100</f>
        <v>310.77200000000005</v>
      </c>
      <c r="Q4029">
        <f t="shared" si="39"/>
        <v>26637.600000000002</v>
      </c>
      <c r="R4029">
        <f>K4029/J4029</f>
        <v>0.33333333333333331</v>
      </c>
    </row>
    <row r="4030" spans="1:18" x14ac:dyDescent="0.3">
      <c r="A4030">
        <v>34</v>
      </c>
      <c r="B4030">
        <v>971</v>
      </c>
      <c r="C4030" t="s">
        <v>14</v>
      </c>
      <c r="D4030" t="s">
        <v>18</v>
      </c>
      <c r="E4030">
        <v>64</v>
      </c>
      <c r="F4030" t="s">
        <v>16</v>
      </c>
      <c r="G4030">
        <v>7791.3</v>
      </c>
      <c r="H4030">
        <v>12288</v>
      </c>
      <c r="I4030">
        <v>14</v>
      </c>
      <c r="J4030">
        <v>10</v>
      </c>
      <c r="K4030">
        <v>10</v>
      </c>
      <c r="L4030">
        <v>9</v>
      </c>
      <c r="M4030">
        <v>8</v>
      </c>
      <c r="N4030">
        <v>6</v>
      </c>
      <c r="P4030">
        <f>G4030*I4030/100</f>
        <v>1090.7819999999999</v>
      </c>
      <c r="Q4030">
        <f t="shared" si="39"/>
        <v>93495.6</v>
      </c>
      <c r="R4030">
        <f>K4030/J4030</f>
        <v>1</v>
      </c>
    </row>
    <row r="4031" spans="1:18" x14ac:dyDescent="0.3">
      <c r="A4031">
        <v>31</v>
      </c>
      <c r="B4031">
        <v>561</v>
      </c>
      <c r="C4031" t="s">
        <v>17</v>
      </c>
      <c r="D4031" t="s">
        <v>15</v>
      </c>
      <c r="E4031">
        <v>33</v>
      </c>
      <c r="F4031" t="s">
        <v>19</v>
      </c>
      <c r="G4031">
        <v>4492.4000000000005</v>
      </c>
      <c r="H4031">
        <v>4156</v>
      </c>
      <c r="I4031">
        <v>12</v>
      </c>
      <c r="J4031">
        <v>7</v>
      </c>
      <c r="K4031">
        <v>7</v>
      </c>
      <c r="L4031">
        <v>2</v>
      </c>
      <c r="M4031">
        <v>7</v>
      </c>
      <c r="N4031">
        <v>7</v>
      </c>
      <c r="P4031">
        <f>G4031*I4031/100</f>
        <v>539.08800000000008</v>
      </c>
      <c r="Q4031">
        <f t="shared" si="39"/>
        <v>53908.800000000003</v>
      </c>
      <c r="R4031">
        <f>K4031/J4031</f>
        <v>1</v>
      </c>
    </row>
    <row r="4032" spans="1:18" x14ac:dyDescent="0.3">
      <c r="A4032">
        <v>50</v>
      </c>
      <c r="B4032">
        <v>333</v>
      </c>
      <c r="C4032" t="s">
        <v>17</v>
      </c>
      <c r="D4032" t="s">
        <v>18</v>
      </c>
      <c r="E4032">
        <v>88</v>
      </c>
      <c r="F4032" t="s">
        <v>25</v>
      </c>
      <c r="G4032">
        <v>15852.100000000002</v>
      </c>
      <c r="H4032">
        <v>24450</v>
      </c>
      <c r="I4032">
        <v>13</v>
      </c>
      <c r="J4032">
        <v>32</v>
      </c>
      <c r="K4032">
        <v>32</v>
      </c>
      <c r="L4032">
        <v>6</v>
      </c>
      <c r="M4032">
        <v>13</v>
      </c>
      <c r="N4032">
        <v>9</v>
      </c>
      <c r="P4032">
        <f>G4032*I4032/100</f>
        <v>2060.7730000000001</v>
      </c>
      <c r="Q4032">
        <f t="shared" si="39"/>
        <v>190225.2</v>
      </c>
      <c r="R4032">
        <f>K4032/J4032</f>
        <v>1</v>
      </c>
    </row>
    <row r="4033" spans="1:18" x14ac:dyDescent="0.3">
      <c r="A4033">
        <v>34</v>
      </c>
      <c r="B4033">
        <v>1440</v>
      </c>
      <c r="C4033" t="s">
        <v>14</v>
      </c>
      <c r="D4033" t="s">
        <v>18</v>
      </c>
      <c r="E4033">
        <v>55</v>
      </c>
      <c r="F4033" t="s">
        <v>24</v>
      </c>
      <c r="G4033">
        <v>2538.8000000000002</v>
      </c>
      <c r="H4033">
        <v>4944</v>
      </c>
      <c r="I4033">
        <v>25</v>
      </c>
      <c r="J4033">
        <v>12</v>
      </c>
      <c r="K4033">
        <v>11</v>
      </c>
      <c r="L4033">
        <v>10</v>
      </c>
      <c r="M4033">
        <v>5</v>
      </c>
      <c r="N4033">
        <v>7</v>
      </c>
      <c r="P4033">
        <f>G4033*I4033/100</f>
        <v>634.70000000000005</v>
      </c>
      <c r="Q4033">
        <f t="shared" si="39"/>
        <v>30465.600000000002</v>
      </c>
      <c r="R4033">
        <f>K4033/J4033</f>
        <v>0.91666666666666663</v>
      </c>
    </row>
    <row r="4034" spans="1:18" x14ac:dyDescent="0.3">
      <c r="A4034">
        <v>42</v>
      </c>
      <c r="B4034">
        <v>1210</v>
      </c>
      <c r="C4034" t="s">
        <v>17</v>
      </c>
      <c r="D4034" t="s">
        <v>18</v>
      </c>
      <c r="E4034">
        <v>68</v>
      </c>
      <c r="F4034" t="s">
        <v>20</v>
      </c>
      <c r="G4034">
        <v>5325.1</v>
      </c>
      <c r="H4034">
        <v>24052</v>
      </c>
      <c r="I4034">
        <v>14</v>
      </c>
      <c r="J4034">
        <v>4</v>
      </c>
      <c r="K4034">
        <v>1</v>
      </c>
      <c r="L4034">
        <v>0</v>
      </c>
      <c r="M4034">
        <v>0</v>
      </c>
      <c r="N4034">
        <v>0</v>
      </c>
      <c r="P4034">
        <f>G4034*I4034/100</f>
        <v>745.51400000000012</v>
      </c>
      <c r="Q4034">
        <f t="shared" si="39"/>
        <v>63901.200000000004</v>
      </c>
      <c r="R4034">
        <f>K4034/J4034</f>
        <v>0.25</v>
      </c>
    </row>
    <row r="4035" spans="1:18" x14ac:dyDescent="0.3">
      <c r="A4035">
        <v>37</v>
      </c>
      <c r="B4035">
        <v>674</v>
      </c>
      <c r="C4035" t="s">
        <v>17</v>
      </c>
      <c r="D4035" t="s">
        <v>18</v>
      </c>
      <c r="E4035">
        <v>47</v>
      </c>
      <c r="F4035" t="s">
        <v>19</v>
      </c>
      <c r="G4035">
        <v>4713.5</v>
      </c>
      <c r="H4035">
        <v>3031</v>
      </c>
      <c r="I4035">
        <v>17</v>
      </c>
      <c r="J4035">
        <v>10</v>
      </c>
      <c r="K4035">
        <v>10</v>
      </c>
      <c r="L4035">
        <v>8</v>
      </c>
      <c r="M4035">
        <v>3</v>
      </c>
      <c r="N4035">
        <v>7</v>
      </c>
      <c r="P4035">
        <f>G4035*I4035/100</f>
        <v>801.29499999999996</v>
      </c>
      <c r="Q4035">
        <f t="shared" ref="Q4035:Q4098" si="40">G4035*12</f>
        <v>56562</v>
      </c>
      <c r="R4035">
        <f>K4035/J4035</f>
        <v>1</v>
      </c>
    </row>
    <row r="4036" spans="1:18" x14ac:dyDescent="0.3">
      <c r="A4036">
        <v>29</v>
      </c>
      <c r="B4036">
        <v>441</v>
      </c>
      <c r="C4036" t="s">
        <v>17</v>
      </c>
      <c r="D4036" t="s">
        <v>15</v>
      </c>
      <c r="E4036">
        <v>39</v>
      </c>
      <c r="F4036" t="s">
        <v>22</v>
      </c>
      <c r="G4036">
        <v>10686.5</v>
      </c>
      <c r="H4036">
        <v>7288</v>
      </c>
      <c r="I4036">
        <v>13</v>
      </c>
      <c r="J4036">
        <v>9</v>
      </c>
      <c r="K4036">
        <v>7</v>
      </c>
      <c r="L4036">
        <v>7</v>
      </c>
      <c r="M4036">
        <v>0</v>
      </c>
      <c r="N4036">
        <v>7</v>
      </c>
      <c r="P4036">
        <f>G4036*I4036/100</f>
        <v>1389.2449999999999</v>
      </c>
      <c r="Q4036">
        <f t="shared" si="40"/>
        <v>128238</v>
      </c>
      <c r="R4036">
        <f>K4036/J4036</f>
        <v>0.77777777777777779</v>
      </c>
    </row>
    <row r="4037" spans="1:18" x14ac:dyDescent="0.3">
      <c r="A4037">
        <v>33</v>
      </c>
      <c r="B4037">
        <v>575</v>
      </c>
      <c r="C4037" t="s">
        <v>17</v>
      </c>
      <c r="D4037" t="s">
        <v>18</v>
      </c>
      <c r="E4037">
        <v>44</v>
      </c>
      <c r="F4037" t="s">
        <v>21</v>
      </c>
      <c r="G4037">
        <v>4752</v>
      </c>
      <c r="H4037">
        <v>24152</v>
      </c>
      <c r="I4037">
        <v>13</v>
      </c>
      <c r="J4037">
        <v>5</v>
      </c>
      <c r="K4037">
        <v>5</v>
      </c>
      <c r="L4037">
        <v>3</v>
      </c>
      <c r="M4037">
        <v>0</v>
      </c>
      <c r="N4037">
        <v>2</v>
      </c>
      <c r="P4037">
        <f>G4037*I4037/100</f>
        <v>617.76</v>
      </c>
      <c r="Q4037">
        <f t="shared" si="40"/>
        <v>57024</v>
      </c>
      <c r="R4037">
        <f>K4037/J4037</f>
        <v>1</v>
      </c>
    </row>
    <row r="4038" spans="1:18" x14ac:dyDescent="0.3">
      <c r="A4038">
        <v>45</v>
      </c>
      <c r="B4038">
        <v>950</v>
      </c>
      <c r="C4038" t="s">
        <v>17</v>
      </c>
      <c r="D4038" t="s">
        <v>18</v>
      </c>
      <c r="E4038">
        <v>97</v>
      </c>
      <c r="F4038" t="s">
        <v>19</v>
      </c>
      <c r="G4038">
        <v>2345.2000000000003</v>
      </c>
      <c r="H4038">
        <v>4585</v>
      </c>
      <c r="I4038">
        <v>20</v>
      </c>
      <c r="J4038">
        <v>8</v>
      </c>
      <c r="K4038">
        <v>5</v>
      </c>
      <c r="L4038">
        <v>4</v>
      </c>
      <c r="M4038">
        <v>0</v>
      </c>
      <c r="N4038">
        <v>3</v>
      </c>
      <c r="P4038">
        <f>G4038*I4038/100</f>
        <v>469.04000000000008</v>
      </c>
      <c r="Q4038">
        <f t="shared" si="40"/>
        <v>28142.400000000001</v>
      </c>
      <c r="R4038">
        <f>K4038/J4038</f>
        <v>0.625</v>
      </c>
    </row>
    <row r="4039" spans="1:18" x14ac:dyDescent="0.3">
      <c r="A4039">
        <v>42</v>
      </c>
      <c r="B4039">
        <v>288</v>
      </c>
      <c r="C4039" t="s">
        <v>17</v>
      </c>
      <c r="D4039" t="s">
        <v>18</v>
      </c>
      <c r="E4039">
        <v>40</v>
      </c>
      <c r="F4039" t="s">
        <v>22</v>
      </c>
      <c r="G4039">
        <v>11136.400000000001</v>
      </c>
      <c r="H4039">
        <v>18611</v>
      </c>
      <c r="I4039">
        <v>14</v>
      </c>
      <c r="J4039">
        <v>24</v>
      </c>
      <c r="K4039">
        <v>20</v>
      </c>
      <c r="L4039">
        <v>8</v>
      </c>
      <c r="M4039">
        <v>13</v>
      </c>
      <c r="N4039">
        <v>9</v>
      </c>
      <c r="P4039">
        <f>G4039*I4039/100</f>
        <v>1559.0960000000005</v>
      </c>
      <c r="Q4039">
        <f t="shared" si="40"/>
        <v>133636.80000000002</v>
      </c>
      <c r="R4039">
        <f>K4039/J4039</f>
        <v>0.83333333333333337</v>
      </c>
    </row>
    <row r="4040" spans="1:18" x14ac:dyDescent="0.3">
      <c r="A4040">
        <v>40</v>
      </c>
      <c r="B4040">
        <v>1342</v>
      </c>
      <c r="C4040" t="s">
        <v>14</v>
      </c>
      <c r="D4040" t="s">
        <v>18</v>
      </c>
      <c r="E4040">
        <v>47</v>
      </c>
      <c r="F4040" t="s">
        <v>16</v>
      </c>
      <c r="G4040">
        <v>6020.3</v>
      </c>
      <c r="H4040">
        <v>19345</v>
      </c>
      <c r="I4040">
        <v>12</v>
      </c>
      <c r="J4040">
        <v>9</v>
      </c>
      <c r="K4040">
        <v>8</v>
      </c>
      <c r="L4040">
        <v>4</v>
      </c>
      <c r="M4040">
        <v>7</v>
      </c>
      <c r="N4040">
        <v>1</v>
      </c>
      <c r="P4040">
        <f>G4040*I4040/100</f>
        <v>722.43600000000004</v>
      </c>
      <c r="Q4040">
        <f t="shared" si="40"/>
        <v>72243.600000000006</v>
      </c>
      <c r="R4040">
        <f>K4040/J4040</f>
        <v>0.88888888888888884</v>
      </c>
    </row>
    <row r="4041" spans="1:18" x14ac:dyDescent="0.3">
      <c r="A4041">
        <v>33</v>
      </c>
      <c r="B4041">
        <v>589</v>
      </c>
      <c r="C4041" t="s">
        <v>17</v>
      </c>
      <c r="D4041" t="s">
        <v>18</v>
      </c>
      <c r="E4041">
        <v>79</v>
      </c>
      <c r="F4041" t="s">
        <v>20</v>
      </c>
      <c r="G4041">
        <v>5727.7000000000007</v>
      </c>
      <c r="H4041">
        <v>22949</v>
      </c>
      <c r="I4041">
        <v>12</v>
      </c>
      <c r="J4041">
        <v>15</v>
      </c>
      <c r="K4041">
        <v>15</v>
      </c>
      <c r="L4041">
        <v>14</v>
      </c>
      <c r="M4041">
        <v>5</v>
      </c>
      <c r="N4041">
        <v>7</v>
      </c>
      <c r="P4041">
        <f>G4041*I4041/100</f>
        <v>687.32400000000007</v>
      </c>
      <c r="Q4041">
        <f t="shared" si="40"/>
        <v>68732.400000000009</v>
      </c>
      <c r="R4041">
        <f>K4041/J4041</f>
        <v>1</v>
      </c>
    </row>
    <row r="4042" spans="1:18" x14ac:dyDescent="0.3">
      <c r="A4042">
        <v>40</v>
      </c>
      <c r="B4042">
        <v>898</v>
      </c>
      <c r="C4042" t="s">
        <v>26</v>
      </c>
      <c r="D4042" t="s">
        <v>18</v>
      </c>
      <c r="E4042">
        <v>38</v>
      </c>
      <c r="F4042" t="s">
        <v>23</v>
      </c>
      <c r="G4042">
        <v>18080.7</v>
      </c>
      <c r="H4042">
        <v>17381</v>
      </c>
      <c r="I4042">
        <v>21</v>
      </c>
      <c r="J4042">
        <v>21</v>
      </c>
      <c r="K4042">
        <v>21</v>
      </c>
      <c r="L4042">
        <v>7</v>
      </c>
      <c r="M4042">
        <v>7</v>
      </c>
      <c r="N4042">
        <v>7</v>
      </c>
      <c r="P4042">
        <f>G4042*I4042/100</f>
        <v>3796.9470000000001</v>
      </c>
      <c r="Q4042">
        <f t="shared" si="40"/>
        <v>216968.40000000002</v>
      </c>
      <c r="R4042">
        <f>K4042/J4042</f>
        <v>1</v>
      </c>
    </row>
    <row r="4043" spans="1:18" x14ac:dyDescent="0.3">
      <c r="A4043">
        <v>24</v>
      </c>
      <c r="B4043">
        <v>350</v>
      </c>
      <c r="C4043" t="s">
        <v>17</v>
      </c>
      <c r="D4043" t="s">
        <v>18</v>
      </c>
      <c r="E4043">
        <v>57</v>
      </c>
      <c r="F4043" t="s">
        <v>20</v>
      </c>
      <c r="G4043">
        <v>2525.6000000000004</v>
      </c>
      <c r="H4043">
        <v>10036</v>
      </c>
      <c r="I4043">
        <v>14</v>
      </c>
      <c r="J4043">
        <v>2</v>
      </c>
      <c r="K4043">
        <v>1</v>
      </c>
      <c r="L4043">
        <v>1</v>
      </c>
      <c r="M4043">
        <v>0</v>
      </c>
      <c r="N4043">
        <v>0</v>
      </c>
      <c r="P4043">
        <f>G4043*I4043/100</f>
        <v>353.58400000000006</v>
      </c>
      <c r="Q4043">
        <f t="shared" si="40"/>
        <v>30307.200000000004</v>
      </c>
      <c r="R4043">
        <f>K4043/J4043</f>
        <v>0.5</v>
      </c>
    </row>
    <row r="4044" spans="1:18" x14ac:dyDescent="0.3">
      <c r="A4044">
        <v>40</v>
      </c>
      <c r="B4044">
        <v>1142</v>
      </c>
      <c r="C4044" t="s">
        <v>17</v>
      </c>
      <c r="D4044" t="s">
        <v>18</v>
      </c>
      <c r="E4044">
        <v>72</v>
      </c>
      <c r="F4044" t="s">
        <v>22</v>
      </c>
      <c r="G4044">
        <v>4475.9000000000005</v>
      </c>
      <c r="H4044">
        <v>8841</v>
      </c>
      <c r="I4044">
        <v>18</v>
      </c>
      <c r="J4044">
        <v>8</v>
      </c>
      <c r="K4044">
        <v>2</v>
      </c>
      <c r="L4044">
        <v>2</v>
      </c>
      <c r="M4044">
        <v>2</v>
      </c>
      <c r="N4044">
        <v>2</v>
      </c>
      <c r="P4044">
        <f>G4044*I4044/100</f>
        <v>805.66200000000015</v>
      </c>
      <c r="Q4044">
        <f t="shared" si="40"/>
        <v>53710.8</v>
      </c>
      <c r="R4044">
        <f>K4044/J4044</f>
        <v>0.25</v>
      </c>
    </row>
    <row r="4045" spans="1:18" x14ac:dyDescent="0.3">
      <c r="A4045">
        <v>45</v>
      </c>
      <c r="B4045">
        <v>538</v>
      </c>
      <c r="C4045" t="s">
        <v>17</v>
      </c>
      <c r="D4045" t="s">
        <v>18</v>
      </c>
      <c r="E4045">
        <v>66</v>
      </c>
      <c r="F4045" t="s">
        <v>22</v>
      </c>
      <c r="G4045">
        <v>8185.1</v>
      </c>
      <c r="H4045">
        <v>20933</v>
      </c>
      <c r="I4045">
        <v>12</v>
      </c>
      <c r="J4045">
        <v>10</v>
      </c>
      <c r="K4045">
        <v>10</v>
      </c>
      <c r="L4045">
        <v>8</v>
      </c>
      <c r="M4045">
        <v>7</v>
      </c>
      <c r="N4045">
        <v>7</v>
      </c>
      <c r="P4045">
        <f>G4045*I4045/100</f>
        <v>982.2120000000001</v>
      </c>
      <c r="Q4045">
        <f t="shared" si="40"/>
        <v>98221.200000000012</v>
      </c>
      <c r="R4045">
        <f>K4045/J4045</f>
        <v>1</v>
      </c>
    </row>
    <row r="4046" spans="1:18" x14ac:dyDescent="0.3">
      <c r="A4046">
        <v>35</v>
      </c>
      <c r="B4046">
        <v>1402</v>
      </c>
      <c r="C4046" t="s">
        <v>14</v>
      </c>
      <c r="D4046" t="s">
        <v>15</v>
      </c>
      <c r="E4046">
        <v>98</v>
      </c>
      <c r="F4046" t="s">
        <v>24</v>
      </c>
      <c r="G4046">
        <v>2673</v>
      </c>
      <c r="H4046">
        <v>26204</v>
      </c>
      <c r="I4046">
        <v>23</v>
      </c>
      <c r="J4046">
        <v>6</v>
      </c>
      <c r="K4046">
        <v>5</v>
      </c>
      <c r="L4046">
        <v>3</v>
      </c>
      <c r="M4046">
        <v>4</v>
      </c>
      <c r="N4046">
        <v>2</v>
      </c>
      <c r="P4046">
        <f>G4046*I4046/100</f>
        <v>614.79</v>
      </c>
      <c r="Q4046">
        <f t="shared" si="40"/>
        <v>32076</v>
      </c>
      <c r="R4046">
        <f>K4046/J4046</f>
        <v>0.83333333333333337</v>
      </c>
    </row>
    <row r="4047" spans="1:18" x14ac:dyDescent="0.3">
      <c r="A4047">
        <v>32</v>
      </c>
      <c r="B4047">
        <v>824</v>
      </c>
      <c r="C4047" t="s">
        <v>17</v>
      </c>
      <c r="D4047" t="s">
        <v>15</v>
      </c>
      <c r="E4047">
        <v>67</v>
      </c>
      <c r="F4047" t="s">
        <v>19</v>
      </c>
      <c r="G4047">
        <v>6465.8</v>
      </c>
      <c r="H4047">
        <v>15624</v>
      </c>
      <c r="I4047">
        <v>12</v>
      </c>
      <c r="J4047">
        <v>12</v>
      </c>
      <c r="K4047">
        <v>7</v>
      </c>
      <c r="L4047">
        <v>1</v>
      </c>
      <c r="M4047">
        <v>2</v>
      </c>
      <c r="N4047">
        <v>5</v>
      </c>
      <c r="P4047">
        <f>G4047*I4047/100</f>
        <v>775.89600000000007</v>
      </c>
      <c r="Q4047">
        <f t="shared" si="40"/>
        <v>77589.600000000006</v>
      </c>
      <c r="R4047">
        <f>K4047/J4047</f>
        <v>0.58333333333333337</v>
      </c>
    </row>
    <row r="4048" spans="1:18" x14ac:dyDescent="0.3">
      <c r="A4048">
        <v>36</v>
      </c>
      <c r="B4048">
        <v>1157</v>
      </c>
      <c r="C4048" t="s">
        <v>14</v>
      </c>
      <c r="D4048" t="s">
        <v>18</v>
      </c>
      <c r="E4048">
        <v>70</v>
      </c>
      <c r="F4048" t="s">
        <v>24</v>
      </c>
      <c r="G4048">
        <v>2908.4</v>
      </c>
      <c r="H4048">
        <v>17001</v>
      </c>
      <c r="I4048">
        <v>21</v>
      </c>
      <c r="J4048">
        <v>7</v>
      </c>
      <c r="K4048">
        <v>3</v>
      </c>
      <c r="L4048">
        <v>2</v>
      </c>
      <c r="M4048">
        <v>1</v>
      </c>
      <c r="N4048">
        <v>2</v>
      </c>
      <c r="P4048">
        <f>G4048*I4048/100</f>
        <v>610.76400000000001</v>
      </c>
      <c r="Q4048">
        <f t="shared" si="40"/>
        <v>34900.800000000003</v>
      </c>
      <c r="R4048">
        <f>K4048/J4048</f>
        <v>0.42857142857142855</v>
      </c>
    </row>
    <row r="4049" spans="1:18" x14ac:dyDescent="0.3">
      <c r="A4049">
        <v>48</v>
      </c>
      <c r="B4049">
        <v>492</v>
      </c>
      <c r="C4049" t="s">
        <v>14</v>
      </c>
      <c r="D4049" t="s">
        <v>15</v>
      </c>
      <c r="E4049">
        <v>96</v>
      </c>
      <c r="F4049" t="s">
        <v>16</v>
      </c>
      <c r="G4049">
        <v>7082.9000000000005</v>
      </c>
      <c r="H4049">
        <v>13693</v>
      </c>
      <c r="I4049">
        <v>14</v>
      </c>
      <c r="J4049">
        <v>18</v>
      </c>
      <c r="K4049">
        <v>8</v>
      </c>
      <c r="L4049">
        <v>7</v>
      </c>
      <c r="M4049">
        <v>7</v>
      </c>
      <c r="N4049">
        <v>7</v>
      </c>
      <c r="P4049">
        <f>G4049*I4049/100</f>
        <v>991.60600000000011</v>
      </c>
      <c r="Q4049">
        <f t="shared" si="40"/>
        <v>84994.8</v>
      </c>
      <c r="R4049">
        <f>K4049/J4049</f>
        <v>0.44444444444444442</v>
      </c>
    </row>
    <row r="4050" spans="1:18" x14ac:dyDescent="0.3">
      <c r="A4050">
        <v>29</v>
      </c>
      <c r="B4050">
        <v>598</v>
      </c>
      <c r="C4050" t="s">
        <v>17</v>
      </c>
      <c r="D4050" t="s">
        <v>18</v>
      </c>
      <c r="E4050">
        <v>91</v>
      </c>
      <c r="F4050" t="s">
        <v>19</v>
      </c>
      <c r="G4050">
        <v>2696.1000000000004</v>
      </c>
      <c r="H4050">
        <v>22376</v>
      </c>
      <c r="I4050">
        <v>18</v>
      </c>
      <c r="J4050">
        <v>5</v>
      </c>
      <c r="K4050">
        <v>1</v>
      </c>
      <c r="L4050">
        <v>0</v>
      </c>
      <c r="M4050">
        <v>0</v>
      </c>
      <c r="N4050">
        <v>0</v>
      </c>
      <c r="P4050">
        <f>G4050*I4050/100</f>
        <v>485.298</v>
      </c>
      <c r="Q4050">
        <f t="shared" si="40"/>
        <v>32353.200000000004</v>
      </c>
      <c r="R4050">
        <f>K4050/J4050</f>
        <v>0.2</v>
      </c>
    </row>
    <row r="4051" spans="1:18" x14ac:dyDescent="0.3">
      <c r="A4051">
        <v>33</v>
      </c>
      <c r="B4051">
        <v>1242</v>
      </c>
      <c r="C4051" t="s">
        <v>14</v>
      </c>
      <c r="D4051" t="s">
        <v>18</v>
      </c>
      <c r="E4051">
        <v>46</v>
      </c>
      <c r="F4051" t="s">
        <v>16</v>
      </c>
      <c r="G4051">
        <v>7031.2000000000007</v>
      </c>
      <c r="H4051">
        <v>10589</v>
      </c>
      <c r="I4051">
        <v>13</v>
      </c>
      <c r="J4051">
        <v>8</v>
      </c>
      <c r="K4051">
        <v>2</v>
      </c>
      <c r="L4051">
        <v>2</v>
      </c>
      <c r="M4051">
        <v>2</v>
      </c>
      <c r="N4051">
        <v>2</v>
      </c>
      <c r="P4051">
        <f>G4051*I4051/100</f>
        <v>914.05600000000004</v>
      </c>
      <c r="Q4051">
        <f t="shared" si="40"/>
        <v>84374.400000000009</v>
      </c>
      <c r="R4051">
        <f>K4051/J4051</f>
        <v>0.25</v>
      </c>
    </row>
    <row r="4052" spans="1:18" x14ac:dyDescent="0.3">
      <c r="A4052">
        <v>30</v>
      </c>
      <c r="B4052">
        <v>740</v>
      </c>
      <c r="C4052" t="s">
        <v>14</v>
      </c>
      <c r="D4052" t="s">
        <v>18</v>
      </c>
      <c r="E4052">
        <v>64</v>
      </c>
      <c r="F4052" t="s">
        <v>16</v>
      </c>
      <c r="G4052">
        <v>10685.400000000001</v>
      </c>
      <c r="H4052">
        <v>5323</v>
      </c>
      <c r="I4052">
        <v>11</v>
      </c>
      <c r="J4052">
        <v>10</v>
      </c>
      <c r="K4052">
        <v>10</v>
      </c>
      <c r="L4052">
        <v>8</v>
      </c>
      <c r="M4052">
        <v>6</v>
      </c>
      <c r="N4052">
        <v>7</v>
      </c>
      <c r="P4052">
        <f>G4052*I4052/100</f>
        <v>1175.3940000000002</v>
      </c>
      <c r="Q4052">
        <f t="shared" si="40"/>
        <v>128224.80000000002</v>
      </c>
      <c r="R4052">
        <f>K4052/J4052</f>
        <v>1</v>
      </c>
    </row>
    <row r="4053" spans="1:18" x14ac:dyDescent="0.3">
      <c r="A4053">
        <v>38</v>
      </c>
      <c r="B4053">
        <v>888</v>
      </c>
      <c r="C4053" t="s">
        <v>26</v>
      </c>
      <c r="D4053" t="s">
        <v>18</v>
      </c>
      <c r="E4053">
        <v>71</v>
      </c>
      <c r="F4053" t="s">
        <v>26</v>
      </c>
      <c r="G4053">
        <v>6684.7000000000007</v>
      </c>
      <c r="H4053">
        <v>14814</v>
      </c>
      <c r="I4053">
        <v>11</v>
      </c>
      <c r="J4053">
        <v>10</v>
      </c>
      <c r="K4053">
        <v>6</v>
      </c>
      <c r="L4053">
        <v>3</v>
      </c>
      <c r="M4053">
        <v>1</v>
      </c>
      <c r="N4053">
        <v>2</v>
      </c>
      <c r="P4053">
        <f>G4053*I4053/100</f>
        <v>735.31700000000012</v>
      </c>
      <c r="Q4053">
        <f t="shared" si="40"/>
        <v>80216.400000000009</v>
      </c>
      <c r="R4053">
        <f>K4053/J4053</f>
        <v>0.6</v>
      </c>
    </row>
    <row r="4054" spans="1:18" x14ac:dyDescent="0.3">
      <c r="A4054">
        <v>35</v>
      </c>
      <c r="B4054">
        <v>992</v>
      </c>
      <c r="C4054" t="s">
        <v>17</v>
      </c>
      <c r="D4054" t="s">
        <v>18</v>
      </c>
      <c r="E4054">
        <v>68</v>
      </c>
      <c r="F4054" t="s">
        <v>20</v>
      </c>
      <c r="G4054">
        <v>2695</v>
      </c>
      <c r="H4054">
        <v>21731</v>
      </c>
      <c r="I4054">
        <v>19</v>
      </c>
      <c r="J4054">
        <v>3</v>
      </c>
      <c r="K4054">
        <v>3</v>
      </c>
      <c r="L4054">
        <v>0</v>
      </c>
      <c r="M4054">
        <v>1</v>
      </c>
      <c r="N4054">
        <v>2</v>
      </c>
      <c r="P4054">
        <f>G4054*I4054/100</f>
        <v>512.04999999999995</v>
      </c>
      <c r="Q4054">
        <f t="shared" si="40"/>
        <v>32340</v>
      </c>
      <c r="R4054">
        <f>K4054/J4054</f>
        <v>1</v>
      </c>
    </row>
    <row r="4055" spans="1:18" x14ac:dyDescent="0.3">
      <c r="A4055">
        <v>30</v>
      </c>
      <c r="B4055">
        <v>1288</v>
      </c>
      <c r="C4055" t="s">
        <v>14</v>
      </c>
      <c r="D4055" t="s">
        <v>18</v>
      </c>
      <c r="E4055">
        <v>33</v>
      </c>
      <c r="F4055" t="s">
        <v>16</v>
      </c>
      <c r="G4055">
        <v>10175</v>
      </c>
      <c r="H4055">
        <v>17799</v>
      </c>
      <c r="I4055">
        <v>12</v>
      </c>
      <c r="J4055">
        <v>9</v>
      </c>
      <c r="K4055">
        <v>4</v>
      </c>
      <c r="L4055">
        <v>2</v>
      </c>
      <c r="M4055">
        <v>1</v>
      </c>
      <c r="N4055">
        <v>3</v>
      </c>
      <c r="P4055">
        <f>G4055*I4055/100</f>
        <v>1221</v>
      </c>
      <c r="Q4055">
        <f t="shared" si="40"/>
        <v>122100</v>
      </c>
      <c r="R4055">
        <f>K4055/J4055</f>
        <v>0.44444444444444442</v>
      </c>
    </row>
    <row r="4056" spans="1:18" x14ac:dyDescent="0.3">
      <c r="A4056">
        <v>35</v>
      </c>
      <c r="B4056">
        <v>104</v>
      </c>
      <c r="C4056" t="s">
        <v>17</v>
      </c>
      <c r="D4056" t="s">
        <v>15</v>
      </c>
      <c r="E4056">
        <v>69</v>
      </c>
      <c r="F4056" t="s">
        <v>20</v>
      </c>
      <c r="G4056">
        <v>2281.4</v>
      </c>
      <c r="H4056">
        <v>26619</v>
      </c>
      <c r="I4056">
        <v>12</v>
      </c>
      <c r="J4056">
        <v>1</v>
      </c>
      <c r="K4056">
        <v>1</v>
      </c>
      <c r="L4056">
        <v>0</v>
      </c>
      <c r="M4056">
        <v>0</v>
      </c>
      <c r="N4056">
        <v>0</v>
      </c>
      <c r="P4056">
        <f>G4056*I4056/100</f>
        <v>273.76800000000003</v>
      </c>
      <c r="Q4056">
        <f t="shared" si="40"/>
        <v>27376.800000000003</v>
      </c>
      <c r="R4056">
        <f>K4056/J4056</f>
        <v>1</v>
      </c>
    </row>
    <row r="4057" spans="1:18" x14ac:dyDescent="0.3">
      <c r="A4057">
        <v>53</v>
      </c>
      <c r="B4057">
        <v>607</v>
      </c>
      <c r="C4057" t="s">
        <v>17</v>
      </c>
      <c r="D4057" t="s">
        <v>15</v>
      </c>
      <c r="E4057">
        <v>78</v>
      </c>
      <c r="F4057" t="s">
        <v>21</v>
      </c>
      <c r="G4057">
        <v>11185.900000000001</v>
      </c>
      <c r="H4057">
        <v>14618</v>
      </c>
      <c r="I4057">
        <v>16</v>
      </c>
      <c r="J4057">
        <v>34</v>
      </c>
      <c r="K4057">
        <v>33</v>
      </c>
      <c r="L4057">
        <v>7</v>
      </c>
      <c r="M4057">
        <v>1</v>
      </c>
      <c r="N4057">
        <v>9</v>
      </c>
      <c r="P4057">
        <f>G4057*I4057/100</f>
        <v>1789.7440000000001</v>
      </c>
      <c r="Q4057">
        <f t="shared" si="40"/>
        <v>134230.80000000002</v>
      </c>
      <c r="R4057">
        <f>K4057/J4057</f>
        <v>0.97058823529411764</v>
      </c>
    </row>
    <row r="4058" spans="1:18" x14ac:dyDescent="0.3">
      <c r="A4058">
        <v>38</v>
      </c>
      <c r="B4058">
        <v>903</v>
      </c>
      <c r="C4058" t="s">
        <v>17</v>
      </c>
      <c r="D4058" t="s">
        <v>18</v>
      </c>
      <c r="E4058">
        <v>81</v>
      </c>
      <c r="F4058" t="s">
        <v>21</v>
      </c>
      <c r="G4058">
        <v>5340.5</v>
      </c>
      <c r="H4058">
        <v>7653</v>
      </c>
      <c r="I4058">
        <v>11</v>
      </c>
      <c r="J4058">
        <v>7</v>
      </c>
      <c r="K4058">
        <v>5</v>
      </c>
      <c r="L4058">
        <v>2</v>
      </c>
      <c r="M4058">
        <v>1</v>
      </c>
      <c r="N4058">
        <v>4</v>
      </c>
      <c r="P4058">
        <f>G4058*I4058/100</f>
        <v>587.45500000000004</v>
      </c>
      <c r="Q4058">
        <f t="shared" si="40"/>
        <v>64086</v>
      </c>
      <c r="R4058">
        <f>K4058/J4058</f>
        <v>0.7142857142857143</v>
      </c>
    </row>
    <row r="4059" spans="1:18" x14ac:dyDescent="0.3">
      <c r="A4059">
        <v>32</v>
      </c>
      <c r="B4059">
        <v>1200</v>
      </c>
      <c r="C4059" t="s">
        <v>17</v>
      </c>
      <c r="D4059" t="s">
        <v>18</v>
      </c>
      <c r="E4059">
        <v>62</v>
      </c>
      <c r="F4059" t="s">
        <v>19</v>
      </c>
      <c r="G4059">
        <v>4495.7000000000007</v>
      </c>
      <c r="H4059">
        <v>25174</v>
      </c>
      <c r="I4059">
        <v>14</v>
      </c>
      <c r="J4059">
        <v>9</v>
      </c>
      <c r="K4059">
        <v>6</v>
      </c>
      <c r="L4059">
        <v>5</v>
      </c>
      <c r="M4059">
        <v>1</v>
      </c>
      <c r="N4059">
        <v>2</v>
      </c>
      <c r="P4059">
        <f>G4059*I4059/100</f>
        <v>629.39800000000014</v>
      </c>
      <c r="Q4059">
        <f t="shared" si="40"/>
        <v>53948.400000000009</v>
      </c>
      <c r="R4059">
        <f>K4059/J4059</f>
        <v>0.66666666666666663</v>
      </c>
    </row>
    <row r="4060" spans="1:18" x14ac:dyDescent="0.3">
      <c r="A4060">
        <v>48</v>
      </c>
      <c r="B4060">
        <v>1108</v>
      </c>
      <c r="C4060" t="s">
        <v>17</v>
      </c>
      <c r="D4060" t="s">
        <v>15</v>
      </c>
      <c r="E4060">
        <v>65</v>
      </c>
      <c r="F4060" t="s">
        <v>19</v>
      </c>
      <c r="G4060">
        <v>2603.7000000000003</v>
      </c>
      <c r="H4060">
        <v>16530</v>
      </c>
      <c r="I4060">
        <v>12</v>
      </c>
      <c r="J4060">
        <v>10</v>
      </c>
      <c r="K4060">
        <v>8</v>
      </c>
      <c r="L4060">
        <v>2</v>
      </c>
      <c r="M4060">
        <v>7</v>
      </c>
      <c r="N4060">
        <v>6</v>
      </c>
      <c r="P4060">
        <f>G4060*I4060/100</f>
        <v>312.44400000000002</v>
      </c>
      <c r="Q4060">
        <f t="shared" si="40"/>
        <v>31244.400000000001</v>
      </c>
      <c r="R4060">
        <f>K4060/J4060</f>
        <v>0.8</v>
      </c>
    </row>
    <row r="4061" spans="1:18" x14ac:dyDescent="0.3">
      <c r="A4061">
        <v>34</v>
      </c>
      <c r="B4061">
        <v>479</v>
      </c>
      <c r="C4061" t="s">
        <v>17</v>
      </c>
      <c r="D4061" t="s">
        <v>18</v>
      </c>
      <c r="E4061">
        <v>35</v>
      </c>
      <c r="F4061" t="s">
        <v>19</v>
      </c>
      <c r="G4061">
        <v>3269.2000000000003</v>
      </c>
      <c r="H4061">
        <v>22061</v>
      </c>
      <c r="I4061">
        <v>13</v>
      </c>
      <c r="J4061">
        <v>1</v>
      </c>
      <c r="K4061">
        <v>1</v>
      </c>
      <c r="L4061">
        <v>0</v>
      </c>
      <c r="M4061">
        <v>0</v>
      </c>
      <c r="N4061">
        <v>0</v>
      </c>
      <c r="P4061">
        <f>G4061*I4061/100</f>
        <v>424.99600000000004</v>
      </c>
      <c r="Q4061">
        <f t="shared" si="40"/>
        <v>39230.400000000001</v>
      </c>
      <c r="R4061">
        <f>K4061/J4061</f>
        <v>1</v>
      </c>
    </row>
    <row r="4062" spans="1:18" x14ac:dyDescent="0.3">
      <c r="A4062">
        <v>55</v>
      </c>
      <c r="B4062">
        <v>685</v>
      </c>
      <c r="C4062" t="s">
        <v>14</v>
      </c>
      <c r="D4062" t="s">
        <v>18</v>
      </c>
      <c r="E4062">
        <v>60</v>
      </c>
      <c r="F4062" t="s">
        <v>23</v>
      </c>
      <c r="G4062">
        <v>21544.600000000002</v>
      </c>
      <c r="H4062">
        <v>23037</v>
      </c>
      <c r="I4062">
        <v>21</v>
      </c>
      <c r="J4062">
        <v>36</v>
      </c>
      <c r="K4062">
        <v>36</v>
      </c>
      <c r="L4062">
        <v>6</v>
      </c>
      <c r="M4062">
        <v>2</v>
      </c>
      <c r="N4062">
        <v>13</v>
      </c>
      <c r="P4062">
        <f>G4062*I4062/100</f>
        <v>4524.366</v>
      </c>
      <c r="Q4062">
        <f t="shared" si="40"/>
        <v>258535.2</v>
      </c>
      <c r="R4062">
        <f>K4062/J4062</f>
        <v>1</v>
      </c>
    </row>
    <row r="4063" spans="1:18" x14ac:dyDescent="0.3">
      <c r="A4063">
        <v>34</v>
      </c>
      <c r="B4063">
        <v>1351</v>
      </c>
      <c r="C4063" t="s">
        <v>17</v>
      </c>
      <c r="D4063" t="s">
        <v>18</v>
      </c>
      <c r="E4063">
        <v>45</v>
      </c>
      <c r="F4063" t="s">
        <v>19</v>
      </c>
      <c r="G4063">
        <v>6032.4000000000005</v>
      </c>
      <c r="H4063">
        <v>13008</v>
      </c>
      <c r="I4063">
        <v>17</v>
      </c>
      <c r="J4063">
        <v>9</v>
      </c>
      <c r="K4063">
        <v>2</v>
      </c>
      <c r="L4063">
        <v>2</v>
      </c>
      <c r="M4063">
        <v>2</v>
      </c>
      <c r="N4063">
        <v>1</v>
      </c>
      <c r="P4063">
        <f>G4063*I4063/100</f>
        <v>1025.508</v>
      </c>
      <c r="Q4063">
        <f t="shared" si="40"/>
        <v>72388.800000000003</v>
      </c>
      <c r="R4063">
        <f>K4063/J4063</f>
        <v>0.22222222222222221</v>
      </c>
    </row>
    <row r="4064" spans="1:18" x14ac:dyDescent="0.3">
      <c r="A4064">
        <v>26</v>
      </c>
      <c r="B4064">
        <v>474</v>
      </c>
      <c r="C4064" t="s">
        <v>17</v>
      </c>
      <c r="D4064" t="s">
        <v>15</v>
      </c>
      <c r="E4064">
        <v>89</v>
      </c>
      <c r="F4064" t="s">
        <v>19</v>
      </c>
      <c r="G4064">
        <v>2267.1000000000004</v>
      </c>
      <c r="H4064">
        <v>11133</v>
      </c>
      <c r="I4064">
        <v>21</v>
      </c>
      <c r="J4064">
        <v>1</v>
      </c>
      <c r="K4064">
        <v>1</v>
      </c>
      <c r="L4064">
        <v>0</v>
      </c>
      <c r="M4064">
        <v>0</v>
      </c>
      <c r="N4064">
        <v>0</v>
      </c>
      <c r="P4064">
        <f>G4064*I4064/100</f>
        <v>476.09100000000007</v>
      </c>
      <c r="Q4064">
        <f t="shared" si="40"/>
        <v>27205.200000000004</v>
      </c>
      <c r="R4064">
        <f>K4064/J4064</f>
        <v>1</v>
      </c>
    </row>
    <row r="4065" spans="1:18" x14ac:dyDescent="0.3">
      <c r="A4065">
        <v>38</v>
      </c>
      <c r="B4065">
        <v>1245</v>
      </c>
      <c r="C4065" t="s">
        <v>14</v>
      </c>
      <c r="D4065" t="s">
        <v>18</v>
      </c>
      <c r="E4065">
        <v>80</v>
      </c>
      <c r="F4065" t="s">
        <v>16</v>
      </c>
      <c r="G4065">
        <v>10916.400000000001</v>
      </c>
      <c r="H4065">
        <v>12355</v>
      </c>
      <c r="I4065">
        <v>11</v>
      </c>
      <c r="J4065">
        <v>10</v>
      </c>
      <c r="K4065">
        <v>9</v>
      </c>
      <c r="L4065">
        <v>8</v>
      </c>
      <c r="M4065">
        <v>7</v>
      </c>
      <c r="N4065">
        <v>7</v>
      </c>
      <c r="P4065">
        <f>G4065*I4065/100</f>
        <v>1200.8040000000003</v>
      </c>
      <c r="Q4065">
        <f t="shared" si="40"/>
        <v>130996.80000000002</v>
      </c>
      <c r="R4065">
        <f>K4065/J4065</f>
        <v>0.9</v>
      </c>
    </row>
    <row r="4066" spans="1:18" x14ac:dyDescent="0.3">
      <c r="A4066">
        <v>38</v>
      </c>
      <c r="B4066">
        <v>437</v>
      </c>
      <c r="C4066" t="s">
        <v>14</v>
      </c>
      <c r="D4066" t="s">
        <v>15</v>
      </c>
      <c r="E4066">
        <v>90</v>
      </c>
      <c r="F4066" t="s">
        <v>16</v>
      </c>
      <c r="G4066">
        <v>4617.8</v>
      </c>
      <c r="H4066">
        <v>16379</v>
      </c>
      <c r="I4066">
        <v>12</v>
      </c>
      <c r="J4066">
        <v>8</v>
      </c>
      <c r="K4066">
        <v>3</v>
      </c>
      <c r="L4066">
        <v>2</v>
      </c>
      <c r="M4066">
        <v>1</v>
      </c>
      <c r="N4066">
        <v>2</v>
      </c>
      <c r="P4066">
        <f>G4066*I4066/100</f>
        <v>554.13600000000008</v>
      </c>
      <c r="Q4066">
        <f t="shared" si="40"/>
        <v>55413.600000000006</v>
      </c>
      <c r="R4066">
        <f>K4066/J4066</f>
        <v>0.375</v>
      </c>
    </row>
    <row r="4067" spans="1:18" x14ac:dyDescent="0.3">
      <c r="A4067">
        <v>36</v>
      </c>
      <c r="B4067">
        <v>884</v>
      </c>
      <c r="C4067" t="s">
        <v>14</v>
      </c>
      <c r="D4067" t="s">
        <v>15</v>
      </c>
      <c r="E4067">
        <v>73</v>
      </c>
      <c r="F4067" t="s">
        <v>16</v>
      </c>
      <c r="G4067">
        <v>7496.5000000000009</v>
      </c>
      <c r="H4067">
        <v>21447</v>
      </c>
      <c r="I4067">
        <v>13</v>
      </c>
      <c r="J4067">
        <v>15</v>
      </c>
      <c r="K4067">
        <v>1</v>
      </c>
      <c r="L4067">
        <v>0</v>
      </c>
      <c r="M4067">
        <v>0</v>
      </c>
      <c r="N4067">
        <v>0</v>
      </c>
      <c r="P4067">
        <f>G4067*I4067/100</f>
        <v>974.54500000000019</v>
      </c>
      <c r="Q4067">
        <f t="shared" si="40"/>
        <v>89958.000000000015</v>
      </c>
      <c r="R4067">
        <f>K4067/J4067</f>
        <v>6.6666666666666666E-2</v>
      </c>
    </row>
    <row r="4068" spans="1:18" x14ac:dyDescent="0.3">
      <c r="A4068">
        <v>29</v>
      </c>
      <c r="B4068">
        <v>1370</v>
      </c>
      <c r="C4068" t="s">
        <v>17</v>
      </c>
      <c r="D4068" t="s">
        <v>18</v>
      </c>
      <c r="E4068">
        <v>87</v>
      </c>
      <c r="F4068" t="s">
        <v>20</v>
      </c>
      <c r="G4068">
        <v>5195.3</v>
      </c>
      <c r="H4068">
        <v>16213</v>
      </c>
      <c r="I4068">
        <v>18</v>
      </c>
      <c r="J4068">
        <v>10</v>
      </c>
      <c r="K4068">
        <v>10</v>
      </c>
      <c r="L4068">
        <v>9</v>
      </c>
      <c r="M4068">
        <v>1</v>
      </c>
      <c r="N4068">
        <v>5</v>
      </c>
      <c r="P4068">
        <f>G4068*I4068/100</f>
        <v>935.15400000000011</v>
      </c>
      <c r="Q4068">
        <f t="shared" si="40"/>
        <v>62343.600000000006</v>
      </c>
      <c r="R4068">
        <f>K4068/J4068</f>
        <v>1</v>
      </c>
    </row>
    <row r="4069" spans="1:18" x14ac:dyDescent="0.3">
      <c r="A4069">
        <v>35</v>
      </c>
      <c r="B4069">
        <v>670</v>
      </c>
      <c r="C4069" t="s">
        <v>17</v>
      </c>
      <c r="D4069" t="s">
        <v>15</v>
      </c>
      <c r="E4069">
        <v>51</v>
      </c>
      <c r="F4069" t="s">
        <v>22</v>
      </c>
      <c r="G4069">
        <v>6756.2000000000007</v>
      </c>
      <c r="H4069">
        <v>4223</v>
      </c>
      <c r="I4069">
        <v>16</v>
      </c>
      <c r="J4069">
        <v>10</v>
      </c>
      <c r="K4069">
        <v>5</v>
      </c>
      <c r="L4069">
        <v>2</v>
      </c>
      <c r="M4069">
        <v>0</v>
      </c>
      <c r="N4069">
        <v>4</v>
      </c>
      <c r="P4069">
        <f>G4069*I4069/100</f>
        <v>1080.9920000000002</v>
      </c>
      <c r="Q4069">
        <f t="shared" si="40"/>
        <v>81074.400000000009</v>
      </c>
      <c r="R4069">
        <f>K4069/J4069</f>
        <v>0.5</v>
      </c>
    </row>
    <row r="4070" spans="1:18" x14ac:dyDescent="0.3">
      <c r="A4070">
        <v>39</v>
      </c>
      <c r="B4070">
        <v>1462</v>
      </c>
      <c r="C4070" t="s">
        <v>14</v>
      </c>
      <c r="D4070" t="s">
        <v>18</v>
      </c>
      <c r="E4070">
        <v>38</v>
      </c>
      <c r="F4070" t="s">
        <v>16</v>
      </c>
      <c r="G4070">
        <v>9060.7000000000007</v>
      </c>
      <c r="H4070">
        <v>4658</v>
      </c>
      <c r="I4070">
        <v>11</v>
      </c>
      <c r="J4070">
        <v>11</v>
      </c>
      <c r="K4070">
        <v>7</v>
      </c>
      <c r="L4070">
        <v>6</v>
      </c>
      <c r="M4070">
        <v>7</v>
      </c>
      <c r="N4070">
        <v>6</v>
      </c>
      <c r="P4070">
        <f>G4070*I4070/100</f>
        <v>996.67700000000013</v>
      </c>
      <c r="Q4070">
        <f t="shared" si="40"/>
        <v>108728.40000000001</v>
      </c>
      <c r="R4070">
        <f>K4070/J4070</f>
        <v>0.63636363636363635</v>
      </c>
    </row>
    <row r="4071" spans="1:18" x14ac:dyDescent="0.3">
      <c r="A4071">
        <v>29</v>
      </c>
      <c r="B4071">
        <v>995</v>
      </c>
      <c r="C4071" t="s">
        <v>17</v>
      </c>
      <c r="D4071" t="s">
        <v>18</v>
      </c>
      <c r="E4071">
        <v>87</v>
      </c>
      <c r="F4071" t="s">
        <v>22</v>
      </c>
      <c r="G4071">
        <v>9738.3000000000011</v>
      </c>
      <c r="H4071">
        <v>24483</v>
      </c>
      <c r="I4071">
        <v>19</v>
      </c>
      <c r="J4071">
        <v>6</v>
      </c>
      <c r="K4071">
        <v>6</v>
      </c>
      <c r="L4071">
        <v>4</v>
      </c>
      <c r="M4071">
        <v>1</v>
      </c>
      <c r="N4071">
        <v>3</v>
      </c>
      <c r="P4071">
        <f>G4071*I4071/100</f>
        <v>1850.277</v>
      </c>
      <c r="Q4071">
        <f t="shared" si="40"/>
        <v>116859.6</v>
      </c>
      <c r="R4071">
        <f>K4071/J4071</f>
        <v>1</v>
      </c>
    </row>
    <row r="4072" spans="1:18" x14ac:dyDescent="0.3">
      <c r="A4072">
        <v>50</v>
      </c>
      <c r="B4072">
        <v>264</v>
      </c>
      <c r="C4072" t="s">
        <v>14</v>
      </c>
      <c r="D4072" t="s">
        <v>18</v>
      </c>
      <c r="E4072">
        <v>59</v>
      </c>
      <c r="F4072" t="s">
        <v>23</v>
      </c>
      <c r="G4072">
        <v>21264.100000000002</v>
      </c>
      <c r="H4072">
        <v>19519</v>
      </c>
      <c r="I4072">
        <v>16</v>
      </c>
      <c r="J4072">
        <v>27</v>
      </c>
      <c r="K4072">
        <v>1</v>
      </c>
      <c r="L4072">
        <v>0</v>
      </c>
      <c r="M4072">
        <v>0</v>
      </c>
      <c r="N4072">
        <v>0</v>
      </c>
      <c r="P4072">
        <f>G4072*I4072/100</f>
        <v>3402.2560000000003</v>
      </c>
      <c r="Q4072">
        <f t="shared" si="40"/>
        <v>255169.2</v>
      </c>
      <c r="R4072">
        <f>K4072/J4072</f>
        <v>3.7037037037037035E-2</v>
      </c>
    </row>
    <row r="4073" spans="1:18" x14ac:dyDescent="0.3">
      <c r="A4073">
        <v>23</v>
      </c>
      <c r="B4073">
        <v>977</v>
      </c>
      <c r="C4073" t="s">
        <v>17</v>
      </c>
      <c r="D4073" t="s">
        <v>18</v>
      </c>
      <c r="E4073">
        <v>45</v>
      </c>
      <c r="F4073" t="s">
        <v>19</v>
      </c>
      <c r="G4073">
        <v>2280.3000000000002</v>
      </c>
      <c r="H4073">
        <v>12826</v>
      </c>
      <c r="I4073">
        <v>16</v>
      </c>
      <c r="J4073">
        <v>4</v>
      </c>
      <c r="K4073">
        <v>2</v>
      </c>
      <c r="L4073">
        <v>2</v>
      </c>
      <c r="M4073">
        <v>2</v>
      </c>
      <c r="N4073">
        <v>2</v>
      </c>
      <c r="P4073">
        <f>G4073*I4073/100</f>
        <v>364.84800000000001</v>
      </c>
      <c r="Q4073">
        <f t="shared" si="40"/>
        <v>27363.600000000002</v>
      </c>
      <c r="R4073">
        <f>K4073/J4073</f>
        <v>0.5</v>
      </c>
    </row>
    <row r="4074" spans="1:18" x14ac:dyDescent="0.3">
      <c r="A4074">
        <v>36</v>
      </c>
      <c r="B4074">
        <v>1302</v>
      </c>
      <c r="C4074" t="s">
        <v>17</v>
      </c>
      <c r="D4074" t="s">
        <v>18</v>
      </c>
      <c r="E4074">
        <v>80</v>
      </c>
      <c r="F4074" t="s">
        <v>20</v>
      </c>
      <c r="G4074">
        <v>6118.2000000000007</v>
      </c>
      <c r="H4074">
        <v>19711</v>
      </c>
      <c r="I4074">
        <v>13</v>
      </c>
      <c r="J4074">
        <v>9</v>
      </c>
      <c r="K4074">
        <v>3</v>
      </c>
      <c r="L4074">
        <v>2</v>
      </c>
      <c r="M4074">
        <v>0</v>
      </c>
      <c r="N4074">
        <v>2</v>
      </c>
      <c r="P4074">
        <f>G4074*I4074/100</f>
        <v>795.3660000000001</v>
      </c>
      <c r="Q4074">
        <f t="shared" si="40"/>
        <v>73418.400000000009</v>
      </c>
      <c r="R4074">
        <f>K4074/J4074</f>
        <v>0.33333333333333331</v>
      </c>
    </row>
    <row r="4075" spans="1:18" x14ac:dyDescent="0.3">
      <c r="A4075">
        <v>42</v>
      </c>
      <c r="B4075">
        <v>1059</v>
      </c>
      <c r="C4075" t="s">
        <v>17</v>
      </c>
      <c r="D4075" t="s">
        <v>18</v>
      </c>
      <c r="E4075">
        <v>93</v>
      </c>
      <c r="F4075" t="s">
        <v>23</v>
      </c>
      <c r="G4075">
        <v>21574.300000000003</v>
      </c>
      <c r="H4075">
        <v>26362</v>
      </c>
      <c r="I4075">
        <v>22</v>
      </c>
      <c r="J4075">
        <v>24</v>
      </c>
      <c r="K4075">
        <v>1</v>
      </c>
      <c r="L4075">
        <v>0</v>
      </c>
      <c r="M4075">
        <v>0</v>
      </c>
      <c r="N4075">
        <v>1</v>
      </c>
      <c r="P4075">
        <f>G4075*I4075/100</f>
        <v>4746.3460000000014</v>
      </c>
      <c r="Q4075">
        <f t="shared" si="40"/>
        <v>258891.60000000003</v>
      </c>
      <c r="R4075">
        <f>K4075/J4075</f>
        <v>4.1666666666666664E-2</v>
      </c>
    </row>
    <row r="4076" spans="1:18" x14ac:dyDescent="0.3">
      <c r="A4076">
        <v>35</v>
      </c>
      <c r="B4076">
        <v>750</v>
      </c>
      <c r="C4076" t="s">
        <v>17</v>
      </c>
      <c r="D4076" t="s">
        <v>18</v>
      </c>
      <c r="E4076">
        <v>46</v>
      </c>
      <c r="F4076" t="s">
        <v>20</v>
      </c>
      <c r="G4076">
        <v>3747.7000000000003</v>
      </c>
      <c r="H4076">
        <v>25348</v>
      </c>
      <c r="I4076">
        <v>17</v>
      </c>
      <c r="J4076">
        <v>10</v>
      </c>
      <c r="K4076">
        <v>10</v>
      </c>
      <c r="L4076">
        <v>9</v>
      </c>
      <c r="M4076">
        <v>6</v>
      </c>
      <c r="N4076">
        <v>8</v>
      </c>
      <c r="P4076">
        <f>G4076*I4076/100</f>
        <v>637.10900000000004</v>
      </c>
      <c r="Q4076">
        <f t="shared" si="40"/>
        <v>44972.4</v>
      </c>
      <c r="R4076">
        <f>K4076/J4076</f>
        <v>1</v>
      </c>
    </row>
    <row r="4077" spans="1:18" x14ac:dyDescent="0.3">
      <c r="A4077">
        <v>34</v>
      </c>
      <c r="B4077">
        <v>653</v>
      </c>
      <c r="C4077" t="s">
        <v>17</v>
      </c>
      <c r="D4077" t="s">
        <v>18</v>
      </c>
      <c r="E4077">
        <v>92</v>
      </c>
      <c r="F4077" t="s">
        <v>22</v>
      </c>
      <c r="G4077">
        <v>5569.3</v>
      </c>
      <c r="H4077">
        <v>15332</v>
      </c>
      <c r="I4077">
        <v>14</v>
      </c>
      <c r="J4077">
        <v>8</v>
      </c>
      <c r="K4077">
        <v>8</v>
      </c>
      <c r="L4077">
        <v>2</v>
      </c>
      <c r="M4077">
        <v>7</v>
      </c>
      <c r="N4077">
        <v>7</v>
      </c>
      <c r="P4077">
        <f>G4077*I4077/100</f>
        <v>779.702</v>
      </c>
      <c r="Q4077">
        <f t="shared" si="40"/>
        <v>66831.600000000006</v>
      </c>
      <c r="R4077">
        <f>K4077/J4077</f>
        <v>1</v>
      </c>
    </row>
    <row r="4078" spans="1:18" x14ac:dyDescent="0.3">
      <c r="A4078">
        <v>40</v>
      </c>
      <c r="B4078">
        <v>118</v>
      </c>
      <c r="C4078" t="s">
        <v>14</v>
      </c>
      <c r="D4078" t="s">
        <v>15</v>
      </c>
      <c r="E4078">
        <v>84</v>
      </c>
      <c r="F4078" t="s">
        <v>16</v>
      </c>
      <c r="G4078">
        <v>5102.9000000000005</v>
      </c>
      <c r="H4078">
        <v>11262</v>
      </c>
      <c r="I4078">
        <v>15</v>
      </c>
      <c r="J4078">
        <v>5</v>
      </c>
      <c r="K4078">
        <v>5</v>
      </c>
      <c r="L4078">
        <v>4</v>
      </c>
      <c r="M4078">
        <v>1</v>
      </c>
      <c r="N4078">
        <v>2</v>
      </c>
      <c r="P4078">
        <f>G4078*I4078/100</f>
        <v>765.43500000000017</v>
      </c>
      <c r="Q4078">
        <f t="shared" si="40"/>
        <v>61234.8</v>
      </c>
      <c r="R4078">
        <f>K4078/J4078</f>
        <v>1</v>
      </c>
    </row>
    <row r="4079" spans="1:18" x14ac:dyDescent="0.3">
      <c r="A4079">
        <v>43</v>
      </c>
      <c r="B4079">
        <v>990</v>
      </c>
      <c r="C4079" t="s">
        <v>17</v>
      </c>
      <c r="D4079" t="s">
        <v>18</v>
      </c>
      <c r="E4079">
        <v>87</v>
      </c>
      <c r="F4079" t="s">
        <v>20</v>
      </c>
      <c r="G4079">
        <v>5363.6</v>
      </c>
      <c r="H4079">
        <v>5855</v>
      </c>
      <c r="I4079">
        <v>12</v>
      </c>
      <c r="J4079">
        <v>8</v>
      </c>
      <c r="K4079">
        <v>6</v>
      </c>
      <c r="L4079">
        <v>4</v>
      </c>
      <c r="M4079">
        <v>0</v>
      </c>
      <c r="N4079">
        <v>2</v>
      </c>
      <c r="P4079">
        <f>G4079*I4079/100</f>
        <v>643.63200000000006</v>
      </c>
      <c r="Q4079">
        <f t="shared" si="40"/>
        <v>64363.200000000004</v>
      </c>
      <c r="R4079">
        <f>K4079/J4079</f>
        <v>0.75</v>
      </c>
    </row>
    <row r="4080" spans="1:18" x14ac:dyDescent="0.3">
      <c r="A4080">
        <v>35</v>
      </c>
      <c r="B4080">
        <v>1349</v>
      </c>
      <c r="C4080" t="s">
        <v>17</v>
      </c>
      <c r="D4080" t="s">
        <v>18</v>
      </c>
      <c r="E4080">
        <v>63</v>
      </c>
      <c r="F4080" t="s">
        <v>20</v>
      </c>
      <c r="G4080">
        <v>2959.0000000000005</v>
      </c>
      <c r="H4080">
        <v>7713</v>
      </c>
      <c r="I4080">
        <v>18</v>
      </c>
      <c r="J4080">
        <v>1</v>
      </c>
      <c r="K4080">
        <v>1</v>
      </c>
      <c r="L4080">
        <v>0</v>
      </c>
      <c r="M4080">
        <v>0</v>
      </c>
      <c r="N4080">
        <v>1</v>
      </c>
      <c r="P4080">
        <f>G4080*I4080/100</f>
        <v>532.62000000000012</v>
      </c>
      <c r="Q4080">
        <f t="shared" si="40"/>
        <v>35508.000000000007</v>
      </c>
      <c r="R4080">
        <f>K4080/J4080</f>
        <v>1</v>
      </c>
    </row>
    <row r="4081" spans="1:18" x14ac:dyDescent="0.3">
      <c r="A4081">
        <v>46</v>
      </c>
      <c r="B4081">
        <v>563</v>
      </c>
      <c r="C4081" t="s">
        <v>14</v>
      </c>
      <c r="D4081" t="s">
        <v>18</v>
      </c>
      <c r="E4081">
        <v>56</v>
      </c>
      <c r="F4081" t="s">
        <v>23</v>
      </c>
      <c r="G4081">
        <v>19323.7</v>
      </c>
      <c r="H4081">
        <v>3156</v>
      </c>
      <c r="I4081">
        <v>15</v>
      </c>
      <c r="J4081">
        <v>27</v>
      </c>
      <c r="K4081">
        <v>26</v>
      </c>
      <c r="L4081">
        <v>0</v>
      </c>
      <c r="M4081">
        <v>0</v>
      </c>
      <c r="N4081">
        <v>12</v>
      </c>
      <c r="P4081">
        <f>G4081*I4081/100</f>
        <v>2898.5549999999998</v>
      </c>
      <c r="Q4081">
        <f t="shared" si="40"/>
        <v>231884.40000000002</v>
      </c>
      <c r="R4081">
        <f>K4081/J4081</f>
        <v>0.96296296296296291</v>
      </c>
    </row>
    <row r="4082" spans="1:18" x14ac:dyDescent="0.3">
      <c r="A4082">
        <v>28</v>
      </c>
      <c r="B4082">
        <v>329</v>
      </c>
      <c r="C4082" t="s">
        <v>17</v>
      </c>
      <c r="D4082" t="s">
        <v>18</v>
      </c>
      <c r="E4082">
        <v>51</v>
      </c>
      <c r="F4082" t="s">
        <v>20</v>
      </c>
      <c r="G4082">
        <v>2648.8</v>
      </c>
      <c r="H4082">
        <v>7324</v>
      </c>
      <c r="I4082">
        <v>17</v>
      </c>
      <c r="J4082">
        <v>1</v>
      </c>
      <c r="K4082">
        <v>1</v>
      </c>
      <c r="L4082">
        <v>1</v>
      </c>
      <c r="M4082">
        <v>0</v>
      </c>
      <c r="N4082">
        <v>0</v>
      </c>
      <c r="P4082">
        <f>G4082*I4082/100</f>
        <v>450.29600000000005</v>
      </c>
      <c r="Q4082">
        <f t="shared" si="40"/>
        <v>31785.600000000002</v>
      </c>
      <c r="R4082">
        <f>K4082/J4082</f>
        <v>1</v>
      </c>
    </row>
    <row r="4083" spans="1:18" x14ac:dyDescent="0.3">
      <c r="A4083">
        <v>22</v>
      </c>
      <c r="B4083">
        <v>457</v>
      </c>
      <c r="C4083" t="s">
        <v>17</v>
      </c>
      <c r="D4083" t="s">
        <v>15</v>
      </c>
      <c r="E4083">
        <v>85</v>
      </c>
      <c r="F4083" t="s">
        <v>19</v>
      </c>
      <c r="G4083">
        <v>3095.4</v>
      </c>
      <c r="H4083">
        <v>10293</v>
      </c>
      <c r="I4083">
        <v>14</v>
      </c>
      <c r="J4083">
        <v>4</v>
      </c>
      <c r="K4083">
        <v>4</v>
      </c>
      <c r="L4083">
        <v>2</v>
      </c>
      <c r="M4083">
        <v>1</v>
      </c>
      <c r="N4083">
        <v>3</v>
      </c>
      <c r="P4083">
        <f>G4083*I4083/100</f>
        <v>433.35599999999999</v>
      </c>
      <c r="Q4083">
        <f t="shared" si="40"/>
        <v>37144.800000000003</v>
      </c>
      <c r="R4083">
        <f>K4083/J4083</f>
        <v>1</v>
      </c>
    </row>
    <row r="4084" spans="1:18" x14ac:dyDescent="0.3">
      <c r="A4084">
        <v>50</v>
      </c>
      <c r="B4084">
        <v>1234</v>
      </c>
      <c r="C4084" t="s">
        <v>17</v>
      </c>
      <c r="D4084" t="s">
        <v>18</v>
      </c>
      <c r="E4084">
        <v>41</v>
      </c>
      <c r="F4084" t="s">
        <v>22</v>
      </c>
      <c r="G4084">
        <v>12369.500000000002</v>
      </c>
      <c r="H4084">
        <v>20689</v>
      </c>
      <c r="I4084">
        <v>15</v>
      </c>
      <c r="J4084">
        <v>32</v>
      </c>
      <c r="K4084">
        <v>30</v>
      </c>
      <c r="L4084">
        <v>8</v>
      </c>
      <c r="M4084">
        <v>12</v>
      </c>
      <c r="N4084">
        <v>13</v>
      </c>
      <c r="P4084">
        <f>G4084*I4084/100</f>
        <v>1855.4250000000002</v>
      </c>
      <c r="Q4084">
        <f t="shared" si="40"/>
        <v>148434.00000000003</v>
      </c>
      <c r="R4084">
        <f>K4084/J4084</f>
        <v>0.9375</v>
      </c>
    </row>
    <row r="4085" spans="1:18" x14ac:dyDescent="0.3">
      <c r="A4085">
        <v>32</v>
      </c>
      <c r="B4085">
        <v>634</v>
      </c>
      <c r="C4085" t="s">
        <v>17</v>
      </c>
      <c r="D4085" t="s">
        <v>15</v>
      </c>
      <c r="E4085">
        <v>35</v>
      </c>
      <c r="F4085" t="s">
        <v>19</v>
      </c>
      <c r="G4085">
        <v>3643.2000000000003</v>
      </c>
      <c r="H4085">
        <v>18783</v>
      </c>
      <c r="I4085">
        <v>17</v>
      </c>
      <c r="J4085">
        <v>6</v>
      </c>
      <c r="K4085">
        <v>3</v>
      </c>
      <c r="L4085">
        <v>2</v>
      </c>
      <c r="M4085">
        <v>0</v>
      </c>
      <c r="N4085">
        <v>2</v>
      </c>
      <c r="P4085">
        <f>G4085*I4085/100</f>
        <v>619.34400000000005</v>
      </c>
      <c r="Q4085">
        <f t="shared" si="40"/>
        <v>43718.400000000001</v>
      </c>
      <c r="R4085">
        <f>K4085/J4085</f>
        <v>0.5</v>
      </c>
    </row>
    <row r="4086" spans="1:18" x14ac:dyDescent="0.3">
      <c r="A4086">
        <v>44</v>
      </c>
      <c r="B4086">
        <v>1313</v>
      </c>
      <c r="C4086" t="s">
        <v>17</v>
      </c>
      <c r="D4086" t="s">
        <v>15</v>
      </c>
      <c r="E4086">
        <v>31</v>
      </c>
      <c r="F4086" t="s">
        <v>25</v>
      </c>
      <c r="G4086">
        <v>20953.900000000001</v>
      </c>
      <c r="H4086">
        <v>3549</v>
      </c>
      <c r="I4086">
        <v>14</v>
      </c>
      <c r="J4086">
        <v>23</v>
      </c>
      <c r="K4086">
        <v>22</v>
      </c>
      <c r="L4086">
        <v>7</v>
      </c>
      <c r="M4086">
        <v>1</v>
      </c>
      <c r="N4086">
        <v>10</v>
      </c>
      <c r="P4086">
        <f>G4086*I4086/100</f>
        <v>2933.5460000000003</v>
      </c>
      <c r="Q4086">
        <f t="shared" si="40"/>
        <v>251446.80000000002</v>
      </c>
      <c r="R4086">
        <f>K4086/J4086</f>
        <v>0.95652173913043481</v>
      </c>
    </row>
    <row r="4087" spans="1:18" x14ac:dyDescent="0.3">
      <c r="A4087">
        <v>30</v>
      </c>
      <c r="B4087">
        <v>241</v>
      </c>
      <c r="C4087" t="s">
        <v>17</v>
      </c>
      <c r="D4087" t="s">
        <v>18</v>
      </c>
      <c r="E4087">
        <v>48</v>
      </c>
      <c r="F4087" t="s">
        <v>19</v>
      </c>
      <c r="G4087">
        <v>2355.1000000000004</v>
      </c>
      <c r="H4087">
        <v>5348</v>
      </c>
      <c r="I4087">
        <v>12</v>
      </c>
      <c r="J4087">
        <v>6</v>
      </c>
      <c r="K4087">
        <v>6</v>
      </c>
      <c r="L4087">
        <v>4</v>
      </c>
      <c r="M4087">
        <v>1</v>
      </c>
      <c r="N4087">
        <v>1</v>
      </c>
      <c r="P4087">
        <f>G4087*I4087/100</f>
        <v>282.61200000000002</v>
      </c>
      <c r="Q4087">
        <f t="shared" si="40"/>
        <v>28261.200000000004</v>
      </c>
      <c r="R4087">
        <f>K4087/J4087</f>
        <v>1</v>
      </c>
    </row>
    <row r="4088" spans="1:18" x14ac:dyDescent="0.3">
      <c r="A4088">
        <v>45</v>
      </c>
      <c r="B4088">
        <v>1015</v>
      </c>
      <c r="C4088" t="s">
        <v>17</v>
      </c>
      <c r="D4088" t="s">
        <v>15</v>
      </c>
      <c r="E4088">
        <v>50</v>
      </c>
      <c r="F4088" t="s">
        <v>20</v>
      </c>
      <c r="G4088">
        <v>6345.9000000000005</v>
      </c>
      <c r="H4088">
        <v>23447</v>
      </c>
      <c r="I4088">
        <v>14</v>
      </c>
      <c r="J4088">
        <v>10</v>
      </c>
      <c r="K4088">
        <v>10</v>
      </c>
      <c r="L4088">
        <v>7</v>
      </c>
      <c r="M4088">
        <v>1</v>
      </c>
      <c r="N4088">
        <v>4</v>
      </c>
      <c r="P4088">
        <f>G4088*I4088/100</f>
        <v>888.42600000000004</v>
      </c>
      <c r="Q4088">
        <f t="shared" si="40"/>
        <v>76150.8</v>
      </c>
      <c r="R4088">
        <f>K4088/J4088</f>
        <v>1</v>
      </c>
    </row>
    <row r="4089" spans="1:18" x14ac:dyDescent="0.3">
      <c r="A4089">
        <v>45</v>
      </c>
      <c r="B4089">
        <v>336</v>
      </c>
      <c r="C4089" t="s">
        <v>14</v>
      </c>
      <c r="D4089" t="s">
        <v>18</v>
      </c>
      <c r="E4089">
        <v>52</v>
      </c>
      <c r="F4089" t="s">
        <v>16</v>
      </c>
      <c r="G4089">
        <v>4823.5</v>
      </c>
      <c r="H4089">
        <v>24162</v>
      </c>
      <c r="I4089">
        <v>15</v>
      </c>
      <c r="J4089">
        <v>10</v>
      </c>
      <c r="K4089">
        <v>10</v>
      </c>
      <c r="L4089">
        <v>7</v>
      </c>
      <c r="M4089">
        <v>4</v>
      </c>
      <c r="N4089">
        <v>5</v>
      </c>
      <c r="P4089">
        <f>G4089*I4089/100</f>
        <v>723.52499999999998</v>
      </c>
      <c r="Q4089">
        <f t="shared" si="40"/>
        <v>57882</v>
      </c>
      <c r="R4089">
        <f>K4089/J4089</f>
        <v>1</v>
      </c>
    </row>
    <row r="4090" spans="1:18" x14ac:dyDescent="0.3">
      <c r="A4090">
        <v>31</v>
      </c>
      <c r="B4090">
        <v>715</v>
      </c>
      <c r="C4090" t="s">
        <v>14</v>
      </c>
      <c r="D4090" t="s">
        <v>18</v>
      </c>
      <c r="E4090">
        <v>54</v>
      </c>
      <c r="F4090" t="s">
        <v>16</v>
      </c>
      <c r="G4090">
        <v>5865.2000000000007</v>
      </c>
      <c r="H4090">
        <v>21602</v>
      </c>
      <c r="I4090">
        <v>13</v>
      </c>
      <c r="J4090">
        <v>10</v>
      </c>
      <c r="K4090">
        <v>5</v>
      </c>
      <c r="L4090">
        <v>2</v>
      </c>
      <c r="M4090">
        <v>0</v>
      </c>
      <c r="N4090">
        <v>3</v>
      </c>
      <c r="P4090">
        <f>G4090*I4090/100</f>
        <v>762.47600000000011</v>
      </c>
      <c r="Q4090">
        <f t="shared" si="40"/>
        <v>70382.400000000009</v>
      </c>
      <c r="R4090">
        <f>K4090/J4090</f>
        <v>0.5</v>
      </c>
    </row>
    <row r="4091" spans="1:18" x14ac:dyDescent="0.3">
      <c r="A4091">
        <v>36</v>
      </c>
      <c r="B4091">
        <v>559</v>
      </c>
      <c r="C4091" t="s">
        <v>17</v>
      </c>
      <c r="D4091" t="s">
        <v>15</v>
      </c>
      <c r="E4091">
        <v>76</v>
      </c>
      <c r="F4091" t="s">
        <v>21</v>
      </c>
      <c r="G4091">
        <v>5129.3</v>
      </c>
      <c r="H4091">
        <v>12421</v>
      </c>
      <c r="I4091">
        <v>12</v>
      </c>
      <c r="J4091">
        <v>7</v>
      </c>
      <c r="K4091">
        <v>3</v>
      </c>
      <c r="L4091">
        <v>2</v>
      </c>
      <c r="M4091">
        <v>1</v>
      </c>
      <c r="N4091">
        <v>1</v>
      </c>
      <c r="P4091">
        <f>G4091*I4091/100</f>
        <v>615.51600000000008</v>
      </c>
      <c r="Q4091">
        <f t="shared" si="40"/>
        <v>61551.600000000006</v>
      </c>
      <c r="R4091">
        <f>K4091/J4091</f>
        <v>0.42857142857142855</v>
      </c>
    </row>
    <row r="4092" spans="1:18" x14ac:dyDescent="0.3">
      <c r="A4092">
        <v>34</v>
      </c>
      <c r="B4092">
        <v>426</v>
      </c>
      <c r="C4092" t="s">
        <v>17</v>
      </c>
      <c r="D4092" t="s">
        <v>18</v>
      </c>
      <c r="E4092">
        <v>42</v>
      </c>
      <c r="F4092" t="s">
        <v>21</v>
      </c>
      <c r="G4092">
        <v>5196.4000000000005</v>
      </c>
      <c r="H4092">
        <v>17000</v>
      </c>
      <c r="I4092">
        <v>13</v>
      </c>
      <c r="J4092">
        <v>9</v>
      </c>
      <c r="K4092">
        <v>9</v>
      </c>
      <c r="L4092">
        <v>7</v>
      </c>
      <c r="M4092">
        <v>7</v>
      </c>
      <c r="N4092">
        <v>2</v>
      </c>
      <c r="P4092">
        <f>G4092*I4092/100</f>
        <v>675.53200000000015</v>
      </c>
      <c r="Q4092">
        <f t="shared" si="40"/>
        <v>62356.800000000003</v>
      </c>
      <c r="R4092">
        <f>K4092/J4092</f>
        <v>1</v>
      </c>
    </row>
    <row r="4093" spans="1:18" x14ac:dyDescent="0.3">
      <c r="A4093">
        <v>49</v>
      </c>
      <c r="B4093">
        <v>722</v>
      </c>
      <c r="C4093" t="s">
        <v>17</v>
      </c>
      <c r="D4093" t="s">
        <v>15</v>
      </c>
      <c r="E4093">
        <v>84</v>
      </c>
      <c r="F4093" t="s">
        <v>20</v>
      </c>
      <c r="G4093">
        <v>3532.1000000000004</v>
      </c>
      <c r="H4093">
        <v>22102</v>
      </c>
      <c r="I4093">
        <v>14</v>
      </c>
      <c r="J4093">
        <v>10</v>
      </c>
      <c r="K4093">
        <v>9</v>
      </c>
      <c r="L4093">
        <v>6</v>
      </c>
      <c r="M4093">
        <v>1</v>
      </c>
      <c r="N4093">
        <v>4</v>
      </c>
      <c r="P4093">
        <f>G4093*I4093/100</f>
        <v>494.49400000000009</v>
      </c>
      <c r="Q4093">
        <f t="shared" si="40"/>
        <v>42385.200000000004</v>
      </c>
      <c r="R4093">
        <f>K4093/J4093</f>
        <v>0.9</v>
      </c>
    </row>
    <row r="4094" spans="1:18" x14ac:dyDescent="0.3">
      <c r="A4094">
        <v>39</v>
      </c>
      <c r="B4094">
        <v>1387</v>
      </c>
      <c r="C4094" t="s">
        <v>17</v>
      </c>
      <c r="D4094" t="s">
        <v>18</v>
      </c>
      <c r="E4094">
        <v>76</v>
      </c>
      <c r="F4094" t="s">
        <v>21</v>
      </c>
      <c r="G4094">
        <v>5914.7000000000007</v>
      </c>
      <c r="H4094">
        <v>3835</v>
      </c>
      <c r="I4094">
        <v>13</v>
      </c>
      <c r="J4094">
        <v>10</v>
      </c>
      <c r="K4094">
        <v>7</v>
      </c>
      <c r="L4094">
        <v>7</v>
      </c>
      <c r="M4094">
        <v>7</v>
      </c>
      <c r="N4094">
        <v>7</v>
      </c>
      <c r="P4094">
        <f>G4094*I4094/100</f>
        <v>768.91100000000006</v>
      </c>
      <c r="Q4094">
        <f t="shared" si="40"/>
        <v>70976.400000000009</v>
      </c>
      <c r="R4094">
        <f>K4094/J4094</f>
        <v>0.7</v>
      </c>
    </row>
    <row r="4095" spans="1:18" x14ac:dyDescent="0.3">
      <c r="A4095">
        <v>27</v>
      </c>
      <c r="B4095">
        <v>1302</v>
      </c>
      <c r="C4095" t="s">
        <v>17</v>
      </c>
      <c r="D4095" t="s">
        <v>18</v>
      </c>
      <c r="E4095">
        <v>67</v>
      </c>
      <c r="F4095" t="s">
        <v>20</v>
      </c>
      <c r="G4095">
        <v>4472.6000000000004</v>
      </c>
      <c r="H4095">
        <v>16290</v>
      </c>
      <c r="I4095">
        <v>11</v>
      </c>
      <c r="J4095">
        <v>7</v>
      </c>
      <c r="K4095">
        <v>7</v>
      </c>
      <c r="L4095">
        <v>7</v>
      </c>
      <c r="M4095">
        <v>0</v>
      </c>
      <c r="N4095">
        <v>7</v>
      </c>
      <c r="P4095">
        <f>G4095*I4095/100</f>
        <v>491.98600000000005</v>
      </c>
      <c r="Q4095">
        <f t="shared" si="40"/>
        <v>53671.200000000004</v>
      </c>
      <c r="R4095">
        <f>K4095/J4095</f>
        <v>1</v>
      </c>
    </row>
    <row r="4096" spans="1:18" x14ac:dyDescent="0.3">
      <c r="A4096">
        <v>35</v>
      </c>
      <c r="B4096">
        <v>819</v>
      </c>
      <c r="C4096" t="s">
        <v>17</v>
      </c>
      <c r="D4096" t="s">
        <v>18</v>
      </c>
      <c r="E4096">
        <v>48</v>
      </c>
      <c r="F4096" t="s">
        <v>19</v>
      </c>
      <c r="G4096">
        <v>5728.8</v>
      </c>
      <c r="H4096">
        <v>26312</v>
      </c>
      <c r="I4096">
        <v>11</v>
      </c>
      <c r="J4096">
        <v>16</v>
      </c>
      <c r="K4096">
        <v>16</v>
      </c>
      <c r="L4096">
        <v>15</v>
      </c>
      <c r="M4096">
        <v>1</v>
      </c>
      <c r="N4096">
        <v>10</v>
      </c>
      <c r="P4096">
        <f>G4096*I4096/100</f>
        <v>630.16800000000001</v>
      </c>
      <c r="Q4096">
        <f t="shared" si="40"/>
        <v>68745.600000000006</v>
      </c>
      <c r="R4096">
        <f>K4096/J4096</f>
        <v>1</v>
      </c>
    </row>
    <row r="4097" spans="1:18" x14ac:dyDescent="0.3">
      <c r="A4097">
        <v>28</v>
      </c>
      <c r="B4097">
        <v>580</v>
      </c>
      <c r="C4097" t="s">
        <v>17</v>
      </c>
      <c r="D4097" t="s">
        <v>15</v>
      </c>
      <c r="E4097">
        <v>39</v>
      </c>
      <c r="F4097" t="s">
        <v>21</v>
      </c>
      <c r="G4097">
        <v>5364.7000000000007</v>
      </c>
      <c r="H4097">
        <v>20460</v>
      </c>
      <c r="I4097">
        <v>21</v>
      </c>
      <c r="J4097">
        <v>6</v>
      </c>
      <c r="K4097">
        <v>5</v>
      </c>
      <c r="L4097">
        <v>3</v>
      </c>
      <c r="M4097">
        <v>0</v>
      </c>
      <c r="N4097">
        <v>0</v>
      </c>
      <c r="P4097">
        <f>G4097*I4097/100</f>
        <v>1126.5870000000002</v>
      </c>
      <c r="Q4097">
        <f t="shared" si="40"/>
        <v>64376.400000000009</v>
      </c>
      <c r="R4097">
        <f>K4097/J4097</f>
        <v>0.83333333333333337</v>
      </c>
    </row>
    <row r="4098" spans="1:18" x14ac:dyDescent="0.3">
      <c r="A4098">
        <v>21</v>
      </c>
      <c r="B4098">
        <v>546</v>
      </c>
      <c r="C4098" t="s">
        <v>17</v>
      </c>
      <c r="D4098" t="s">
        <v>18</v>
      </c>
      <c r="E4098">
        <v>97</v>
      </c>
      <c r="F4098" t="s">
        <v>19</v>
      </c>
      <c r="G4098">
        <v>3428.7000000000003</v>
      </c>
      <c r="H4098">
        <v>26009</v>
      </c>
      <c r="I4098">
        <v>18</v>
      </c>
      <c r="J4098">
        <v>3</v>
      </c>
      <c r="K4098">
        <v>2</v>
      </c>
      <c r="L4098">
        <v>2</v>
      </c>
      <c r="M4098">
        <v>2</v>
      </c>
      <c r="N4098">
        <v>2</v>
      </c>
      <c r="P4098">
        <f>G4098*I4098/100</f>
        <v>617.16600000000005</v>
      </c>
      <c r="Q4098">
        <f t="shared" si="40"/>
        <v>41144.400000000001</v>
      </c>
      <c r="R4098">
        <f>K4098/J4098</f>
        <v>0.66666666666666663</v>
      </c>
    </row>
    <row r="4099" spans="1:18" x14ac:dyDescent="0.3">
      <c r="A4099">
        <v>18</v>
      </c>
      <c r="B4099">
        <v>544</v>
      </c>
      <c r="C4099" t="s">
        <v>14</v>
      </c>
      <c r="D4099" t="s">
        <v>15</v>
      </c>
      <c r="E4099">
        <v>70</v>
      </c>
      <c r="F4099" t="s">
        <v>24</v>
      </c>
      <c r="G4099">
        <v>1725.9</v>
      </c>
      <c r="H4099">
        <v>18420</v>
      </c>
      <c r="I4099">
        <v>12</v>
      </c>
      <c r="J4099">
        <v>0</v>
      </c>
      <c r="K4099">
        <v>0</v>
      </c>
      <c r="L4099">
        <v>0</v>
      </c>
      <c r="M4099">
        <v>0</v>
      </c>
      <c r="N4099">
        <v>0</v>
      </c>
      <c r="P4099">
        <f>G4099*I4099/100</f>
        <v>207.10800000000003</v>
      </c>
      <c r="Q4099">
        <f t="shared" ref="Q4099:Q4162" si="41">G4099*12</f>
        <v>20710.800000000003</v>
      </c>
      <c r="R4099" t="e">
        <f>K4099/J4099</f>
        <v>#DIV/0!</v>
      </c>
    </row>
    <row r="4100" spans="1:18" x14ac:dyDescent="0.3">
      <c r="A4100">
        <v>47</v>
      </c>
      <c r="B4100">
        <v>1176</v>
      </c>
      <c r="C4100" t="s">
        <v>26</v>
      </c>
      <c r="D4100" t="s">
        <v>15</v>
      </c>
      <c r="E4100">
        <v>98</v>
      </c>
      <c r="F4100" t="s">
        <v>23</v>
      </c>
      <c r="G4100">
        <v>21623.800000000003</v>
      </c>
      <c r="H4100">
        <v>5220</v>
      </c>
      <c r="I4100">
        <v>11</v>
      </c>
      <c r="J4100">
        <v>27</v>
      </c>
      <c r="K4100">
        <v>5</v>
      </c>
      <c r="L4100">
        <v>2</v>
      </c>
      <c r="M4100">
        <v>1</v>
      </c>
      <c r="N4100">
        <v>0</v>
      </c>
      <c r="P4100">
        <f>G4100*I4100/100</f>
        <v>2378.6180000000004</v>
      </c>
      <c r="Q4100">
        <f t="shared" si="41"/>
        <v>259485.60000000003</v>
      </c>
      <c r="R4100">
        <f>K4100/J4100</f>
        <v>0.18518518518518517</v>
      </c>
    </row>
    <row r="4101" spans="1:18" x14ac:dyDescent="0.3">
      <c r="A4101">
        <v>39</v>
      </c>
      <c r="B4101">
        <v>170</v>
      </c>
      <c r="C4101" t="s">
        <v>17</v>
      </c>
      <c r="D4101" t="s">
        <v>18</v>
      </c>
      <c r="E4101">
        <v>76</v>
      </c>
      <c r="F4101" t="s">
        <v>20</v>
      </c>
      <c r="G4101">
        <v>3375.9</v>
      </c>
      <c r="H4101">
        <v>10302</v>
      </c>
      <c r="I4101">
        <v>15</v>
      </c>
      <c r="J4101">
        <v>11</v>
      </c>
      <c r="K4101">
        <v>10</v>
      </c>
      <c r="L4101">
        <v>8</v>
      </c>
      <c r="M4101">
        <v>0</v>
      </c>
      <c r="N4101">
        <v>7</v>
      </c>
      <c r="P4101">
        <f>G4101*I4101/100</f>
        <v>506.38499999999999</v>
      </c>
      <c r="Q4101">
        <f t="shared" si="41"/>
        <v>40510.800000000003</v>
      </c>
      <c r="R4101">
        <f>K4101/J4101</f>
        <v>0.90909090909090906</v>
      </c>
    </row>
    <row r="4102" spans="1:18" x14ac:dyDescent="0.3">
      <c r="A4102">
        <v>40</v>
      </c>
      <c r="B4102">
        <v>884</v>
      </c>
      <c r="C4102" t="s">
        <v>17</v>
      </c>
      <c r="D4102" t="s">
        <v>15</v>
      </c>
      <c r="E4102">
        <v>80</v>
      </c>
      <c r="F4102" t="s">
        <v>21</v>
      </c>
      <c r="G4102">
        <v>11478.500000000002</v>
      </c>
      <c r="H4102">
        <v>25800</v>
      </c>
      <c r="I4102">
        <v>13</v>
      </c>
      <c r="J4102">
        <v>18</v>
      </c>
      <c r="K4102">
        <v>18</v>
      </c>
      <c r="L4102">
        <v>15</v>
      </c>
      <c r="M4102">
        <v>14</v>
      </c>
      <c r="N4102">
        <v>12</v>
      </c>
      <c r="P4102">
        <f>G4102*I4102/100</f>
        <v>1492.2050000000004</v>
      </c>
      <c r="Q4102">
        <f t="shared" si="41"/>
        <v>137742.00000000003</v>
      </c>
      <c r="R4102">
        <f>K4102/J4102</f>
        <v>1</v>
      </c>
    </row>
    <row r="4103" spans="1:18" x14ac:dyDescent="0.3">
      <c r="A4103">
        <v>35</v>
      </c>
      <c r="B4103">
        <v>208</v>
      </c>
      <c r="C4103" t="s">
        <v>17</v>
      </c>
      <c r="D4103" t="s">
        <v>15</v>
      </c>
      <c r="E4103">
        <v>52</v>
      </c>
      <c r="F4103" t="s">
        <v>22</v>
      </c>
      <c r="G4103">
        <v>4562.8</v>
      </c>
      <c r="H4103">
        <v>12250</v>
      </c>
      <c r="I4103">
        <v>12</v>
      </c>
      <c r="J4103">
        <v>15</v>
      </c>
      <c r="K4103">
        <v>14</v>
      </c>
      <c r="L4103">
        <v>11</v>
      </c>
      <c r="M4103">
        <v>2</v>
      </c>
      <c r="N4103">
        <v>9</v>
      </c>
      <c r="P4103">
        <f>G4103*I4103/100</f>
        <v>547.53600000000006</v>
      </c>
      <c r="Q4103">
        <f t="shared" si="41"/>
        <v>54753.600000000006</v>
      </c>
      <c r="R4103">
        <f>K4103/J4103</f>
        <v>0.93333333333333335</v>
      </c>
    </row>
    <row r="4104" spans="1:18" x14ac:dyDescent="0.3">
      <c r="A4104">
        <v>37</v>
      </c>
      <c r="B4104">
        <v>671</v>
      </c>
      <c r="C4104" t="s">
        <v>17</v>
      </c>
      <c r="D4104" t="s">
        <v>18</v>
      </c>
      <c r="E4104">
        <v>85</v>
      </c>
      <c r="F4104" t="s">
        <v>21</v>
      </c>
      <c r="G4104">
        <v>6344.8</v>
      </c>
      <c r="H4104">
        <v>26493</v>
      </c>
      <c r="I4104">
        <v>17</v>
      </c>
      <c r="J4104">
        <v>9</v>
      </c>
      <c r="K4104">
        <v>4</v>
      </c>
      <c r="L4104">
        <v>3</v>
      </c>
      <c r="M4104">
        <v>0</v>
      </c>
      <c r="N4104">
        <v>2</v>
      </c>
      <c r="P4104">
        <f>G4104*I4104/100</f>
        <v>1078.616</v>
      </c>
      <c r="Q4104">
        <f t="shared" si="41"/>
        <v>76137.600000000006</v>
      </c>
      <c r="R4104">
        <f>K4104/J4104</f>
        <v>0.44444444444444442</v>
      </c>
    </row>
    <row r="4105" spans="1:18" x14ac:dyDescent="0.3">
      <c r="A4105">
        <v>39</v>
      </c>
      <c r="B4105">
        <v>711</v>
      </c>
      <c r="C4105" t="s">
        <v>17</v>
      </c>
      <c r="D4105" t="s">
        <v>15</v>
      </c>
      <c r="E4105">
        <v>81</v>
      </c>
      <c r="F4105" t="s">
        <v>21</v>
      </c>
      <c r="G4105">
        <v>5546.2000000000007</v>
      </c>
      <c r="H4105">
        <v>3140</v>
      </c>
      <c r="I4105">
        <v>13</v>
      </c>
      <c r="J4105">
        <v>10</v>
      </c>
      <c r="K4105">
        <v>9</v>
      </c>
      <c r="L4105">
        <v>2</v>
      </c>
      <c r="M4105">
        <v>3</v>
      </c>
      <c r="N4105">
        <v>8</v>
      </c>
      <c r="P4105">
        <f>G4105*I4105/100</f>
        <v>721.00600000000009</v>
      </c>
      <c r="Q4105">
        <f t="shared" si="41"/>
        <v>66554.400000000009</v>
      </c>
      <c r="R4105">
        <f>K4105/J4105</f>
        <v>0.9</v>
      </c>
    </row>
    <row r="4106" spans="1:18" x14ac:dyDescent="0.3">
      <c r="A4106">
        <v>45</v>
      </c>
      <c r="B4106">
        <v>1329</v>
      </c>
      <c r="C4106" t="s">
        <v>17</v>
      </c>
      <c r="D4106" t="s">
        <v>15</v>
      </c>
      <c r="E4106">
        <v>59</v>
      </c>
      <c r="F4106" t="s">
        <v>21</v>
      </c>
      <c r="G4106">
        <v>6347.0000000000009</v>
      </c>
      <c r="H4106">
        <v>5388</v>
      </c>
      <c r="I4106">
        <v>19</v>
      </c>
      <c r="J4106">
        <v>10</v>
      </c>
      <c r="K4106">
        <v>10</v>
      </c>
      <c r="L4106">
        <v>7</v>
      </c>
      <c r="M4106">
        <v>3</v>
      </c>
      <c r="N4106">
        <v>9</v>
      </c>
      <c r="P4106">
        <f>G4106*I4106/100</f>
        <v>1205.93</v>
      </c>
      <c r="Q4106">
        <f t="shared" si="41"/>
        <v>76164.000000000015</v>
      </c>
      <c r="R4106">
        <f>K4106/J4106</f>
        <v>1</v>
      </c>
    </row>
    <row r="4107" spans="1:18" x14ac:dyDescent="0.3">
      <c r="A4107">
        <v>38</v>
      </c>
      <c r="B4107">
        <v>397</v>
      </c>
      <c r="C4107" t="s">
        <v>17</v>
      </c>
      <c r="D4107" t="s">
        <v>15</v>
      </c>
      <c r="E4107">
        <v>54</v>
      </c>
      <c r="F4107" t="s">
        <v>21</v>
      </c>
      <c r="G4107">
        <v>8531.6</v>
      </c>
      <c r="H4107">
        <v>14199</v>
      </c>
      <c r="I4107">
        <v>19</v>
      </c>
      <c r="J4107">
        <v>10</v>
      </c>
      <c r="K4107">
        <v>5</v>
      </c>
      <c r="L4107">
        <v>4</v>
      </c>
      <c r="M4107">
        <v>0</v>
      </c>
      <c r="N4107">
        <v>2</v>
      </c>
      <c r="P4107">
        <f>G4107*I4107/100</f>
        <v>1621.0039999999999</v>
      </c>
      <c r="Q4107">
        <f t="shared" si="41"/>
        <v>102379.20000000001</v>
      </c>
      <c r="R4107">
        <f>K4107/J4107</f>
        <v>0.5</v>
      </c>
    </row>
    <row r="4108" spans="1:18" x14ac:dyDescent="0.3">
      <c r="A4108">
        <v>35</v>
      </c>
      <c r="B4108">
        <v>737</v>
      </c>
      <c r="C4108" t="s">
        <v>14</v>
      </c>
      <c r="D4108" t="s">
        <v>18</v>
      </c>
      <c r="E4108">
        <v>55</v>
      </c>
      <c r="F4108" t="s">
        <v>16</v>
      </c>
      <c r="G4108">
        <v>11336.6</v>
      </c>
      <c r="H4108">
        <v>21530</v>
      </c>
      <c r="I4108">
        <v>17</v>
      </c>
      <c r="J4108">
        <v>15</v>
      </c>
      <c r="K4108">
        <v>13</v>
      </c>
      <c r="L4108">
        <v>12</v>
      </c>
      <c r="M4108">
        <v>6</v>
      </c>
      <c r="N4108">
        <v>0</v>
      </c>
      <c r="P4108">
        <f>G4108*I4108/100</f>
        <v>1927.2220000000002</v>
      </c>
      <c r="Q4108">
        <f t="shared" si="41"/>
        <v>136039.20000000001</v>
      </c>
      <c r="R4108">
        <f>K4108/J4108</f>
        <v>0.8666666666666667</v>
      </c>
    </row>
    <row r="4109" spans="1:18" x14ac:dyDescent="0.3">
      <c r="A4109">
        <v>37</v>
      </c>
      <c r="B4109">
        <v>1470</v>
      </c>
      <c r="C4109" t="s">
        <v>17</v>
      </c>
      <c r="D4109" t="s">
        <v>15</v>
      </c>
      <c r="E4109">
        <v>71</v>
      </c>
      <c r="F4109" t="s">
        <v>19</v>
      </c>
      <c r="G4109">
        <v>4329.6000000000004</v>
      </c>
      <c r="H4109">
        <v>9953</v>
      </c>
      <c r="I4109">
        <v>11</v>
      </c>
      <c r="J4109">
        <v>8</v>
      </c>
      <c r="K4109">
        <v>8</v>
      </c>
      <c r="L4109">
        <v>4</v>
      </c>
      <c r="M4109">
        <v>7</v>
      </c>
      <c r="N4109">
        <v>7</v>
      </c>
      <c r="P4109">
        <f>G4109*I4109/100</f>
        <v>476.25600000000009</v>
      </c>
      <c r="Q4109">
        <f t="shared" si="41"/>
        <v>51955.200000000004</v>
      </c>
      <c r="R4109">
        <f>K4109/J4109</f>
        <v>1</v>
      </c>
    </row>
    <row r="4110" spans="1:18" x14ac:dyDescent="0.3">
      <c r="A4110">
        <v>40</v>
      </c>
      <c r="B4110">
        <v>448</v>
      </c>
      <c r="C4110" t="s">
        <v>17</v>
      </c>
      <c r="D4110" t="s">
        <v>15</v>
      </c>
      <c r="E4110">
        <v>84</v>
      </c>
      <c r="F4110" t="s">
        <v>21</v>
      </c>
      <c r="G4110">
        <v>8739.5</v>
      </c>
      <c r="H4110">
        <v>19948</v>
      </c>
      <c r="I4110">
        <v>15</v>
      </c>
      <c r="J4110">
        <v>18</v>
      </c>
      <c r="K4110">
        <v>4</v>
      </c>
      <c r="L4110">
        <v>2</v>
      </c>
      <c r="M4110">
        <v>3</v>
      </c>
      <c r="N4110">
        <v>3</v>
      </c>
      <c r="P4110">
        <f>G4110*I4110/100</f>
        <v>1310.925</v>
      </c>
      <c r="Q4110">
        <f t="shared" si="41"/>
        <v>104874</v>
      </c>
      <c r="R4110">
        <f>K4110/J4110</f>
        <v>0.22222222222222221</v>
      </c>
    </row>
    <row r="4111" spans="1:18" x14ac:dyDescent="0.3">
      <c r="A4111">
        <v>44</v>
      </c>
      <c r="B4111">
        <v>602</v>
      </c>
      <c r="C4111" t="s">
        <v>26</v>
      </c>
      <c r="D4111" t="s">
        <v>18</v>
      </c>
      <c r="E4111">
        <v>37</v>
      </c>
      <c r="F4111" t="s">
        <v>26</v>
      </c>
      <c r="G4111">
        <v>6317.3</v>
      </c>
      <c r="H4111">
        <v>10503</v>
      </c>
      <c r="I4111">
        <v>11</v>
      </c>
      <c r="J4111">
        <v>14</v>
      </c>
      <c r="K4111">
        <v>10</v>
      </c>
      <c r="L4111">
        <v>7</v>
      </c>
      <c r="M4111">
        <v>0</v>
      </c>
      <c r="N4111">
        <v>2</v>
      </c>
      <c r="P4111">
        <f>G4111*I4111/100</f>
        <v>694.90300000000002</v>
      </c>
      <c r="Q4111">
        <f t="shared" si="41"/>
        <v>75807.600000000006</v>
      </c>
      <c r="R4111">
        <f>K4111/J4111</f>
        <v>0.7142857142857143</v>
      </c>
    </row>
    <row r="4112" spans="1:18" x14ac:dyDescent="0.3">
      <c r="A4112">
        <v>48</v>
      </c>
      <c r="B4112">
        <v>365</v>
      </c>
      <c r="C4112" t="s">
        <v>17</v>
      </c>
      <c r="D4112" t="s">
        <v>18</v>
      </c>
      <c r="E4112">
        <v>89</v>
      </c>
      <c r="F4112" t="s">
        <v>23</v>
      </c>
      <c r="G4112">
        <v>16722.2</v>
      </c>
      <c r="H4112">
        <v>5602</v>
      </c>
      <c r="I4112">
        <v>25</v>
      </c>
      <c r="J4112">
        <v>23</v>
      </c>
      <c r="K4112">
        <v>2</v>
      </c>
      <c r="L4112">
        <v>2</v>
      </c>
      <c r="M4112">
        <v>2</v>
      </c>
      <c r="N4112">
        <v>2</v>
      </c>
      <c r="P4112">
        <f>G4112*I4112/100</f>
        <v>4180.55</v>
      </c>
      <c r="Q4112">
        <f t="shared" si="41"/>
        <v>200666.40000000002</v>
      </c>
      <c r="R4112">
        <f>K4112/J4112</f>
        <v>8.6956521739130432E-2</v>
      </c>
    </row>
    <row r="4113" spans="1:18" x14ac:dyDescent="0.3">
      <c r="A4113">
        <v>35</v>
      </c>
      <c r="B4113">
        <v>763</v>
      </c>
      <c r="C4113" t="s">
        <v>14</v>
      </c>
      <c r="D4113" t="s">
        <v>18</v>
      </c>
      <c r="E4113">
        <v>59</v>
      </c>
      <c r="F4113" t="s">
        <v>16</v>
      </c>
      <c r="G4113">
        <v>5984.0000000000009</v>
      </c>
      <c r="H4113">
        <v>22098</v>
      </c>
      <c r="I4113">
        <v>14</v>
      </c>
      <c r="J4113">
        <v>7</v>
      </c>
      <c r="K4113">
        <v>2</v>
      </c>
      <c r="L4113">
        <v>2</v>
      </c>
      <c r="M4113">
        <v>2</v>
      </c>
      <c r="N4113">
        <v>2</v>
      </c>
      <c r="P4113">
        <f>G4113*I4113/100</f>
        <v>837.7600000000001</v>
      </c>
      <c r="Q4113">
        <f t="shared" si="41"/>
        <v>71808.000000000015</v>
      </c>
      <c r="R4113">
        <f>K4113/J4113</f>
        <v>0.2857142857142857</v>
      </c>
    </row>
    <row r="4114" spans="1:18" x14ac:dyDescent="0.3">
      <c r="A4114">
        <v>24</v>
      </c>
      <c r="B4114">
        <v>567</v>
      </c>
      <c r="C4114" t="s">
        <v>17</v>
      </c>
      <c r="D4114" t="s">
        <v>15</v>
      </c>
      <c r="E4114">
        <v>32</v>
      </c>
      <c r="F4114" t="s">
        <v>19</v>
      </c>
      <c r="G4114">
        <v>4136</v>
      </c>
      <c r="H4114">
        <v>17218</v>
      </c>
      <c r="I4114">
        <v>13</v>
      </c>
      <c r="J4114">
        <v>6</v>
      </c>
      <c r="K4114">
        <v>6</v>
      </c>
      <c r="L4114">
        <v>3</v>
      </c>
      <c r="M4114">
        <v>1</v>
      </c>
      <c r="N4114">
        <v>3</v>
      </c>
      <c r="P4114">
        <f>G4114*I4114/100</f>
        <v>537.67999999999995</v>
      </c>
      <c r="Q4114">
        <f t="shared" si="41"/>
        <v>49632</v>
      </c>
      <c r="R4114">
        <f>K4114/J4114</f>
        <v>1</v>
      </c>
    </row>
    <row r="4115" spans="1:18" x14ac:dyDescent="0.3">
      <c r="A4115">
        <v>27</v>
      </c>
      <c r="B4115">
        <v>486</v>
      </c>
      <c r="C4115" t="s">
        <v>17</v>
      </c>
      <c r="D4115" t="s">
        <v>15</v>
      </c>
      <c r="E4115">
        <v>86</v>
      </c>
      <c r="F4115" t="s">
        <v>19</v>
      </c>
      <c r="G4115">
        <v>3868.7000000000003</v>
      </c>
      <c r="H4115">
        <v>22490</v>
      </c>
      <c r="I4115">
        <v>17</v>
      </c>
      <c r="J4115">
        <v>5</v>
      </c>
      <c r="K4115">
        <v>3</v>
      </c>
      <c r="L4115">
        <v>2</v>
      </c>
      <c r="M4115">
        <v>0</v>
      </c>
      <c r="N4115">
        <v>2</v>
      </c>
      <c r="P4115">
        <f>G4115*I4115/100</f>
        <v>657.67900000000009</v>
      </c>
      <c r="Q4115">
        <f t="shared" si="41"/>
        <v>46424.4</v>
      </c>
      <c r="R4115">
        <f>K4115/J4115</f>
        <v>0.6</v>
      </c>
    </row>
    <row r="4116" spans="1:18" x14ac:dyDescent="0.3">
      <c r="A4116">
        <v>27</v>
      </c>
      <c r="B4116">
        <v>591</v>
      </c>
      <c r="C4116" t="s">
        <v>17</v>
      </c>
      <c r="D4116" t="s">
        <v>18</v>
      </c>
      <c r="E4116">
        <v>87</v>
      </c>
      <c r="F4116" t="s">
        <v>19</v>
      </c>
      <c r="G4116">
        <v>2838.0000000000005</v>
      </c>
      <c r="H4116">
        <v>6297</v>
      </c>
      <c r="I4116">
        <v>13</v>
      </c>
      <c r="J4116">
        <v>6</v>
      </c>
      <c r="K4116">
        <v>4</v>
      </c>
      <c r="L4116">
        <v>2</v>
      </c>
      <c r="M4116">
        <v>1</v>
      </c>
      <c r="N4116">
        <v>2</v>
      </c>
      <c r="P4116">
        <f>G4116*I4116/100</f>
        <v>368.94000000000005</v>
      </c>
      <c r="Q4116">
        <f t="shared" si="41"/>
        <v>34056.000000000007</v>
      </c>
      <c r="R4116">
        <f>K4116/J4116</f>
        <v>0.66666666666666663</v>
      </c>
    </row>
    <row r="4117" spans="1:18" x14ac:dyDescent="0.3">
      <c r="A4117">
        <v>40</v>
      </c>
      <c r="B4117">
        <v>1329</v>
      </c>
      <c r="C4117" t="s">
        <v>17</v>
      </c>
      <c r="D4117" t="s">
        <v>18</v>
      </c>
      <c r="E4117">
        <v>73</v>
      </c>
      <c r="F4117" t="s">
        <v>20</v>
      </c>
      <c r="G4117">
        <v>2382.6000000000004</v>
      </c>
      <c r="H4117">
        <v>3339</v>
      </c>
      <c r="I4117">
        <v>14</v>
      </c>
      <c r="J4117">
        <v>10</v>
      </c>
      <c r="K4117">
        <v>4</v>
      </c>
      <c r="L4117">
        <v>2</v>
      </c>
      <c r="M4117">
        <v>0</v>
      </c>
      <c r="N4117">
        <v>3</v>
      </c>
      <c r="P4117">
        <f>G4117*I4117/100</f>
        <v>333.56400000000008</v>
      </c>
      <c r="Q4117">
        <f t="shared" si="41"/>
        <v>28591.200000000004</v>
      </c>
      <c r="R4117">
        <f>K4117/J4117</f>
        <v>0.4</v>
      </c>
    </row>
    <row r="4118" spans="1:18" x14ac:dyDescent="0.3">
      <c r="A4118">
        <v>29</v>
      </c>
      <c r="B4118">
        <v>469</v>
      </c>
      <c r="C4118" t="s">
        <v>14</v>
      </c>
      <c r="D4118" t="s">
        <v>18</v>
      </c>
      <c r="E4118">
        <v>42</v>
      </c>
      <c r="F4118" t="s">
        <v>16</v>
      </c>
      <c r="G4118">
        <v>6455.9000000000005</v>
      </c>
      <c r="H4118">
        <v>23413</v>
      </c>
      <c r="I4118">
        <v>11</v>
      </c>
      <c r="J4118">
        <v>8</v>
      </c>
      <c r="K4118">
        <v>5</v>
      </c>
      <c r="L4118">
        <v>2</v>
      </c>
      <c r="M4118">
        <v>1</v>
      </c>
      <c r="N4118">
        <v>4</v>
      </c>
      <c r="P4118">
        <f>G4118*I4118/100</f>
        <v>710.14900000000011</v>
      </c>
      <c r="Q4118">
        <f t="shared" si="41"/>
        <v>77470.8</v>
      </c>
      <c r="R4118">
        <f>K4118/J4118</f>
        <v>0.625</v>
      </c>
    </row>
    <row r="4119" spans="1:18" x14ac:dyDescent="0.3">
      <c r="A4119">
        <v>36</v>
      </c>
      <c r="B4119">
        <v>711</v>
      </c>
      <c r="C4119" t="s">
        <v>17</v>
      </c>
      <c r="D4119" t="s">
        <v>15</v>
      </c>
      <c r="E4119">
        <v>42</v>
      </c>
      <c r="F4119" t="s">
        <v>22</v>
      </c>
      <c r="G4119">
        <v>8808.8000000000011</v>
      </c>
      <c r="H4119">
        <v>22792</v>
      </c>
      <c r="I4119">
        <v>12</v>
      </c>
      <c r="J4119">
        <v>9</v>
      </c>
      <c r="K4119">
        <v>3</v>
      </c>
      <c r="L4119">
        <v>2</v>
      </c>
      <c r="M4119">
        <v>0</v>
      </c>
      <c r="N4119">
        <v>2</v>
      </c>
      <c r="P4119">
        <f>G4119*I4119/100</f>
        <v>1057.056</v>
      </c>
      <c r="Q4119">
        <f t="shared" si="41"/>
        <v>105705.60000000001</v>
      </c>
      <c r="R4119">
        <f>K4119/J4119</f>
        <v>0.33333333333333331</v>
      </c>
    </row>
    <row r="4120" spans="1:18" x14ac:dyDescent="0.3">
      <c r="A4120">
        <v>25</v>
      </c>
      <c r="B4120">
        <v>772</v>
      </c>
      <c r="C4120" t="s">
        <v>17</v>
      </c>
      <c r="D4120" t="s">
        <v>18</v>
      </c>
      <c r="E4120">
        <v>77</v>
      </c>
      <c r="F4120" t="s">
        <v>21</v>
      </c>
      <c r="G4120">
        <v>5726.6</v>
      </c>
      <c r="H4120">
        <v>4973</v>
      </c>
      <c r="I4120">
        <v>17</v>
      </c>
      <c r="J4120">
        <v>7</v>
      </c>
      <c r="K4120">
        <v>7</v>
      </c>
      <c r="L4120">
        <v>7</v>
      </c>
      <c r="M4120">
        <v>0</v>
      </c>
      <c r="N4120">
        <v>7</v>
      </c>
      <c r="P4120">
        <f>G4120*I4120/100</f>
        <v>973.52200000000016</v>
      </c>
      <c r="Q4120">
        <f t="shared" si="41"/>
        <v>68719.200000000012</v>
      </c>
      <c r="R4120">
        <f>K4120/J4120</f>
        <v>1</v>
      </c>
    </row>
    <row r="4121" spans="1:18" x14ac:dyDescent="0.3">
      <c r="A4121">
        <v>39</v>
      </c>
      <c r="B4121">
        <v>492</v>
      </c>
      <c r="C4121" t="s">
        <v>17</v>
      </c>
      <c r="D4121" t="s">
        <v>18</v>
      </c>
      <c r="E4121">
        <v>66</v>
      </c>
      <c r="F4121" t="s">
        <v>21</v>
      </c>
      <c r="G4121">
        <v>5824.5000000000009</v>
      </c>
      <c r="H4121">
        <v>7693</v>
      </c>
      <c r="I4121">
        <v>21</v>
      </c>
      <c r="J4121">
        <v>7</v>
      </c>
      <c r="K4121">
        <v>5</v>
      </c>
      <c r="L4121">
        <v>4</v>
      </c>
      <c r="M4121">
        <v>1</v>
      </c>
      <c r="N4121">
        <v>0</v>
      </c>
      <c r="P4121">
        <f>G4121*I4121/100</f>
        <v>1223.1450000000002</v>
      </c>
      <c r="Q4121">
        <f t="shared" si="41"/>
        <v>69894.000000000015</v>
      </c>
      <c r="R4121">
        <f>K4121/J4121</f>
        <v>0.7142857142857143</v>
      </c>
    </row>
    <row r="4122" spans="1:18" x14ac:dyDescent="0.3">
      <c r="A4122">
        <v>49</v>
      </c>
      <c r="B4122">
        <v>301</v>
      </c>
      <c r="C4122" t="s">
        <v>17</v>
      </c>
      <c r="D4122" t="s">
        <v>15</v>
      </c>
      <c r="E4122">
        <v>72</v>
      </c>
      <c r="F4122" t="s">
        <v>25</v>
      </c>
      <c r="G4122">
        <v>18054.300000000003</v>
      </c>
      <c r="H4122">
        <v>3498</v>
      </c>
      <c r="I4122">
        <v>16</v>
      </c>
      <c r="J4122">
        <v>27</v>
      </c>
      <c r="K4122">
        <v>4</v>
      </c>
      <c r="L4122">
        <v>2</v>
      </c>
      <c r="M4122">
        <v>1</v>
      </c>
      <c r="N4122">
        <v>2</v>
      </c>
      <c r="P4122">
        <f>G4122*I4122/100</f>
        <v>2888.6880000000006</v>
      </c>
      <c r="Q4122">
        <f t="shared" si="41"/>
        <v>216651.60000000003</v>
      </c>
      <c r="R4122">
        <f>K4122/J4122</f>
        <v>0.14814814814814814</v>
      </c>
    </row>
    <row r="4123" spans="1:18" x14ac:dyDescent="0.3">
      <c r="A4123">
        <v>50</v>
      </c>
      <c r="B4123">
        <v>813</v>
      </c>
      <c r="C4123" t="s">
        <v>17</v>
      </c>
      <c r="D4123" t="s">
        <v>15</v>
      </c>
      <c r="E4123">
        <v>50</v>
      </c>
      <c r="F4123" t="s">
        <v>25</v>
      </c>
      <c r="G4123">
        <v>14595.900000000001</v>
      </c>
      <c r="H4123">
        <v>21981</v>
      </c>
      <c r="I4123">
        <v>15</v>
      </c>
      <c r="J4123">
        <v>19</v>
      </c>
      <c r="K4123">
        <v>14</v>
      </c>
      <c r="L4123">
        <v>11</v>
      </c>
      <c r="M4123">
        <v>1</v>
      </c>
      <c r="N4123">
        <v>11</v>
      </c>
      <c r="P4123">
        <f>G4123*I4123/100</f>
        <v>2189.3850000000002</v>
      </c>
      <c r="Q4123">
        <f t="shared" si="41"/>
        <v>175150.80000000002</v>
      </c>
      <c r="R4123">
        <f>K4123/J4123</f>
        <v>0.73684210526315785</v>
      </c>
    </row>
    <row r="4124" spans="1:18" x14ac:dyDescent="0.3">
      <c r="A4124">
        <v>20</v>
      </c>
      <c r="B4124">
        <v>1141</v>
      </c>
      <c r="C4124" t="s">
        <v>14</v>
      </c>
      <c r="D4124" t="s">
        <v>15</v>
      </c>
      <c r="E4124">
        <v>31</v>
      </c>
      <c r="F4124" t="s">
        <v>24</v>
      </c>
      <c r="G4124">
        <v>3061.3</v>
      </c>
      <c r="H4124">
        <v>13251</v>
      </c>
      <c r="I4124">
        <v>19</v>
      </c>
      <c r="J4124">
        <v>2</v>
      </c>
      <c r="K4124">
        <v>2</v>
      </c>
      <c r="L4124">
        <v>2</v>
      </c>
      <c r="M4124">
        <v>2</v>
      </c>
      <c r="N4124">
        <v>2</v>
      </c>
      <c r="P4124">
        <f>G4124*I4124/100</f>
        <v>581.64700000000005</v>
      </c>
      <c r="Q4124">
        <f t="shared" si="41"/>
        <v>36735.600000000006</v>
      </c>
      <c r="R4124">
        <f>K4124/J4124</f>
        <v>1</v>
      </c>
    </row>
    <row r="4125" spans="1:18" x14ac:dyDescent="0.3">
      <c r="A4125">
        <v>34</v>
      </c>
      <c r="B4125">
        <v>1130</v>
      </c>
      <c r="C4125" t="s">
        <v>17</v>
      </c>
      <c r="D4125" t="s">
        <v>15</v>
      </c>
      <c r="E4125">
        <v>66</v>
      </c>
      <c r="F4125" t="s">
        <v>19</v>
      </c>
      <c r="G4125">
        <v>5976.3</v>
      </c>
      <c r="H4125">
        <v>19332</v>
      </c>
      <c r="I4125">
        <v>12</v>
      </c>
      <c r="J4125">
        <v>11</v>
      </c>
      <c r="K4125">
        <v>11</v>
      </c>
      <c r="L4125">
        <v>8</v>
      </c>
      <c r="M4125">
        <v>7</v>
      </c>
      <c r="N4125">
        <v>9</v>
      </c>
      <c r="P4125">
        <f>G4125*I4125/100</f>
        <v>717.15600000000006</v>
      </c>
      <c r="Q4125">
        <f t="shared" si="41"/>
        <v>71715.600000000006</v>
      </c>
      <c r="R4125">
        <f>K4125/J4125</f>
        <v>1</v>
      </c>
    </row>
    <row r="4126" spans="1:18" x14ac:dyDescent="0.3">
      <c r="A4126">
        <v>36</v>
      </c>
      <c r="B4126">
        <v>311</v>
      </c>
      <c r="C4126" t="s">
        <v>17</v>
      </c>
      <c r="D4126" t="s">
        <v>18</v>
      </c>
      <c r="E4126">
        <v>77</v>
      </c>
      <c r="F4126" t="s">
        <v>20</v>
      </c>
      <c r="G4126">
        <v>2214.3000000000002</v>
      </c>
      <c r="H4126">
        <v>10950</v>
      </c>
      <c r="I4126">
        <v>11</v>
      </c>
      <c r="J4126">
        <v>15</v>
      </c>
      <c r="K4126">
        <v>4</v>
      </c>
      <c r="L4126">
        <v>3</v>
      </c>
      <c r="M4126">
        <v>1</v>
      </c>
      <c r="N4126">
        <v>3</v>
      </c>
      <c r="P4126">
        <f>G4126*I4126/100</f>
        <v>243.57300000000004</v>
      </c>
      <c r="Q4126">
        <f t="shared" si="41"/>
        <v>26571.600000000002</v>
      </c>
      <c r="R4126">
        <f>K4126/J4126</f>
        <v>0.26666666666666666</v>
      </c>
    </row>
    <row r="4127" spans="1:18" x14ac:dyDescent="0.3">
      <c r="A4127">
        <v>49</v>
      </c>
      <c r="B4127">
        <v>465</v>
      </c>
      <c r="C4127" t="s">
        <v>17</v>
      </c>
      <c r="D4127" t="s">
        <v>15</v>
      </c>
      <c r="E4127">
        <v>41</v>
      </c>
      <c r="F4127" t="s">
        <v>22</v>
      </c>
      <c r="G4127">
        <v>15362.6</v>
      </c>
      <c r="H4127">
        <v>11652</v>
      </c>
      <c r="I4127">
        <v>19</v>
      </c>
      <c r="J4127">
        <v>30</v>
      </c>
      <c r="K4127">
        <v>15</v>
      </c>
      <c r="L4127">
        <v>11</v>
      </c>
      <c r="M4127">
        <v>2</v>
      </c>
      <c r="N4127">
        <v>12</v>
      </c>
      <c r="P4127">
        <f>G4127*I4127/100</f>
        <v>2918.8940000000002</v>
      </c>
      <c r="Q4127">
        <f t="shared" si="41"/>
        <v>184351.2</v>
      </c>
      <c r="R4127">
        <f>K4127/J4127</f>
        <v>0.5</v>
      </c>
    </row>
    <row r="4128" spans="1:18" x14ac:dyDescent="0.3">
      <c r="A4128">
        <v>36</v>
      </c>
      <c r="B4128">
        <v>894</v>
      </c>
      <c r="C4128" t="s">
        <v>17</v>
      </c>
      <c r="D4128" t="s">
        <v>15</v>
      </c>
      <c r="E4128">
        <v>33</v>
      </c>
      <c r="F4128" t="s">
        <v>21</v>
      </c>
      <c r="G4128">
        <v>4811.4000000000005</v>
      </c>
      <c r="H4128">
        <v>15411</v>
      </c>
      <c r="I4128">
        <v>15</v>
      </c>
      <c r="J4128">
        <v>4</v>
      </c>
      <c r="K4128">
        <v>3</v>
      </c>
      <c r="L4128">
        <v>2</v>
      </c>
      <c r="M4128">
        <v>1</v>
      </c>
      <c r="N4128">
        <v>2</v>
      </c>
      <c r="P4128">
        <f>G4128*I4128/100</f>
        <v>721.71000000000015</v>
      </c>
      <c r="Q4128">
        <f t="shared" si="41"/>
        <v>57736.800000000003</v>
      </c>
      <c r="R4128">
        <f>K4128/J4128</f>
        <v>0.75</v>
      </c>
    </row>
    <row r="4129" spans="1:18" x14ac:dyDescent="0.3">
      <c r="A4129">
        <v>36</v>
      </c>
      <c r="B4129">
        <v>1040</v>
      </c>
      <c r="C4129" t="s">
        <v>17</v>
      </c>
      <c r="D4129" t="s">
        <v>18</v>
      </c>
      <c r="E4129">
        <v>79</v>
      </c>
      <c r="F4129" t="s">
        <v>22</v>
      </c>
      <c r="G4129">
        <v>7526.2000000000007</v>
      </c>
      <c r="H4129">
        <v>26308</v>
      </c>
      <c r="I4129">
        <v>20</v>
      </c>
      <c r="J4129">
        <v>13</v>
      </c>
      <c r="K4129">
        <v>5</v>
      </c>
      <c r="L4129">
        <v>4</v>
      </c>
      <c r="M4129">
        <v>0</v>
      </c>
      <c r="N4129">
        <v>4</v>
      </c>
      <c r="P4129">
        <f>G4129*I4129/100</f>
        <v>1505.24</v>
      </c>
      <c r="Q4129">
        <f t="shared" si="41"/>
        <v>90314.400000000009</v>
      </c>
      <c r="R4129">
        <f>K4129/J4129</f>
        <v>0.38461538461538464</v>
      </c>
    </row>
    <row r="4130" spans="1:18" x14ac:dyDescent="0.3">
      <c r="A4130">
        <v>54</v>
      </c>
      <c r="B4130">
        <v>584</v>
      </c>
      <c r="C4130" t="s">
        <v>17</v>
      </c>
      <c r="D4130" t="s">
        <v>15</v>
      </c>
      <c r="E4130">
        <v>91</v>
      </c>
      <c r="F4130" t="s">
        <v>23</v>
      </c>
      <c r="G4130">
        <v>19168.600000000002</v>
      </c>
      <c r="H4130">
        <v>18685</v>
      </c>
      <c r="I4130">
        <v>25</v>
      </c>
      <c r="J4130">
        <v>36</v>
      </c>
      <c r="K4130">
        <v>10</v>
      </c>
      <c r="L4130">
        <v>8</v>
      </c>
      <c r="M4130">
        <v>4</v>
      </c>
      <c r="N4130">
        <v>7</v>
      </c>
      <c r="P4130">
        <f>G4130*I4130/100</f>
        <v>4792.1500000000005</v>
      </c>
      <c r="Q4130">
        <f t="shared" si="41"/>
        <v>230023.2</v>
      </c>
      <c r="R4130">
        <f>K4130/J4130</f>
        <v>0.27777777777777779</v>
      </c>
    </row>
    <row r="4131" spans="1:18" x14ac:dyDescent="0.3">
      <c r="A4131">
        <v>43</v>
      </c>
      <c r="B4131">
        <v>1291</v>
      </c>
      <c r="C4131" t="s">
        <v>17</v>
      </c>
      <c r="D4131" t="s">
        <v>18</v>
      </c>
      <c r="E4131">
        <v>65</v>
      </c>
      <c r="F4131" t="s">
        <v>25</v>
      </c>
      <c r="G4131">
        <v>19363.300000000003</v>
      </c>
      <c r="H4131">
        <v>3525</v>
      </c>
      <c r="I4131">
        <v>24</v>
      </c>
      <c r="J4131">
        <v>14</v>
      </c>
      <c r="K4131">
        <v>14</v>
      </c>
      <c r="L4131">
        <v>10</v>
      </c>
      <c r="M4131">
        <v>6</v>
      </c>
      <c r="N4131">
        <v>11</v>
      </c>
      <c r="P4131">
        <f>G4131*I4131/100</f>
        <v>4647.1920000000009</v>
      </c>
      <c r="Q4131">
        <f t="shared" si="41"/>
        <v>232359.60000000003</v>
      </c>
      <c r="R4131">
        <f>K4131/J4131</f>
        <v>1</v>
      </c>
    </row>
    <row r="4132" spans="1:18" x14ac:dyDescent="0.3">
      <c r="A4132">
        <v>35</v>
      </c>
      <c r="B4132">
        <v>880</v>
      </c>
      <c r="C4132" t="s">
        <v>14</v>
      </c>
      <c r="D4132" t="s">
        <v>18</v>
      </c>
      <c r="E4132">
        <v>36</v>
      </c>
      <c r="F4132" t="s">
        <v>16</v>
      </c>
      <c r="G4132">
        <v>5039.1000000000004</v>
      </c>
      <c r="H4132">
        <v>10414</v>
      </c>
      <c r="I4132">
        <v>24</v>
      </c>
      <c r="J4132">
        <v>13</v>
      </c>
      <c r="K4132">
        <v>11</v>
      </c>
      <c r="L4132">
        <v>9</v>
      </c>
      <c r="M4132">
        <v>6</v>
      </c>
      <c r="N4132">
        <v>7</v>
      </c>
      <c r="P4132">
        <f>G4132*I4132/100</f>
        <v>1209.384</v>
      </c>
      <c r="Q4132">
        <f t="shared" si="41"/>
        <v>60469.200000000004</v>
      </c>
      <c r="R4132">
        <f>K4132/J4132</f>
        <v>0.84615384615384615</v>
      </c>
    </row>
    <row r="4133" spans="1:18" x14ac:dyDescent="0.3">
      <c r="A4133">
        <v>38</v>
      </c>
      <c r="B4133">
        <v>1189</v>
      </c>
      <c r="C4133" t="s">
        <v>17</v>
      </c>
      <c r="D4133" t="s">
        <v>18</v>
      </c>
      <c r="E4133">
        <v>90</v>
      </c>
      <c r="F4133" t="s">
        <v>19</v>
      </c>
      <c r="G4133">
        <v>5208.5</v>
      </c>
      <c r="H4133">
        <v>9867</v>
      </c>
      <c r="I4133">
        <v>15</v>
      </c>
      <c r="J4133">
        <v>19</v>
      </c>
      <c r="K4133">
        <v>13</v>
      </c>
      <c r="L4133">
        <v>11</v>
      </c>
      <c r="M4133">
        <v>2</v>
      </c>
      <c r="N4133">
        <v>9</v>
      </c>
      <c r="P4133">
        <f>G4133*I4133/100</f>
        <v>781.27499999999998</v>
      </c>
      <c r="Q4133">
        <f t="shared" si="41"/>
        <v>62502</v>
      </c>
      <c r="R4133">
        <f>K4133/J4133</f>
        <v>0.68421052631578949</v>
      </c>
    </row>
    <row r="4134" spans="1:18" x14ac:dyDescent="0.3">
      <c r="A4134">
        <v>29</v>
      </c>
      <c r="B4134">
        <v>991</v>
      </c>
      <c r="C4134" t="s">
        <v>14</v>
      </c>
      <c r="D4134" t="s">
        <v>18</v>
      </c>
      <c r="E4134">
        <v>43</v>
      </c>
      <c r="F4134" t="s">
        <v>16</v>
      </c>
      <c r="G4134">
        <v>4605.7000000000007</v>
      </c>
      <c r="H4134">
        <v>3356</v>
      </c>
      <c r="I4134">
        <v>13</v>
      </c>
      <c r="J4134">
        <v>10</v>
      </c>
      <c r="K4134">
        <v>10</v>
      </c>
      <c r="L4134">
        <v>0</v>
      </c>
      <c r="M4134">
        <v>0</v>
      </c>
      <c r="N4134">
        <v>9</v>
      </c>
      <c r="P4134">
        <f>G4134*I4134/100</f>
        <v>598.7410000000001</v>
      </c>
      <c r="Q4134">
        <f t="shared" si="41"/>
        <v>55268.400000000009</v>
      </c>
      <c r="R4134">
        <f>K4134/J4134</f>
        <v>1</v>
      </c>
    </row>
    <row r="4135" spans="1:18" x14ac:dyDescent="0.3">
      <c r="A4135">
        <v>33</v>
      </c>
      <c r="B4135">
        <v>392</v>
      </c>
      <c r="C4135" t="s">
        <v>14</v>
      </c>
      <c r="D4135" t="s">
        <v>18</v>
      </c>
      <c r="E4135">
        <v>93</v>
      </c>
      <c r="F4135" t="s">
        <v>16</v>
      </c>
      <c r="G4135">
        <v>6055.5000000000009</v>
      </c>
      <c r="H4135">
        <v>3921</v>
      </c>
      <c r="I4135">
        <v>14</v>
      </c>
      <c r="J4135">
        <v>6</v>
      </c>
      <c r="K4135">
        <v>6</v>
      </c>
      <c r="L4135">
        <v>2</v>
      </c>
      <c r="M4135">
        <v>0</v>
      </c>
      <c r="N4135">
        <v>4</v>
      </c>
      <c r="P4135">
        <f>G4135*I4135/100</f>
        <v>847.7700000000001</v>
      </c>
      <c r="Q4135">
        <f t="shared" si="41"/>
        <v>72666.000000000015</v>
      </c>
      <c r="R4135">
        <f>K4135/J4135</f>
        <v>1</v>
      </c>
    </row>
    <row r="4136" spans="1:18" x14ac:dyDescent="0.3">
      <c r="A4136">
        <v>32</v>
      </c>
      <c r="B4136">
        <v>977</v>
      </c>
      <c r="C4136" t="s">
        <v>17</v>
      </c>
      <c r="D4136" t="s">
        <v>18</v>
      </c>
      <c r="E4136">
        <v>45</v>
      </c>
      <c r="F4136" t="s">
        <v>19</v>
      </c>
      <c r="G4136">
        <v>6017.0000000000009</v>
      </c>
      <c r="H4136">
        <v>25518</v>
      </c>
      <c r="I4136">
        <v>13</v>
      </c>
      <c r="J4136">
        <v>10</v>
      </c>
      <c r="K4136">
        <v>9</v>
      </c>
      <c r="L4136">
        <v>5</v>
      </c>
      <c r="M4136">
        <v>1</v>
      </c>
      <c r="N4136">
        <v>6</v>
      </c>
      <c r="P4136">
        <f>G4136*I4136/100</f>
        <v>782.21000000000015</v>
      </c>
      <c r="Q4136">
        <f t="shared" si="41"/>
        <v>72204.000000000015</v>
      </c>
      <c r="R4136">
        <f>K4136/J4136</f>
        <v>0.9</v>
      </c>
    </row>
    <row r="4137" spans="1:18" x14ac:dyDescent="0.3">
      <c r="A4137">
        <v>31</v>
      </c>
      <c r="B4137">
        <v>1112</v>
      </c>
      <c r="C4137" t="s">
        <v>14</v>
      </c>
      <c r="D4137" t="s">
        <v>15</v>
      </c>
      <c r="E4137">
        <v>67</v>
      </c>
      <c r="F4137" t="s">
        <v>16</v>
      </c>
      <c r="G4137">
        <v>6023.6</v>
      </c>
      <c r="H4137">
        <v>22589</v>
      </c>
      <c r="I4137">
        <v>11</v>
      </c>
      <c r="J4137">
        <v>10</v>
      </c>
      <c r="K4137">
        <v>10</v>
      </c>
      <c r="L4137">
        <v>0</v>
      </c>
      <c r="M4137">
        <v>0</v>
      </c>
      <c r="N4137">
        <v>2</v>
      </c>
      <c r="P4137">
        <f>G4137*I4137/100</f>
        <v>662.596</v>
      </c>
      <c r="Q4137">
        <f t="shared" si="41"/>
        <v>72283.200000000012</v>
      </c>
      <c r="R4137">
        <f>K4137/J4137</f>
        <v>1</v>
      </c>
    </row>
    <row r="4138" spans="1:18" x14ac:dyDescent="0.3">
      <c r="A4138">
        <v>49</v>
      </c>
      <c r="B4138">
        <v>464</v>
      </c>
      <c r="C4138" t="s">
        <v>17</v>
      </c>
      <c r="D4138" t="s">
        <v>15</v>
      </c>
      <c r="E4138">
        <v>74</v>
      </c>
      <c r="F4138" t="s">
        <v>20</v>
      </c>
      <c r="G4138">
        <v>2845.7000000000003</v>
      </c>
      <c r="H4138">
        <v>24941</v>
      </c>
      <c r="I4138">
        <v>16</v>
      </c>
      <c r="J4138">
        <v>17</v>
      </c>
      <c r="K4138">
        <v>2</v>
      </c>
      <c r="L4138">
        <v>2</v>
      </c>
      <c r="M4138">
        <v>2</v>
      </c>
      <c r="N4138">
        <v>2</v>
      </c>
      <c r="P4138">
        <f>G4138*I4138/100</f>
        <v>455.31200000000007</v>
      </c>
      <c r="Q4138">
        <f t="shared" si="41"/>
        <v>34148.400000000001</v>
      </c>
      <c r="R4138">
        <f>K4138/J4138</f>
        <v>0.11764705882352941</v>
      </c>
    </row>
    <row r="4139" spans="1:18" x14ac:dyDescent="0.3">
      <c r="A4139">
        <v>38</v>
      </c>
      <c r="B4139">
        <v>148</v>
      </c>
      <c r="C4139" t="s">
        <v>17</v>
      </c>
      <c r="D4139" t="s">
        <v>15</v>
      </c>
      <c r="E4139">
        <v>42</v>
      </c>
      <c r="F4139" t="s">
        <v>20</v>
      </c>
      <c r="G4139">
        <v>2684</v>
      </c>
      <c r="H4139">
        <v>23826</v>
      </c>
      <c r="I4139">
        <v>22</v>
      </c>
      <c r="J4139">
        <v>4</v>
      </c>
      <c r="K4139">
        <v>4</v>
      </c>
      <c r="L4139">
        <v>3</v>
      </c>
      <c r="M4139">
        <v>3</v>
      </c>
      <c r="N4139">
        <v>3</v>
      </c>
      <c r="P4139">
        <f>G4139*I4139/100</f>
        <v>590.48</v>
      </c>
      <c r="Q4139">
        <f t="shared" si="41"/>
        <v>32208</v>
      </c>
      <c r="R4139">
        <f>K4139/J4139</f>
        <v>1</v>
      </c>
    </row>
    <row r="4140" spans="1:18" x14ac:dyDescent="0.3">
      <c r="A4140">
        <v>47</v>
      </c>
      <c r="B4140">
        <v>1225</v>
      </c>
      <c r="C4140" t="s">
        <v>14</v>
      </c>
      <c r="D4140" t="s">
        <v>15</v>
      </c>
      <c r="E4140">
        <v>47</v>
      </c>
      <c r="F4140" t="s">
        <v>23</v>
      </c>
      <c r="G4140">
        <v>17569.2</v>
      </c>
      <c r="H4140">
        <v>21086</v>
      </c>
      <c r="I4140">
        <v>14</v>
      </c>
      <c r="J4140">
        <v>29</v>
      </c>
      <c r="K4140">
        <v>3</v>
      </c>
      <c r="L4140">
        <v>2</v>
      </c>
      <c r="M4140">
        <v>1</v>
      </c>
      <c r="N4140">
        <v>2</v>
      </c>
      <c r="P4140">
        <f>G4140*I4140/100</f>
        <v>2459.6880000000001</v>
      </c>
      <c r="Q4140">
        <f t="shared" si="41"/>
        <v>210830.40000000002</v>
      </c>
      <c r="R4140">
        <f>K4140/J4140</f>
        <v>0.10344827586206896</v>
      </c>
    </row>
    <row r="4141" spans="1:18" x14ac:dyDescent="0.3">
      <c r="A4141">
        <v>49</v>
      </c>
      <c r="B4141">
        <v>809</v>
      </c>
      <c r="C4141" t="s">
        <v>17</v>
      </c>
      <c r="D4141" t="s">
        <v>18</v>
      </c>
      <c r="E4141">
        <v>36</v>
      </c>
      <c r="F4141" t="s">
        <v>23</v>
      </c>
      <c r="G4141">
        <v>16916.900000000001</v>
      </c>
      <c r="H4141">
        <v>22384</v>
      </c>
      <c r="I4141">
        <v>14</v>
      </c>
      <c r="J4141">
        <v>23</v>
      </c>
      <c r="K4141">
        <v>8</v>
      </c>
      <c r="L4141">
        <v>7</v>
      </c>
      <c r="M4141">
        <v>0</v>
      </c>
      <c r="N4141">
        <v>0</v>
      </c>
      <c r="P4141">
        <f>G4141*I4141/100</f>
        <v>2368.3660000000004</v>
      </c>
      <c r="Q4141">
        <f t="shared" si="41"/>
        <v>203002.80000000002</v>
      </c>
      <c r="R4141">
        <f>K4141/J4141</f>
        <v>0.34782608695652173</v>
      </c>
    </row>
    <row r="4142" spans="1:18" x14ac:dyDescent="0.3">
      <c r="A4142">
        <v>41</v>
      </c>
      <c r="B4142">
        <v>1206</v>
      </c>
      <c r="C4142" t="s">
        <v>14</v>
      </c>
      <c r="D4142" t="s">
        <v>18</v>
      </c>
      <c r="E4142">
        <v>80</v>
      </c>
      <c r="F4142" t="s">
        <v>16</v>
      </c>
      <c r="G4142">
        <v>7790.2000000000007</v>
      </c>
      <c r="H4142">
        <v>11591</v>
      </c>
      <c r="I4142">
        <v>16</v>
      </c>
      <c r="J4142">
        <v>21</v>
      </c>
      <c r="K4142">
        <v>2</v>
      </c>
      <c r="L4142">
        <v>0</v>
      </c>
      <c r="M4142">
        <v>0</v>
      </c>
      <c r="N4142">
        <v>2</v>
      </c>
      <c r="P4142">
        <f>G4142*I4142/100</f>
        <v>1246.432</v>
      </c>
      <c r="Q4142">
        <f t="shared" si="41"/>
        <v>93482.400000000009</v>
      </c>
      <c r="R4142">
        <f>K4142/J4142</f>
        <v>9.5238095238095233E-2</v>
      </c>
    </row>
    <row r="4143" spans="1:18" x14ac:dyDescent="0.3">
      <c r="A4143">
        <v>20</v>
      </c>
      <c r="B4143">
        <v>727</v>
      </c>
      <c r="C4143" t="s">
        <v>14</v>
      </c>
      <c r="D4143" t="s">
        <v>18</v>
      </c>
      <c r="E4143">
        <v>54</v>
      </c>
      <c r="F4143" t="s">
        <v>24</v>
      </c>
      <c r="G4143">
        <v>3000.8</v>
      </c>
      <c r="H4143">
        <v>21082</v>
      </c>
      <c r="I4143">
        <v>11</v>
      </c>
      <c r="J4143">
        <v>2</v>
      </c>
      <c r="K4143">
        <v>2</v>
      </c>
      <c r="L4143">
        <v>2</v>
      </c>
      <c r="M4143">
        <v>0</v>
      </c>
      <c r="N4143">
        <v>2</v>
      </c>
      <c r="P4143">
        <f>G4143*I4143/100</f>
        <v>330.08800000000002</v>
      </c>
      <c r="Q4143">
        <f t="shared" si="41"/>
        <v>36009.600000000006</v>
      </c>
      <c r="R4143">
        <f>K4143/J4143</f>
        <v>1</v>
      </c>
    </row>
    <row r="4144" spans="1:18" x14ac:dyDescent="0.3">
      <c r="A4144">
        <v>33</v>
      </c>
      <c r="B4144">
        <v>530</v>
      </c>
      <c r="C4144" t="s">
        <v>14</v>
      </c>
      <c r="D4144" t="s">
        <v>15</v>
      </c>
      <c r="E4144">
        <v>36</v>
      </c>
      <c r="F4144" t="s">
        <v>16</v>
      </c>
      <c r="G4144">
        <v>5904.8</v>
      </c>
      <c r="H4144">
        <v>16130</v>
      </c>
      <c r="I4144">
        <v>25</v>
      </c>
      <c r="J4144">
        <v>7</v>
      </c>
      <c r="K4144">
        <v>6</v>
      </c>
      <c r="L4144">
        <v>5</v>
      </c>
      <c r="M4144">
        <v>1</v>
      </c>
      <c r="N4144">
        <v>2</v>
      </c>
      <c r="P4144">
        <f>G4144*I4144/100</f>
        <v>1476.2</v>
      </c>
      <c r="Q4144">
        <f t="shared" si="41"/>
        <v>70857.600000000006</v>
      </c>
      <c r="R4144">
        <f>K4144/J4144</f>
        <v>0.8571428571428571</v>
      </c>
    </row>
    <row r="4145" spans="1:18" x14ac:dyDescent="0.3">
      <c r="A4145">
        <v>36</v>
      </c>
      <c r="B4145">
        <v>1351</v>
      </c>
      <c r="C4145" t="s">
        <v>17</v>
      </c>
      <c r="D4145" t="s">
        <v>18</v>
      </c>
      <c r="E4145">
        <v>80</v>
      </c>
      <c r="F4145" t="s">
        <v>22</v>
      </c>
      <c r="G4145">
        <v>5881.7000000000007</v>
      </c>
      <c r="H4145">
        <v>7419</v>
      </c>
      <c r="I4145">
        <v>14</v>
      </c>
      <c r="J4145">
        <v>10</v>
      </c>
      <c r="K4145">
        <v>3</v>
      </c>
      <c r="L4145">
        <v>2</v>
      </c>
      <c r="M4145">
        <v>0</v>
      </c>
      <c r="N4145">
        <v>2</v>
      </c>
      <c r="P4145">
        <f>G4145*I4145/100</f>
        <v>823.43800000000022</v>
      </c>
      <c r="Q4145">
        <f t="shared" si="41"/>
        <v>70580.400000000009</v>
      </c>
      <c r="R4145">
        <f>K4145/J4145</f>
        <v>0.3</v>
      </c>
    </row>
    <row r="4146" spans="1:18" x14ac:dyDescent="0.3">
      <c r="A4146">
        <v>44</v>
      </c>
      <c r="B4146">
        <v>528</v>
      </c>
      <c r="C4146" t="s">
        <v>26</v>
      </c>
      <c r="D4146" t="s">
        <v>15</v>
      </c>
      <c r="E4146">
        <v>44</v>
      </c>
      <c r="F4146" t="s">
        <v>26</v>
      </c>
      <c r="G4146">
        <v>3514.5000000000005</v>
      </c>
      <c r="H4146">
        <v>4167</v>
      </c>
      <c r="I4146">
        <v>18</v>
      </c>
      <c r="J4146">
        <v>8</v>
      </c>
      <c r="K4146">
        <v>2</v>
      </c>
      <c r="L4146">
        <v>2</v>
      </c>
      <c r="M4146">
        <v>2</v>
      </c>
      <c r="N4146">
        <v>2</v>
      </c>
      <c r="P4146">
        <f>G4146*I4146/100</f>
        <v>632.61000000000013</v>
      </c>
      <c r="Q4146">
        <f t="shared" si="41"/>
        <v>42174.000000000007</v>
      </c>
      <c r="R4146">
        <f>K4146/J4146</f>
        <v>0.25</v>
      </c>
    </row>
    <row r="4147" spans="1:18" x14ac:dyDescent="0.3">
      <c r="A4147">
        <v>23</v>
      </c>
      <c r="B4147">
        <v>1320</v>
      </c>
      <c r="C4147" t="s">
        <v>17</v>
      </c>
      <c r="D4147" t="s">
        <v>18</v>
      </c>
      <c r="E4147">
        <v>93</v>
      </c>
      <c r="F4147" t="s">
        <v>20</v>
      </c>
      <c r="G4147">
        <v>4387.9000000000005</v>
      </c>
      <c r="H4147">
        <v>20586</v>
      </c>
      <c r="I4147">
        <v>11</v>
      </c>
      <c r="J4147">
        <v>5</v>
      </c>
      <c r="K4147">
        <v>5</v>
      </c>
      <c r="L4147">
        <v>4</v>
      </c>
      <c r="M4147">
        <v>1</v>
      </c>
      <c r="N4147">
        <v>2</v>
      </c>
      <c r="P4147">
        <f>G4147*I4147/100</f>
        <v>482.6690000000001</v>
      </c>
      <c r="Q4147">
        <f t="shared" si="41"/>
        <v>52654.8</v>
      </c>
      <c r="R4147">
        <f>K4147/J4147</f>
        <v>1</v>
      </c>
    </row>
    <row r="4148" spans="1:18" x14ac:dyDescent="0.3">
      <c r="A4148">
        <v>38</v>
      </c>
      <c r="B4148">
        <v>1495</v>
      </c>
      <c r="C4148" t="s">
        <v>17</v>
      </c>
      <c r="D4148" t="s">
        <v>15</v>
      </c>
      <c r="E4148">
        <v>87</v>
      </c>
      <c r="F4148" t="s">
        <v>20</v>
      </c>
      <c r="G4148">
        <v>3636.6000000000004</v>
      </c>
      <c r="H4148">
        <v>26176</v>
      </c>
      <c r="I4148">
        <v>19</v>
      </c>
      <c r="J4148">
        <v>7</v>
      </c>
      <c r="K4148">
        <v>0</v>
      </c>
      <c r="L4148">
        <v>0</v>
      </c>
      <c r="M4148">
        <v>0</v>
      </c>
      <c r="N4148">
        <v>0</v>
      </c>
      <c r="P4148">
        <f>G4148*I4148/100</f>
        <v>690.95400000000006</v>
      </c>
      <c r="Q4148">
        <f t="shared" si="41"/>
        <v>43639.200000000004</v>
      </c>
      <c r="R4148">
        <f>K4148/J4148</f>
        <v>0</v>
      </c>
    </row>
    <row r="4149" spans="1:18" x14ac:dyDescent="0.3">
      <c r="A4149">
        <v>53</v>
      </c>
      <c r="B4149">
        <v>1395</v>
      </c>
      <c r="C4149" t="s">
        <v>17</v>
      </c>
      <c r="D4149" t="s">
        <v>18</v>
      </c>
      <c r="E4149">
        <v>48</v>
      </c>
      <c r="F4149" t="s">
        <v>22</v>
      </c>
      <c r="G4149">
        <v>7705.5000000000009</v>
      </c>
      <c r="H4149">
        <v>3458</v>
      </c>
      <c r="I4149">
        <v>15</v>
      </c>
      <c r="J4149">
        <v>11</v>
      </c>
      <c r="K4149">
        <v>4</v>
      </c>
      <c r="L4149">
        <v>3</v>
      </c>
      <c r="M4149">
        <v>1</v>
      </c>
      <c r="N4149">
        <v>2</v>
      </c>
      <c r="P4149">
        <f>G4149*I4149/100</f>
        <v>1155.825</v>
      </c>
      <c r="Q4149">
        <f t="shared" si="41"/>
        <v>92466.000000000015</v>
      </c>
      <c r="R4149">
        <f>K4149/J4149</f>
        <v>0.36363636363636365</v>
      </c>
    </row>
    <row r="4150" spans="1:18" x14ac:dyDescent="0.3">
      <c r="A4150">
        <v>48</v>
      </c>
      <c r="B4150">
        <v>708</v>
      </c>
      <c r="C4150" t="s">
        <v>14</v>
      </c>
      <c r="D4150" t="s">
        <v>15</v>
      </c>
      <c r="E4150">
        <v>95</v>
      </c>
      <c r="F4150" t="s">
        <v>24</v>
      </c>
      <c r="G4150">
        <v>2920.5000000000005</v>
      </c>
      <c r="H4150">
        <v>11740</v>
      </c>
      <c r="I4150">
        <v>11</v>
      </c>
      <c r="J4150">
        <v>19</v>
      </c>
      <c r="K4150">
        <v>9</v>
      </c>
      <c r="L4150">
        <v>7</v>
      </c>
      <c r="M4150">
        <v>7</v>
      </c>
      <c r="N4150">
        <v>7</v>
      </c>
      <c r="P4150">
        <f>G4150*I4150/100</f>
        <v>321.25500000000005</v>
      </c>
      <c r="Q4150">
        <f t="shared" si="41"/>
        <v>35046.000000000007</v>
      </c>
      <c r="R4150">
        <f>K4150/J4150</f>
        <v>0.47368421052631576</v>
      </c>
    </row>
    <row r="4151" spans="1:18" x14ac:dyDescent="0.3">
      <c r="A4151">
        <v>32</v>
      </c>
      <c r="B4151">
        <v>1259</v>
      </c>
      <c r="C4151" t="s">
        <v>17</v>
      </c>
      <c r="D4151" t="s">
        <v>18</v>
      </c>
      <c r="E4151">
        <v>95</v>
      </c>
      <c r="F4151" t="s">
        <v>20</v>
      </c>
      <c r="G4151">
        <v>1532.3000000000002</v>
      </c>
      <c r="H4151">
        <v>24852</v>
      </c>
      <c r="I4151">
        <v>12</v>
      </c>
      <c r="J4151">
        <v>1</v>
      </c>
      <c r="K4151">
        <v>1</v>
      </c>
      <c r="L4151">
        <v>0</v>
      </c>
      <c r="M4151">
        <v>0</v>
      </c>
      <c r="N4151">
        <v>0</v>
      </c>
      <c r="P4151">
        <f>G4151*I4151/100</f>
        <v>183.87600000000003</v>
      </c>
      <c r="Q4151">
        <f t="shared" si="41"/>
        <v>18387.600000000002</v>
      </c>
      <c r="R4151">
        <f>K4151/J4151</f>
        <v>1</v>
      </c>
    </row>
    <row r="4152" spans="1:18" x14ac:dyDescent="0.3">
      <c r="A4152">
        <v>26</v>
      </c>
      <c r="B4152">
        <v>786</v>
      </c>
      <c r="C4152" t="s">
        <v>17</v>
      </c>
      <c r="D4152" t="s">
        <v>18</v>
      </c>
      <c r="E4152">
        <v>76</v>
      </c>
      <c r="F4152" t="s">
        <v>20</v>
      </c>
      <c r="G4152">
        <v>2827.0000000000005</v>
      </c>
      <c r="H4152">
        <v>11925</v>
      </c>
      <c r="I4152">
        <v>20</v>
      </c>
      <c r="J4152">
        <v>7</v>
      </c>
      <c r="K4152">
        <v>7</v>
      </c>
      <c r="L4152">
        <v>7</v>
      </c>
      <c r="M4152">
        <v>5</v>
      </c>
      <c r="N4152">
        <v>7</v>
      </c>
      <c r="P4152">
        <f>G4152*I4152/100</f>
        <v>565.40000000000009</v>
      </c>
      <c r="Q4152">
        <f t="shared" si="41"/>
        <v>33924.000000000007</v>
      </c>
      <c r="R4152">
        <f>K4152/J4152</f>
        <v>1</v>
      </c>
    </row>
    <row r="4153" spans="1:18" x14ac:dyDescent="0.3">
      <c r="A4153">
        <v>55</v>
      </c>
      <c r="B4153">
        <v>1441</v>
      </c>
      <c r="C4153" t="s">
        <v>17</v>
      </c>
      <c r="D4153" t="s">
        <v>18</v>
      </c>
      <c r="E4153">
        <v>94</v>
      </c>
      <c r="F4153" t="s">
        <v>19</v>
      </c>
      <c r="G4153">
        <v>3890.7000000000003</v>
      </c>
      <c r="H4153">
        <v>23737</v>
      </c>
      <c r="I4153">
        <v>12</v>
      </c>
      <c r="J4153">
        <v>8</v>
      </c>
      <c r="K4153">
        <v>4</v>
      </c>
      <c r="L4153">
        <v>2</v>
      </c>
      <c r="M4153">
        <v>1</v>
      </c>
      <c r="N4153">
        <v>2</v>
      </c>
      <c r="P4153">
        <f>G4153*I4153/100</f>
        <v>466.88400000000001</v>
      </c>
      <c r="Q4153">
        <f t="shared" si="41"/>
        <v>46688.4</v>
      </c>
      <c r="R4153">
        <f>K4153/J4153</f>
        <v>0.5</v>
      </c>
    </row>
    <row r="4154" spans="1:18" x14ac:dyDescent="0.3">
      <c r="A4154">
        <v>34</v>
      </c>
      <c r="B4154">
        <v>1157</v>
      </c>
      <c r="C4154" t="s">
        <v>17</v>
      </c>
      <c r="D4154" t="s">
        <v>18</v>
      </c>
      <c r="E4154">
        <v>57</v>
      </c>
      <c r="F4154" t="s">
        <v>20</v>
      </c>
      <c r="G4154">
        <v>4384.6000000000004</v>
      </c>
      <c r="H4154">
        <v>11912</v>
      </c>
      <c r="I4154">
        <v>14</v>
      </c>
      <c r="J4154">
        <v>15</v>
      </c>
      <c r="K4154">
        <v>15</v>
      </c>
      <c r="L4154">
        <v>10</v>
      </c>
      <c r="M4154">
        <v>4</v>
      </c>
      <c r="N4154">
        <v>13</v>
      </c>
      <c r="P4154">
        <f>G4154*I4154/100</f>
        <v>613.84400000000005</v>
      </c>
      <c r="Q4154">
        <f t="shared" si="41"/>
        <v>52615.200000000004</v>
      </c>
      <c r="R4154">
        <f>K4154/J4154</f>
        <v>1</v>
      </c>
    </row>
    <row r="4155" spans="1:18" x14ac:dyDescent="0.3">
      <c r="A4155">
        <v>60</v>
      </c>
      <c r="B4155">
        <v>370</v>
      </c>
      <c r="C4155" t="s">
        <v>17</v>
      </c>
      <c r="D4155" t="s">
        <v>18</v>
      </c>
      <c r="E4155">
        <v>92</v>
      </c>
      <c r="F4155" t="s">
        <v>22</v>
      </c>
      <c r="G4155">
        <v>11971.300000000001</v>
      </c>
      <c r="H4155">
        <v>20467</v>
      </c>
      <c r="I4155">
        <v>20</v>
      </c>
      <c r="J4155">
        <v>19</v>
      </c>
      <c r="K4155">
        <v>1</v>
      </c>
      <c r="L4155">
        <v>0</v>
      </c>
      <c r="M4155">
        <v>0</v>
      </c>
      <c r="N4155">
        <v>0</v>
      </c>
      <c r="P4155">
        <f>G4155*I4155/100</f>
        <v>2394.2600000000002</v>
      </c>
      <c r="Q4155">
        <f t="shared" si="41"/>
        <v>143655.6</v>
      </c>
      <c r="R4155">
        <f>K4155/J4155</f>
        <v>5.2631578947368418E-2</v>
      </c>
    </row>
    <row r="4156" spans="1:18" x14ac:dyDescent="0.3">
      <c r="A4156">
        <v>33</v>
      </c>
      <c r="B4156">
        <v>267</v>
      </c>
      <c r="C4156" t="s">
        <v>17</v>
      </c>
      <c r="D4156" t="s">
        <v>18</v>
      </c>
      <c r="E4156">
        <v>79</v>
      </c>
      <c r="F4156" t="s">
        <v>20</v>
      </c>
      <c r="G4156">
        <v>2230.8000000000002</v>
      </c>
      <c r="H4156">
        <v>13637</v>
      </c>
      <c r="I4156">
        <v>18</v>
      </c>
      <c r="J4156">
        <v>14</v>
      </c>
      <c r="K4156">
        <v>14</v>
      </c>
      <c r="L4156">
        <v>11</v>
      </c>
      <c r="M4156">
        <v>2</v>
      </c>
      <c r="N4156">
        <v>13</v>
      </c>
      <c r="P4156">
        <f>G4156*I4156/100</f>
        <v>401.54400000000004</v>
      </c>
      <c r="Q4156">
        <f t="shared" si="41"/>
        <v>26769.600000000002</v>
      </c>
      <c r="R4156">
        <f>K4156/J4156</f>
        <v>1</v>
      </c>
    </row>
    <row r="4157" spans="1:18" x14ac:dyDescent="0.3">
      <c r="A4157">
        <v>37</v>
      </c>
      <c r="B4157">
        <v>1278</v>
      </c>
      <c r="C4157" t="s">
        <v>14</v>
      </c>
      <c r="D4157" t="s">
        <v>18</v>
      </c>
      <c r="E4157">
        <v>31</v>
      </c>
      <c r="F4157" t="s">
        <v>16</v>
      </c>
      <c r="G4157">
        <v>10477.5</v>
      </c>
      <c r="H4157">
        <v>7677</v>
      </c>
      <c r="I4157">
        <v>14</v>
      </c>
      <c r="J4157">
        <v>6</v>
      </c>
      <c r="K4157">
        <v>6</v>
      </c>
      <c r="L4157">
        <v>3</v>
      </c>
      <c r="M4157">
        <v>1</v>
      </c>
      <c r="N4157">
        <v>3</v>
      </c>
      <c r="P4157">
        <f>G4157*I4157/100</f>
        <v>1466.85</v>
      </c>
      <c r="Q4157">
        <f t="shared" si="41"/>
        <v>125730</v>
      </c>
      <c r="R4157">
        <f>K4157/J4157</f>
        <v>1</v>
      </c>
    </row>
    <row r="4158" spans="1:18" x14ac:dyDescent="0.3">
      <c r="A4158">
        <v>34</v>
      </c>
      <c r="B4158">
        <v>678</v>
      </c>
      <c r="C4158" t="s">
        <v>17</v>
      </c>
      <c r="D4158" t="s">
        <v>15</v>
      </c>
      <c r="E4158">
        <v>35</v>
      </c>
      <c r="F4158" t="s">
        <v>19</v>
      </c>
      <c r="G4158">
        <v>3221.9</v>
      </c>
      <c r="H4158">
        <v>20338</v>
      </c>
      <c r="I4158">
        <v>12</v>
      </c>
      <c r="J4158">
        <v>10</v>
      </c>
      <c r="K4158">
        <v>10</v>
      </c>
      <c r="L4158">
        <v>9</v>
      </c>
      <c r="M4158">
        <v>8</v>
      </c>
      <c r="N4158">
        <v>7</v>
      </c>
      <c r="P4158">
        <f>G4158*I4158/100</f>
        <v>386.62800000000004</v>
      </c>
      <c r="Q4158">
        <f t="shared" si="41"/>
        <v>38662.800000000003</v>
      </c>
      <c r="R4158">
        <f>K4158/J4158</f>
        <v>1</v>
      </c>
    </row>
    <row r="4159" spans="1:18" x14ac:dyDescent="0.3">
      <c r="A4159">
        <v>23</v>
      </c>
      <c r="B4159">
        <v>427</v>
      </c>
      <c r="C4159" t="s">
        <v>14</v>
      </c>
      <c r="D4159" t="s">
        <v>18</v>
      </c>
      <c r="E4159">
        <v>99</v>
      </c>
      <c r="F4159" t="s">
        <v>24</v>
      </c>
      <c r="G4159">
        <v>2502.5</v>
      </c>
      <c r="H4159">
        <v>25103</v>
      </c>
      <c r="I4159">
        <v>21</v>
      </c>
      <c r="J4159">
        <v>3</v>
      </c>
      <c r="K4159">
        <v>3</v>
      </c>
      <c r="L4159">
        <v>2</v>
      </c>
      <c r="M4159">
        <v>0</v>
      </c>
      <c r="N4159">
        <v>2</v>
      </c>
      <c r="P4159">
        <f>G4159*I4159/100</f>
        <v>525.52499999999998</v>
      </c>
      <c r="Q4159">
        <f t="shared" si="41"/>
        <v>30030</v>
      </c>
      <c r="R4159">
        <f>K4159/J4159</f>
        <v>1</v>
      </c>
    </row>
    <row r="4160" spans="1:18" x14ac:dyDescent="0.3">
      <c r="A4160">
        <v>44</v>
      </c>
      <c r="B4160">
        <v>921</v>
      </c>
      <c r="C4160" t="s">
        <v>17</v>
      </c>
      <c r="D4160" t="s">
        <v>15</v>
      </c>
      <c r="E4160">
        <v>96</v>
      </c>
      <c r="F4160" t="s">
        <v>22</v>
      </c>
      <c r="G4160">
        <v>8666.9000000000015</v>
      </c>
      <c r="H4160">
        <v>14810</v>
      </c>
      <c r="I4160">
        <v>19</v>
      </c>
      <c r="J4160">
        <v>9</v>
      </c>
      <c r="K4160">
        <v>8</v>
      </c>
      <c r="L4160">
        <v>7</v>
      </c>
      <c r="M4160">
        <v>6</v>
      </c>
      <c r="N4160">
        <v>7</v>
      </c>
      <c r="P4160">
        <f>G4160*I4160/100</f>
        <v>1646.7110000000002</v>
      </c>
      <c r="Q4160">
        <f t="shared" si="41"/>
        <v>104002.80000000002</v>
      </c>
      <c r="R4160">
        <f>K4160/J4160</f>
        <v>0.88888888888888884</v>
      </c>
    </row>
    <row r="4161" spans="1:18" x14ac:dyDescent="0.3">
      <c r="A4161">
        <v>35</v>
      </c>
      <c r="B4161">
        <v>146</v>
      </c>
      <c r="C4161" t="s">
        <v>17</v>
      </c>
      <c r="D4161" t="s">
        <v>18</v>
      </c>
      <c r="E4161">
        <v>79</v>
      </c>
      <c r="F4161" t="s">
        <v>19</v>
      </c>
      <c r="G4161">
        <v>5423</v>
      </c>
      <c r="H4161">
        <v>13970</v>
      </c>
      <c r="I4161">
        <v>14</v>
      </c>
      <c r="J4161">
        <v>6</v>
      </c>
      <c r="K4161">
        <v>5</v>
      </c>
      <c r="L4161">
        <v>4</v>
      </c>
      <c r="M4161">
        <v>1</v>
      </c>
      <c r="N4161">
        <v>4</v>
      </c>
      <c r="P4161">
        <f>G4161*I4161/100</f>
        <v>759.22</v>
      </c>
      <c r="Q4161">
        <f t="shared" si="41"/>
        <v>65076</v>
      </c>
      <c r="R4161">
        <f>K4161/J4161</f>
        <v>0.83333333333333337</v>
      </c>
    </row>
    <row r="4162" spans="1:18" x14ac:dyDescent="0.3">
      <c r="A4162">
        <v>43</v>
      </c>
      <c r="B4162">
        <v>1179</v>
      </c>
      <c r="C4162" t="s">
        <v>14</v>
      </c>
      <c r="D4162" t="s">
        <v>18</v>
      </c>
      <c r="E4162">
        <v>73</v>
      </c>
      <c r="F4162" t="s">
        <v>16</v>
      </c>
      <c r="G4162">
        <v>8631.7000000000007</v>
      </c>
      <c r="H4162">
        <v>6069</v>
      </c>
      <c r="I4162">
        <v>17</v>
      </c>
      <c r="J4162">
        <v>10</v>
      </c>
      <c r="K4162">
        <v>10</v>
      </c>
      <c r="L4162">
        <v>9</v>
      </c>
      <c r="M4162">
        <v>8</v>
      </c>
      <c r="N4162">
        <v>8</v>
      </c>
      <c r="P4162">
        <f>G4162*I4162/100</f>
        <v>1467.3890000000001</v>
      </c>
      <c r="Q4162">
        <f t="shared" si="41"/>
        <v>103580.40000000001</v>
      </c>
      <c r="R4162">
        <f>K4162/J4162</f>
        <v>1</v>
      </c>
    </row>
    <row r="4163" spans="1:18" x14ac:dyDescent="0.3">
      <c r="A4163">
        <v>24</v>
      </c>
      <c r="B4163">
        <v>581</v>
      </c>
      <c r="C4163" t="s">
        <v>17</v>
      </c>
      <c r="D4163" t="s">
        <v>18</v>
      </c>
      <c r="E4163">
        <v>62</v>
      </c>
      <c r="F4163" t="s">
        <v>19</v>
      </c>
      <c r="G4163">
        <v>4841.1000000000004</v>
      </c>
      <c r="H4163">
        <v>17616</v>
      </c>
      <c r="I4163">
        <v>16</v>
      </c>
      <c r="J4163">
        <v>5</v>
      </c>
      <c r="K4163">
        <v>5</v>
      </c>
      <c r="L4163">
        <v>3</v>
      </c>
      <c r="M4163">
        <v>0</v>
      </c>
      <c r="N4163">
        <v>4</v>
      </c>
      <c r="P4163">
        <f>G4163*I4163/100</f>
        <v>774.57600000000002</v>
      </c>
      <c r="Q4163">
        <f t="shared" ref="Q4163:Q4226" si="42">G4163*12</f>
        <v>58093.200000000004</v>
      </c>
      <c r="R4163">
        <f>K4163/J4163</f>
        <v>1</v>
      </c>
    </row>
    <row r="4164" spans="1:18" x14ac:dyDescent="0.3">
      <c r="A4164">
        <v>41</v>
      </c>
      <c r="B4164">
        <v>918</v>
      </c>
      <c r="C4164" t="s">
        <v>14</v>
      </c>
      <c r="D4164" t="s">
        <v>18</v>
      </c>
      <c r="E4164">
        <v>35</v>
      </c>
      <c r="F4164" t="s">
        <v>16</v>
      </c>
      <c r="G4164">
        <v>10165.1</v>
      </c>
      <c r="H4164">
        <v>15869</v>
      </c>
      <c r="I4164">
        <v>12</v>
      </c>
      <c r="J4164">
        <v>10</v>
      </c>
      <c r="K4164">
        <v>10</v>
      </c>
      <c r="L4164">
        <v>8</v>
      </c>
      <c r="M4164">
        <v>8</v>
      </c>
      <c r="N4164">
        <v>7</v>
      </c>
      <c r="P4164">
        <f>G4164*I4164/100</f>
        <v>1219.8120000000001</v>
      </c>
      <c r="Q4164">
        <f t="shared" si="42"/>
        <v>121981.20000000001</v>
      </c>
      <c r="R4164">
        <f>K4164/J4164</f>
        <v>1</v>
      </c>
    </row>
    <row r="4165" spans="1:18" x14ac:dyDescent="0.3">
      <c r="A4165">
        <v>29</v>
      </c>
      <c r="B4165">
        <v>1082</v>
      </c>
      <c r="C4165" t="s">
        <v>17</v>
      </c>
      <c r="D4165" t="s">
        <v>15</v>
      </c>
      <c r="E4165">
        <v>43</v>
      </c>
      <c r="F4165" t="s">
        <v>20</v>
      </c>
      <c r="G4165">
        <v>3271.4</v>
      </c>
      <c r="H4165">
        <v>25412</v>
      </c>
      <c r="I4165">
        <v>17</v>
      </c>
      <c r="J4165">
        <v>9</v>
      </c>
      <c r="K4165">
        <v>5</v>
      </c>
      <c r="L4165">
        <v>3</v>
      </c>
      <c r="M4165">
        <v>1</v>
      </c>
      <c r="N4165">
        <v>2</v>
      </c>
      <c r="P4165">
        <f>G4165*I4165/100</f>
        <v>556.13800000000003</v>
      </c>
      <c r="Q4165">
        <f t="shared" si="42"/>
        <v>39256.800000000003</v>
      </c>
      <c r="R4165">
        <f>K4165/J4165</f>
        <v>0.55555555555555558</v>
      </c>
    </row>
    <row r="4166" spans="1:18" x14ac:dyDescent="0.3">
      <c r="A4166">
        <v>36</v>
      </c>
      <c r="B4166">
        <v>530</v>
      </c>
      <c r="C4166" t="s">
        <v>14</v>
      </c>
      <c r="D4166" t="s">
        <v>15</v>
      </c>
      <c r="E4166">
        <v>51</v>
      </c>
      <c r="F4166" t="s">
        <v>24</v>
      </c>
      <c r="G4166">
        <v>4952.2000000000007</v>
      </c>
      <c r="H4166">
        <v>7439</v>
      </c>
      <c r="I4166">
        <v>15</v>
      </c>
      <c r="J4166">
        <v>17</v>
      </c>
      <c r="K4166">
        <v>13</v>
      </c>
      <c r="L4166">
        <v>7</v>
      </c>
      <c r="M4166">
        <v>6</v>
      </c>
      <c r="N4166">
        <v>7</v>
      </c>
      <c r="P4166">
        <f>G4166*I4166/100</f>
        <v>742.83000000000015</v>
      </c>
      <c r="Q4166">
        <f t="shared" si="42"/>
        <v>59426.400000000009</v>
      </c>
      <c r="R4166">
        <f>K4166/J4166</f>
        <v>0.76470588235294112</v>
      </c>
    </row>
    <row r="4167" spans="1:18" x14ac:dyDescent="0.3">
      <c r="A4167">
        <v>45</v>
      </c>
      <c r="B4167">
        <v>1238</v>
      </c>
      <c r="C4167" t="s">
        <v>17</v>
      </c>
      <c r="D4167" t="s">
        <v>18</v>
      </c>
      <c r="E4167">
        <v>74</v>
      </c>
      <c r="F4167" t="s">
        <v>22</v>
      </c>
      <c r="G4167">
        <v>11822.800000000001</v>
      </c>
      <c r="H4167">
        <v>3395</v>
      </c>
      <c r="I4167">
        <v>23</v>
      </c>
      <c r="J4167">
        <v>25</v>
      </c>
      <c r="K4167">
        <v>23</v>
      </c>
      <c r="L4167">
        <v>15</v>
      </c>
      <c r="M4167">
        <v>14</v>
      </c>
      <c r="N4167">
        <v>4</v>
      </c>
      <c r="P4167">
        <f>G4167*I4167/100</f>
        <v>2719.2440000000001</v>
      </c>
      <c r="Q4167">
        <f t="shared" si="42"/>
        <v>141873.60000000001</v>
      </c>
      <c r="R4167">
        <f>K4167/J4167</f>
        <v>0.92</v>
      </c>
    </row>
    <row r="4168" spans="1:18" x14ac:dyDescent="0.3">
      <c r="A4168">
        <v>24</v>
      </c>
      <c r="B4168">
        <v>240</v>
      </c>
      <c r="C4168" t="s">
        <v>26</v>
      </c>
      <c r="D4168" t="s">
        <v>18</v>
      </c>
      <c r="E4168">
        <v>58</v>
      </c>
      <c r="F4168" t="s">
        <v>26</v>
      </c>
      <c r="G4168">
        <v>1710.5000000000002</v>
      </c>
      <c r="H4168">
        <v>11585</v>
      </c>
      <c r="I4168">
        <v>11</v>
      </c>
      <c r="J4168">
        <v>1</v>
      </c>
      <c r="K4168">
        <v>1</v>
      </c>
      <c r="L4168">
        <v>0</v>
      </c>
      <c r="M4168">
        <v>0</v>
      </c>
      <c r="N4168">
        <v>0</v>
      </c>
      <c r="P4168">
        <f>G4168*I4168/100</f>
        <v>188.15500000000003</v>
      </c>
      <c r="Q4168">
        <f t="shared" si="42"/>
        <v>20526.000000000004</v>
      </c>
      <c r="R4168">
        <f>K4168/J4168</f>
        <v>1</v>
      </c>
    </row>
    <row r="4169" spans="1:18" x14ac:dyDescent="0.3">
      <c r="A4169">
        <v>47</v>
      </c>
      <c r="B4169">
        <v>1093</v>
      </c>
      <c r="C4169" t="s">
        <v>14</v>
      </c>
      <c r="D4169" t="s">
        <v>18</v>
      </c>
      <c r="E4169">
        <v>82</v>
      </c>
      <c r="F4169" t="s">
        <v>16</v>
      </c>
      <c r="G4169">
        <v>14229.6</v>
      </c>
      <c r="H4169">
        <v>24164</v>
      </c>
      <c r="I4169">
        <v>11</v>
      </c>
      <c r="J4169">
        <v>25</v>
      </c>
      <c r="K4169">
        <v>23</v>
      </c>
      <c r="L4169">
        <v>5</v>
      </c>
      <c r="M4169">
        <v>14</v>
      </c>
      <c r="N4169">
        <v>10</v>
      </c>
      <c r="P4169">
        <f>G4169*I4169/100</f>
        <v>1565.2560000000001</v>
      </c>
      <c r="Q4169">
        <f t="shared" si="42"/>
        <v>170755.20000000001</v>
      </c>
      <c r="R4169">
        <f>K4169/J4169</f>
        <v>0.92</v>
      </c>
    </row>
    <row r="4170" spans="1:18" x14ac:dyDescent="0.3">
      <c r="A4170">
        <v>26</v>
      </c>
      <c r="B4170">
        <v>390</v>
      </c>
      <c r="C4170" t="s">
        <v>17</v>
      </c>
      <c r="D4170" t="s">
        <v>18</v>
      </c>
      <c r="E4170">
        <v>62</v>
      </c>
      <c r="F4170" t="s">
        <v>20</v>
      </c>
      <c r="G4170">
        <v>2535.5</v>
      </c>
      <c r="H4170">
        <v>6217</v>
      </c>
      <c r="I4170">
        <v>15</v>
      </c>
      <c r="J4170">
        <v>3</v>
      </c>
      <c r="K4170">
        <v>3</v>
      </c>
      <c r="L4170">
        <v>2</v>
      </c>
      <c r="M4170">
        <v>0</v>
      </c>
      <c r="N4170">
        <v>2</v>
      </c>
      <c r="P4170">
        <f>G4170*I4170/100</f>
        <v>380.32499999999999</v>
      </c>
      <c r="Q4170">
        <f t="shared" si="42"/>
        <v>30426</v>
      </c>
      <c r="R4170">
        <f>K4170/J4170</f>
        <v>1</v>
      </c>
    </row>
    <row r="4171" spans="1:18" x14ac:dyDescent="0.3">
      <c r="A4171">
        <v>45</v>
      </c>
      <c r="B4171">
        <v>1005</v>
      </c>
      <c r="C4171" t="s">
        <v>17</v>
      </c>
      <c r="D4171" t="s">
        <v>15</v>
      </c>
      <c r="E4171">
        <v>48</v>
      </c>
      <c r="F4171" t="s">
        <v>25</v>
      </c>
      <c r="G4171">
        <v>18374.400000000001</v>
      </c>
      <c r="H4171">
        <v>17119</v>
      </c>
      <c r="I4171">
        <v>11</v>
      </c>
      <c r="J4171">
        <v>21</v>
      </c>
      <c r="K4171">
        <v>21</v>
      </c>
      <c r="L4171">
        <v>6</v>
      </c>
      <c r="M4171">
        <v>8</v>
      </c>
      <c r="N4171">
        <v>6</v>
      </c>
      <c r="P4171">
        <f>G4171*I4171/100</f>
        <v>2021.1840000000002</v>
      </c>
      <c r="Q4171">
        <f t="shared" si="42"/>
        <v>220492.80000000002</v>
      </c>
      <c r="R4171">
        <f>K4171/J4171</f>
        <v>1</v>
      </c>
    </row>
    <row r="4172" spans="1:18" x14ac:dyDescent="0.3">
      <c r="A4172">
        <v>32</v>
      </c>
      <c r="B4172">
        <v>585</v>
      </c>
      <c r="C4172" t="s">
        <v>17</v>
      </c>
      <c r="D4172" t="s">
        <v>18</v>
      </c>
      <c r="E4172">
        <v>56</v>
      </c>
      <c r="F4172" t="s">
        <v>19</v>
      </c>
      <c r="G4172">
        <v>3776.3</v>
      </c>
      <c r="H4172">
        <v>17360</v>
      </c>
      <c r="I4172">
        <v>13</v>
      </c>
      <c r="J4172">
        <v>10</v>
      </c>
      <c r="K4172">
        <v>5</v>
      </c>
      <c r="L4172">
        <v>2</v>
      </c>
      <c r="M4172">
        <v>1</v>
      </c>
      <c r="N4172">
        <v>3</v>
      </c>
      <c r="P4172">
        <f>G4172*I4172/100</f>
        <v>490.91900000000004</v>
      </c>
      <c r="Q4172">
        <f t="shared" si="42"/>
        <v>45315.600000000006</v>
      </c>
      <c r="R4172">
        <f>K4172/J4172</f>
        <v>0.5</v>
      </c>
    </row>
    <row r="4173" spans="1:18" x14ac:dyDescent="0.3">
      <c r="A4173">
        <v>31</v>
      </c>
      <c r="B4173">
        <v>741</v>
      </c>
      <c r="C4173" t="s">
        <v>17</v>
      </c>
      <c r="D4173" t="s">
        <v>18</v>
      </c>
      <c r="E4173">
        <v>69</v>
      </c>
      <c r="F4173" t="s">
        <v>20</v>
      </c>
      <c r="G4173">
        <v>3824.7000000000003</v>
      </c>
      <c r="H4173">
        <v>18103</v>
      </c>
      <c r="I4173">
        <v>14</v>
      </c>
      <c r="J4173">
        <v>6</v>
      </c>
      <c r="K4173">
        <v>5</v>
      </c>
      <c r="L4173">
        <v>2</v>
      </c>
      <c r="M4173">
        <v>0</v>
      </c>
      <c r="N4173">
        <v>3</v>
      </c>
      <c r="P4173">
        <f>G4173*I4173/100</f>
        <v>535.45800000000008</v>
      </c>
      <c r="Q4173">
        <f t="shared" si="42"/>
        <v>45896.4</v>
      </c>
      <c r="R4173">
        <f>K4173/J4173</f>
        <v>0.83333333333333337</v>
      </c>
    </row>
    <row r="4174" spans="1:18" x14ac:dyDescent="0.3">
      <c r="A4174">
        <v>41</v>
      </c>
      <c r="B4174">
        <v>552</v>
      </c>
      <c r="C4174" t="s">
        <v>26</v>
      </c>
      <c r="D4174" t="s">
        <v>18</v>
      </c>
      <c r="E4174">
        <v>60</v>
      </c>
      <c r="F4174" t="s">
        <v>26</v>
      </c>
      <c r="G4174">
        <v>7073.0000000000009</v>
      </c>
      <c r="H4174">
        <v>20794</v>
      </c>
      <c r="I4174">
        <v>19</v>
      </c>
      <c r="J4174">
        <v>10</v>
      </c>
      <c r="K4174">
        <v>3</v>
      </c>
      <c r="L4174">
        <v>2</v>
      </c>
      <c r="M4174">
        <v>1</v>
      </c>
      <c r="N4174">
        <v>2</v>
      </c>
      <c r="P4174">
        <f>G4174*I4174/100</f>
        <v>1343.8700000000003</v>
      </c>
      <c r="Q4174">
        <f t="shared" si="42"/>
        <v>84876.000000000015</v>
      </c>
      <c r="R4174">
        <f>K4174/J4174</f>
        <v>0.3</v>
      </c>
    </row>
    <row r="4175" spans="1:18" x14ac:dyDescent="0.3">
      <c r="A4175">
        <v>40</v>
      </c>
      <c r="B4175">
        <v>369</v>
      </c>
      <c r="C4175" t="s">
        <v>17</v>
      </c>
      <c r="D4175" t="s">
        <v>15</v>
      </c>
      <c r="E4175">
        <v>92</v>
      </c>
      <c r="F4175" t="s">
        <v>21</v>
      </c>
      <c r="G4175">
        <v>7167.6</v>
      </c>
      <c r="H4175">
        <v>5041</v>
      </c>
      <c r="I4175">
        <v>16</v>
      </c>
      <c r="J4175">
        <v>18</v>
      </c>
      <c r="K4175">
        <v>1</v>
      </c>
      <c r="L4175">
        <v>0</v>
      </c>
      <c r="M4175">
        <v>0</v>
      </c>
      <c r="N4175">
        <v>0</v>
      </c>
      <c r="P4175">
        <f>G4175*I4175/100</f>
        <v>1146.816</v>
      </c>
      <c r="Q4175">
        <f t="shared" si="42"/>
        <v>86011.200000000012</v>
      </c>
      <c r="R4175">
        <f>K4175/J4175</f>
        <v>5.5555555555555552E-2</v>
      </c>
    </row>
    <row r="4176" spans="1:18" x14ac:dyDescent="0.3">
      <c r="A4176">
        <v>24</v>
      </c>
      <c r="B4176">
        <v>506</v>
      </c>
      <c r="C4176" t="s">
        <v>17</v>
      </c>
      <c r="D4176" t="s">
        <v>18</v>
      </c>
      <c r="E4176">
        <v>91</v>
      </c>
      <c r="F4176" t="s">
        <v>20</v>
      </c>
      <c r="G4176">
        <v>4297.7000000000007</v>
      </c>
      <c r="H4176">
        <v>3622</v>
      </c>
      <c r="I4176">
        <v>13</v>
      </c>
      <c r="J4176">
        <v>6</v>
      </c>
      <c r="K4176">
        <v>6</v>
      </c>
      <c r="L4176">
        <v>2</v>
      </c>
      <c r="M4176">
        <v>1</v>
      </c>
      <c r="N4176">
        <v>2</v>
      </c>
      <c r="P4176">
        <f>G4176*I4176/100</f>
        <v>558.70100000000002</v>
      </c>
      <c r="Q4176">
        <f t="shared" si="42"/>
        <v>51572.400000000009</v>
      </c>
      <c r="R4176">
        <f>K4176/J4176</f>
        <v>1</v>
      </c>
    </row>
    <row r="4177" spans="1:18" x14ac:dyDescent="0.3">
      <c r="A4177">
        <v>46</v>
      </c>
      <c r="B4177">
        <v>717</v>
      </c>
      <c r="C4177" t="s">
        <v>17</v>
      </c>
      <c r="D4177" t="s">
        <v>18</v>
      </c>
      <c r="E4177">
        <v>34</v>
      </c>
      <c r="F4177" t="s">
        <v>22</v>
      </c>
      <c r="G4177">
        <v>6118.2000000000007</v>
      </c>
      <c r="H4177">
        <v>9697</v>
      </c>
      <c r="I4177">
        <v>14</v>
      </c>
      <c r="J4177">
        <v>19</v>
      </c>
      <c r="K4177">
        <v>10</v>
      </c>
      <c r="L4177">
        <v>7</v>
      </c>
      <c r="M4177">
        <v>0</v>
      </c>
      <c r="N4177">
        <v>9</v>
      </c>
      <c r="P4177">
        <f>G4177*I4177/100</f>
        <v>856.54800000000023</v>
      </c>
      <c r="Q4177">
        <f t="shared" si="42"/>
        <v>73418.400000000009</v>
      </c>
      <c r="R4177">
        <f>K4177/J4177</f>
        <v>0.52631578947368418</v>
      </c>
    </row>
    <row r="4178" spans="1:18" x14ac:dyDescent="0.3">
      <c r="A4178">
        <v>35</v>
      </c>
      <c r="B4178">
        <v>1370</v>
      </c>
      <c r="C4178" t="s">
        <v>17</v>
      </c>
      <c r="D4178" t="s">
        <v>18</v>
      </c>
      <c r="E4178">
        <v>49</v>
      </c>
      <c r="F4178" t="s">
        <v>21</v>
      </c>
      <c r="G4178">
        <v>7571.3</v>
      </c>
      <c r="H4178">
        <v>5151</v>
      </c>
      <c r="I4178">
        <v>16</v>
      </c>
      <c r="J4178">
        <v>17</v>
      </c>
      <c r="K4178">
        <v>7</v>
      </c>
      <c r="L4178">
        <v>7</v>
      </c>
      <c r="M4178">
        <v>0</v>
      </c>
      <c r="N4178">
        <v>7</v>
      </c>
      <c r="P4178">
        <f>G4178*I4178/100</f>
        <v>1211.4080000000001</v>
      </c>
      <c r="Q4178">
        <f t="shared" si="42"/>
        <v>90855.6</v>
      </c>
      <c r="R4178">
        <f>K4178/J4178</f>
        <v>0.41176470588235292</v>
      </c>
    </row>
    <row r="4179" spans="1:18" x14ac:dyDescent="0.3">
      <c r="A4179">
        <v>30</v>
      </c>
      <c r="B4179">
        <v>793</v>
      </c>
      <c r="C4179" t="s">
        <v>17</v>
      </c>
      <c r="D4179" t="s">
        <v>18</v>
      </c>
      <c r="E4179">
        <v>33</v>
      </c>
      <c r="F4179" t="s">
        <v>19</v>
      </c>
      <c r="G4179">
        <v>3148.2000000000003</v>
      </c>
      <c r="H4179">
        <v>3811</v>
      </c>
      <c r="I4179">
        <v>12</v>
      </c>
      <c r="J4179">
        <v>10</v>
      </c>
      <c r="K4179">
        <v>10</v>
      </c>
      <c r="L4179">
        <v>0</v>
      </c>
      <c r="M4179">
        <v>0</v>
      </c>
      <c r="N4179">
        <v>8</v>
      </c>
      <c r="P4179">
        <f>G4179*I4179/100</f>
        <v>377.78399999999999</v>
      </c>
      <c r="Q4179">
        <f t="shared" si="42"/>
        <v>37778.400000000001</v>
      </c>
      <c r="R4179">
        <f>K4179/J4179</f>
        <v>1</v>
      </c>
    </row>
    <row r="4180" spans="1:18" x14ac:dyDescent="0.3">
      <c r="A4180">
        <v>47</v>
      </c>
      <c r="B4180">
        <v>543</v>
      </c>
      <c r="C4180" t="s">
        <v>14</v>
      </c>
      <c r="D4180" t="s">
        <v>18</v>
      </c>
      <c r="E4180">
        <v>87</v>
      </c>
      <c r="F4180" t="s">
        <v>16</v>
      </c>
      <c r="G4180">
        <v>5475.8</v>
      </c>
      <c r="H4180">
        <v>3536</v>
      </c>
      <c r="I4180">
        <v>11</v>
      </c>
      <c r="J4180">
        <v>4</v>
      </c>
      <c r="K4180">
        <v>1</v>
      </c>
      <c r="L4180">
        <v>0</v>
      </c>
      <c r="M4180">
        <v>0</v>
      </c>
      <c r="N4180">
        <v>0</v>
      </c>
      <c r="P4180">
        <f>G4180*I4180/100</f>
        <v>602.33800000000008</v>
      </c>
      <c r="Q4180">
        <f t="shared" si="42"/>
        <v>65709.600000000006</v>
      </c>
      <c r="R4180">
        <f>K4180/J4180</f>
        <v>0.25</v>
      </c>
    </row>
    <row r="4181" spans="1:18" x14ac:dyDescent="0.3">
      <c r="A4181">
        <v>46</v>
      </c>
      <c r="B4181">
        <v>1277</v>
      </c>
      <c r="C4181" t="s">
        <v>14</v>
      </c>
      <c r="D4181" t="s">
        <v>18</v>
      </c>
      <c r="E4181">
        <v>74</v>
      </c>
      <c r="F4181" t="s">
        <v>16</v>
      </c>
      <c r="G4181">
        <v>11404.800000000001</v>
      </c>
      <c r="H4181">
        <v>5596</v>
      </c>
      <c r="I4181">
        <v>12</v>
      </c>
      <c r="J4181">
        <v>13</v>
      </c>
      <c r="K4181">
        <v>10</v>
      </c>
      <c r="L4181">
        <v>6</v>
      </c>
      <c r="M4181">
        <v>0</v>
      </c>
      <c r="N4181">
        <v>3</v>
      </c>
      <c r="P4181">
        <f>G4181*I4181/100</f>
        <v>1368.576</v>
      </c>
      <c r="Q4181">
        <f t="shared" si="42"/>
        <v>136857.60000000001</v>
      </c>
      <c r="R4181">
        <f>K4181/J4181</f>
        <v>0.76923076923076927</v>
      </c>
    </row>
    <row r="4182" spans="1:18" x14ac:dyDescent="0.3">
      <c r="A4182">
        <v>36</v>
      </c>
      <c r="B4182">
        <v>1456</v>
      </c>
      <c r="C4182" t="s">
        <v>14</v>
      </c>
      <c r="D4182" t="s">
        <v>18</v>
      </c>
      <c r="E4182">
        <v>96</v>
      </c>
      <c r="F4182" t="s">
        <v>16</v>
      </c>
      <c r="G4182">
        <v>6747.4000000000005</v>
      </c>
      <c r="H4182">
        <v>8658</v>
      </c>
      <c r="I4182">
        <v>13</v>
      </c>
      <c r="J4182">
        <v>16</v>
      </c>
      <c r="K4182">
        <v>2</v>
      </c>
      <c r="L4182">
        <v>2</v>
      </c>
      <c r="M4182">
        <v>2</v>
      </c>
      <c r="N4182">
        <v>2</v>
      </c>
      <c r="P4182">
        <f>G4182*I4182/100</f>
        <v>877.16200000000015</v>
      </c>
      <c r="Q4182">
        <f t="shared" si="42"/>
        <v>80968.800000000003</v>
      </c>
      <c r="R4182">
        <f>K4182/J4182</f>
        <v>0.125</v>
      </c>
    </row>
    <row r="4183" spans="1:18" x14ac:dyDescent="0.3">
      <c r="A4183">
        <v>32</v>
      </c>
      <c r="B4183">
        <v>964</v>
      </c>
      <c r="C4183" t="s">
        <v>14</v>
      </c>
      <c r="D4183" t="s">
        <v>18</v>
      </c>
      <c r="E4183">
        <v>34</v>
      </c>
      <c r="F4183" t="s">
        <v>16</v>
      </c>
      <c r="G4183">
        <v>7408.5000000000009</v>
      </c>
      <c r="H4183">
        <v>12147</v>
      </c>
      <c r="I4183">
        <v>15</v>
      </c>
      <c r="J4183">
        <v>10</v>
      </c>
      <c r="K4183">
        <v>0</v>
      </c>
      <c r="L4183">
        <v>0</v>
      </c>
      <c r="M4183">
        <v>0</v>
      </c>
      <c r="N4183">
        <v>0</v>
      </c>
      <c r="P4183">
        <f>G4183*I4183/100</f>
        <v>1111.2750000000001</v>
      </c>
      <c r="Q4183">
        <f t="shared" si="42"/>
        <v>88902.000000000015</v>
      </c>
      <c r="R4183">
        <f>K4183/J4183</f>
        <v>0</v>
      </c>
    </row>
    <row r="4184" spans="1:18" x14ac:dyDescent="0.3">
      <c r="A4184">
        <v>23</v>
      </c>
      <c r="B4184">
        <v>160</v>
      </c>
      <c r="C4184" t="s">
        <v>17</v>
      </c>
      <c r="D4184" t="s">
        <v>15</v>
      </c>
      <c r="E4184">
        <v>51</v>
      </c>
      <c r="F4184" t="s">
        <v>20</v>
      </c>
      <c r="G4184">
        <v>3624.5000000000005</v>
      </c>
      <c r="H4184">
        <v>12862</v>
      </c>
      <c r="I4184">
        <v>13</v>
      </c>
      <c r="J4184">
        <v>3</v>
      </c>
      <c r="K4184">
        <v>3</v>
      </c>
      <c r="L4184">
        <v>2</v>
      </c>
      <c r="M4184">
        <v>1</v>
      </c>
      <c r="N4184">
        <v>2</v>
      </c>
      <c r="P4184">
        <f>G4184*I4184/100</f>
        <v>471.18500000000006</v>
      </c>
      <c r="Q4184">
        <f t="shared" si="42"/>
        <v>43494.000000000007</v>
      </c>
      <c r="R4184">
        <f>K4184/J4184</f>
        <v>1</v>
      </c>
    </row>
    <row r="4185" spans="1:18" x14ac:dyDescent="0.3">
      <c r="A4185">
        <v>31</v>
      </c>
      <c r="B4185">
        <v>163</v>
      </c>
      <c r="C4185" t="s">
        <v>17</v>
      </c>
      <c r="D4185" t="s">
        <v>15</v>
      </c>
      <c r="E4185">
        <v>30</v>
      </c>
      <c r="F4185" t="s">
        <v>21</v>
      </c>
      <c r="G4185">
        <v>5761.8</v>
      </c>
      <c r="H4185">
        <v>6670</v>
      </c>
      <c r="I4185">
        <v>20</v>
      </c>
      <c r="J4185">
        <v>9</v>
      </c>
      <c r="K4185">
        <v>5</v>
      </c>
      <c r="L4185">
        <v>4</v>
      </c>
      <c r="M4185">
        <v>1</v>
      </c>
      <c r="N4185">
        <v>4</v>
      </c>
      <c r="P4185">
        <f>G4185*I4185/100</f>
        <v>1152.3599999999999</v>
      </c>
      <c r="Q4185">
        <f t="shared" si="42"/>
        <v>69141.600000000006</v>
      </c>
      <c r="R4185">
        <f>K4185/J4185</f>
        <v>0.55555555555555558</v>
      </c>
    </row>
    <row r="4186" spans="1:18" x14ac:dyDescent="0.3">
      <c r="A4186">
        <v>39</v>
      </c>
      <c r="B4186">
        <v>792</v>
      </c>
      <c r="C4186" t="s">
        <v>17</v>
      </c>
      <c r="D4186" t="s">
        <v>18</v>
      </c>
      <c r="E4186">
        <v>77</v>
      </c>
      <c r="F4186" t="s">
        <v>20</v>
      </c>
      <c r="G4186">
        <v>7119.2000000000007</v>
      </c>
      <c r="H4186">
        <v>8989</v>
      </c>
      <c r="I4186">
        <v>15</v>
      </c>
      <c r="J4186">
        <v>9</v>
      </c>
      <c r="K4186">
        <v>9</v>
      </c>
      <c r="L4186">
        <v>8</v>
      </c>
      <c r="M4186">
        <v>5</v>
      </c>
      <c r="N4186">
        <v>8</v>
      </c>
      <c r="P4186">
        <f>G4186*I4186/100</f>
        <v>1067.8800000000001</v>
      </c>
      <c r="Q4186">
        <f t="shared" si="42"/>
        <v>85430.400000000009</v>
      </c>
      <c r="R4186">
        <f>K4186/J4186</f>
        <v>1</v>
      </c>
    </row>
    <row r="4187" spans="1:18" x14ac:dyDescent="0.3">
      <c r="A4187">
        <v>32</v>
      </c>
      <c r="B4187">
        <v>371</v>
      </c>
      <c r="C4187" t="s">
        <v>14</v>
      </c>
      <c r="D4187" t="s">
        <v>18</v>
      </c>
      <c r="E4187">
        <v>80</v>
      </c>
      <c r="F4187" t="s">
        <v>16</v>
      </c>
      <c r="G4187">
        <v>10571</v>
      </c>
      <c r="H4187">
        <v>3840</v>
      </c>
      <c r="I4187">
        <v>13</v>
      </c>
      <c r="J4187">
        <v>10</v>
      </c>
      <c r="K4187">
        <v>4</v>
      </c>
      <c r="L4187">
        <v>3</v>
      </c>
      <c r="M4187">
        <v>0</v>
      </c>
      <c r="N4187">
        <v>2</v>
      </c>
      <c r="P4187">
        <f>G4187*I4187/100</f>
        <v>1374.23</v>
      </c>
      <c r="Q4187">
        <f t="shared" si="42"/>
        <v>126852</v>
      </c>
      <c r="R4187">
        <f>K4187/J4187</f>
        <v>0.4</v>
      </c>
    </row>
    <row r="4188" spans="1:18" x14ac:dyDescent="0.3">
      <c r="A4188">
        <v>40</v>
      </c>
      <c r="B4188">
        <v>611</v>
      </c>
      <c r="C4188" t="s">
        <v>14</v>
      </c>
      <c r="D4188" t="s">
        <v>18</v>
      </c>
      <c r="E4188">
        <v>88</v>
      </c>
      <c r="F4188" t="s">
        <v>23</v>
      </c>
      <c r="G4188">
        <v>21816.300000000003</v>
      </c>
      <c r="H4188">
        <v>4349</v>
      </c>
      <c r="I4188">
        <v>14</v>
      </c>
      <c r="J4188">
        <v>21</v>
      </c>
      <c r="K4188">
        <v>21</v>
      </c>
      <c r="L4188">
        <v>8</v>
      </c>
      <c r="M4188">
        <v>12</v>
      </c>
      <c r="N4188">
        <v>8</v>
      </c>
      <c r="P4188">
        <f>G4188*I4188/100</f>
        <v>3054.2820000000006</v>
      </c>
      <c r="Q4188">
        <f t="shared" si="42"/>
        <v>261795.60000000003</v>
      </c>
      <c r="R4188">
        <f>K4188/J4188</f>
        <v>1</v>
      </c>
    </row>
    <row r="4189" spans="1:18" x14ac:dyDescent="0.3">
      <c r="A4189">
        <v>45</v>
      </c>
      <c r="B4189">
        <v>176</v>
      </c>
      <c r="C4189" t="s">
        <v>26</v>
      </c>
      <c r="D4189" t="s">
        <v>15</v>
      </c>
      <c r="E4189">
        <v>56</v>
      </c>
      <c r="F4189" t="s">
        <v>26</v>
      </c>
      <c r="G4189">
        <v>10731.6</v>
      </c>
      <c r="H4189">
        <v>6595</v>
      </c>
      <c r="I4189">
        <v>21</v>
      </c>
      <c r="J4189">
        <v>9</v>
      </c>
      <c r="K4189">
        <v>5</v>
      </c>
      <c r="L4189">
        <v>0</v>
      </c>
      <c r="M4189">
        <v>0</v>
      </c>
      <c r="N4189">
        <v>3</v>
      </c>
      <c r="P4189">
        <f>G4189*I4189/100</f>
        <v>2253.636</v>
      </c>
      <c r="Q4189">
        <f t="shared" si="42"/>
        <v>128779.20000000001</v>
      </c>
      <c r="R4189">
        <f>K4189/J4189</f>
        <v>0.55555555555555558</v>
      </c>
    </row>
    <row r="4190" spans="1:18" x14ac:dyDescent="0.3">
      <c r="A4190">
        <v>30</v>
      </c>
      <c r="B4190">
        <v>1312</v>
      </c>
      <c r="C4190" t="s">
        <v>17</v>
      </c>
      <c r="D4190" t="s">
        <v>15</v>
      </c>
      <c r="E4190">
        <v>78</v>
      </c>
      <c r="F4190" t="s">
        <v>19</v>
      </c>
      <c r="G4190">
        <v>5464.8</v>
      </c>
      <c r="H4190">
        <v>26427</v>
      </c>
      <c r="I4190">
        <v>16</v>
      </c>
      <c r="J4190">
        <v>10</v>
      </c>
      <c r="K4190">
        <v>9</v>
      </c>
      <c r="L4190">
        <v>7</v>
      </c>
      <c r="M4190">
        <v>0</v>
      </c>
      <c r="N4190">
        <v>7</v>
      </c>
      <c r="P4190">
        <f>G4190*I4190/100</f>
        <v>874.36800000000005</v>
      </c>
      <c r="Q4190">
        <f t="shared" si="42"/>
        <v>65577.600000000006</v>
      </c>
      <c r="R4190">
        <f>K4190/J4190</f>
        <v>0.9</v>
      </c>
    </row>
    <row r="4191" spans="1:18" x14ac:dyDescent="0.3">
      <c r="A4191">
        <v>24</v>
      </c>
      <c r="B4191">
        <v>897</v>
      </c>
      <c r="C4191" t="s">
        <v>26</v>
      </c>
      <c r="D4191" t="s">
        <v>18</v>
      </c>
      <c r="E4191">
        <v>59</v>
      </c>
      <c r="F4191" t="s">
        <v>26</v>
      </c>
      <c r="G4191">
        <v>2359.5</v>
      </c>
      <c r="H4191">
        <v>2097</v>
      </c>
      <c r="I4191">
        <v>14</v>
      </c>
      <c r="J4191">
        <v>3</v>
      </c>
      <c r="K4191">
        <v>2</v>
      </c>
      <c r="L4191">
        <v>2</v>
      </c>
      <c r="M4191">
        <v>2</v>
      </c>
      <c r="N4191">
        <v>1</v>
      </c>
      <c r="P4191">
        <f>G4191*I4191/100</f>
        <v>330.33</v>
      </c>
      <c r="Q4191">
        <f t="shared" si="42"/>
        <v>28314</v>
      </c>
      <c r="R4191">
        <f>K4191/J4191</f>
        <v>0.66666666666666663</v>
      </c>
    </row>
    <row r="4192" spans="1:18" x14ac:dyDescent="0.3">
      <c r="A4192">
        <v>30</v>
      </c>
      <c r="B4192">
        <v>600</v>
      </c>
      <c r="C4192" t="s">
        <v>26</v>
      </c>
      <c r="D4192" t="s">
        <v>15</v>
      </c>
      <c r="E4192">
        <v>66</v>
      </c>
      <c r="F4192" t="s">
        <v>26</v>
      </c>
      <c r="G4192">
        <v>2398</v>
      </c>
      <c r="H4192">
        <v>9732</v>
      </c>
      <c r="I4192">
        <v>11</v>
      </c>
      <c r="J4192">
        <v>6</v>
      </c>
      <c r="K4192">
        <v>4</v>
      </c>
      <c r="L4192">
        <v>2</v>
      </c>
      <c r="M4192">
        <v>1</v>
      </c>
      <c r="N4192">
        <v>2</v>
      </c>
      <c r="P4192">
        <f>G4192*I4192/100</f>
        <v>263.77999999999997</v>
      </c>
      <c r="Q4192">
        <f t="shared" si="42"/>
        <v>28776</v>
      </c>
      <c r="R4192">
        <f>K4192/J4192</f>
        <v>0.66666666666666663</v>
      </c>
    </row>
    <row r="4193" spans="1:18" x14ac:dyDescent="0.3">
      <c r="A4193">
        <v>31</v>
      </c>
      <c r="B4193">
        <v>1003</v>
      </c>
      <c r="C4193" t="s">
        <v>14</v>
      </c>
      <c r="D4193" t="s">
        <v>18</v>
      </c>
      <c r="E4193">
        <v>51</v>
      </c>
      <c r="F4193" t="s">
        <v>16</v>
      </c>
      <c r="G4193">
        <v>9180.6</v>
      </c>
      <c r="H4193">
        <v>20943</v>
      </c>
      <c r="I4193">
        <v>19</v>
      </c>
      <c r="J4193">
        <v>6</v>
      </c>
      <c r="K4193">
        <v>5</v>
      </c>
      <c r="L4193">
        <v>2</v>
      </c>
      <c r="M4193">
        <v>0</v>
      </c>
      <c r="N4193">
        <v>2</v>
      </c>
      <c r="P4193">
        <f>G4193*I4193/100</f>
        <v>1744.3139999999999</v>
      </c>
      <c r="Q4193">
        <f t="shared" si="42"/>
        <v>110167.20000000001</v>
      </c>
      <c r="R4193">
        <f>K4193/J4193</f>
        <v>0.83333333333333337</v>
      </c>
    </row>
    <row r="4194" spans="1:18" x14ac:dyDescent="0.3">
      <c r="A4194">
        <v>27</v>
      </c>
      <c r="B4194">
        <v>1054</v>
      </c>
      <c r="C4194" t="s">
        <v>17</v>
      </c>
      <c r="D4194" t="s">
        <v>15</v>
      </c>
      <c r="E4194">
        <v>67</v>
      </c>
      <c r="F4194" t="s">
        <v>19</v>
      </c>
      <c r="G4194">
        <v>3789.5000000000005</v>
      </c>
      <c r="H4194">
        <v>6152</v>
      </c>
      <c r="I4194">
        <v>11</v>
      </c>
      <c r="J4194">
        <v>6</v>
      </c>
      <c r="K4194">
        <v>6</v>
      </c>
      <c r="L4194">
        <v>2</v>
      </c>
      <c r="M4194">
        <v>1</v>
      </c>
      <c r="N4194">
        <v>4</v>
      </c>
      <c r="P4194">
        <f>G4194*I4194/100</f>
        <v>416.84500000000008</v>
      </c>
      <c r="Q4194">
        <f t="shared" si="42"/>
        <v>45474.000000000007</v>
      </c>
      <c r="R4194">
        <f>K4194/J4194</f>
        <v>1</v>
      </c>
    </row>
    <row r="4195" spans="1:18" x14ac:dyDescent="0.3">
      <c r="A4195">
        <v>29</v>
      </c>
      <c r="B4195">
        <v>428</v>
      </c>
      <c r="C4195" t="s">
        <v>14</v>
      </c>
      <c r="D4195" t="s">
        <v>15</v>
      </c>
      <c r="E4195">
        <v>52</v>
      </c>
      <c r="F4195" t="s">
        <v>24</v>
      </c>
      <c r="G4195">
        <v>3036.0000000000005</v>
      </c>
      <c r="H4195">
        <v>14630</v>
      </c>
      <c r="I4195">
        <v>13</v>
      </c>
      <c r="J4195">
        <v>2</v>
      </c>
      <c r="K4195">
        <v>2</v>
      </c>
      <c r="L4195">
        <v>2</v>
      </c>
      <c r="M4195">
        <v>2</v>
      </c>
      <c r="N4195">
        <v>2</v>
      </c>
      <c r="P4195">
        <f>G4195*I4195/100</f>
        <v>394.68000000000006</v>
      </c>
      <c r="Q4195">
        <f t="shared" si="42"/>
        <v>36432.000000000007</v>
      </c>
      <c r="R4195">
        <f>K4195/J4195</f>
        <v>1</v>
      </c>
    </row>
    <row r="4196" spans="1:18" x14ac:dyDescent="0.3">
      <c r="A4196">
        <v>29</v>
      </c>
      <c r="B4196">
        <v>461</v>
      </c>
      <c r="C4196" t="s">
        <v>17</v>
      </c>
      <c r="D4196" t="s">
        <v>18</v>
      </c>
      <c r="E4196">
        <v>70</v>
      </c>
      <c r="F4196" t="s">
        <v>22</v>
      </c>
      <c r="G4196">
        <v>6923.4000000000005</v>
      </c>
      <c r="H4196">
        <v>23060</v>
      </c>
      <c r="I4196">
        <v>12</v>
      </c>
      <c r="J4196">
        <v>10</v>
      </c>
      <c r="K4196">
        <v>3</v>
      </c>
      <c r="L4196">
        <v>2</v>
      </c>
      <c r="M4196">
        <v>0</v>
      </c>
      <c r="N4196">
        <v>2</v>
      </c>
      <c r="P4196">
        <f>G4196*I4196/100</f>
        <v>830.80799999999999</v>
      </c>
      <c r="Q4196">
        <f t="shared" si="42"/>
        <v>83080.800000000003</v>
      </c>
      <c r="R4196">
        <f>K4196/J4196</f>
        <v>0.3</v>
      </c>
    </row>
    <row r="4197" spans="1:18" x14ac:dyDescent="0.3">
      <c r="A4197">
        <v>30</v>
      </c>
      <c r="B4197">
        <v>979</v>
      </c>
      <c r="C4197" t="s">
        <v>14</v>
      </c>
      <c r="D4197" t="s">
        <v>18</v>
      </c>
      <c r="E4197">
        <v>94</v>
      </c>
      <c r="F4197" t="s">
        <v>16</v>
      </c>
      <c r="G4197">
        <v>7854.0000000000009</v>
      </c>
      <c r="H4197">
        <v>3088</v>
      </c>
      <c r="I4197">
        <v>11</v>
      </c>
      <c r="J4197">
        <v>12</v>
      </c>
      <c r="K4197">
        <v>7</v>
      </c>
      <c r="L4197">
        <v>7</v>
      </c>
      <c r="M4197">
        <v>1</v>
      </c>
      <c r="N4197">
        <v>7</v>
      </c>
      <c r="P4197">
        <f>G4197*I4197/100</f>
        <v>863.94000000000017</v>
      </c>
      <c r="Q4197">
        <f t="shared" si="42"/>
        <v>94248.000000000015</v>
      </c>
      <c r="R4197">
        <f>K4197/J4197</f>
        <v>0.58333333333333337</v>
      </c>
    </row>
    <row r="4198" spans="1:18" x14ac:dyDescent="0.3">
      <c r="A4198">
        <v>34</v>
      </c>
      <c r="B4198">
        <v>181</v>
      </c>
      <c r="C4198" t="s">
        <v>17</v>
      </c>
      <c r="D4198" t="s">
        <v>18</v>
      </c>
      <c r="E4198">
        <v>97</v>
      </c>
      <c r="F4198" t="s">
        <v>19</v>
      </c>
      <c r="G4198">
        <v>3225.2000000000003</v>
      </c>
      <c r="H4198">
        <v>5586</v>
      </c>
      <c r="I4198">
        <v>14</v>
      </c>
      <c r="J4198">
        <v>6</v>
      </c>
      <c r="K4198">
        <v>5</v>
      </c>
      <c r="L4198">
        <v>0</v>
      </c>
      <c r="M4198">
        <v>1</v>
      </c>
      <c r="N4198">
        <v>2</v>
      </c>
      <c r="P4198">
        <f>G4198*I4198/100</f>
        <v>451.52800000000002</v>
      </c>
      <c r="Q4198">
        <f t="shared" si="42"/>
        <v>38702.400000000001</v>
      </c>
      <c r="R4198">
        <f>K4198/J4198</f>
        <v>0.83333333333333337</v>
      </c>
    </row>
    <row r="4199" spans="1:18" x14ac:dyDescent="0.3">
      <c r="A4199">
        <v>33</v>
      </c>
      <c r="B4199">
        <v>1283</v>
      </c>
      <c r="C4199" t="s">
        <v>14</v>
      </c>
      <c r="D4199" t="s">
        <v>15</v>
      </c>
      <c r="E4199">
        <v>62</v>
      </c>
      <c r="F4199" t="s">
        <v>16</v>
      </c>
      <c r="G4199">
        <v>5661.7000000000007</v>
      </c>
      <c r="H4199">
        <v>10697</v>
      </c>
      <c r="I4199">
        <v>15</v>
      </c>
      <c r="J4199">
        <v>13</v>
      </c>
      <c r="K4199">
        <v>11</v>
      </c>
      <c r="L4199">
        <v>7</v>
      </c>
      <c r="M4199">
        <v>1</v>
      </c>
      <c r="N4199">
        <v>7</v>
      </c>
      <c r="P4199">
        <f>G4199*I4199/100</f>
        <v>849.25500000000011</v>
      </c>
      <c r="Q4199">
        <f t="shared" si="42"/>
        <v>67940.400000000009</v>
      </c>
      <c r="R4199">
        <f>K4199/J4199</f>
        <v>0.84615384615384615</v>
      </c>
    </row>
    <row r="4200" spans="1:18" x14ac:dyDescent="0.3">
      <c r="A4200">
        <v>49</v>
      </c>
      <c r="B4200">
        <v>1313</v>
      </c>
      <c r="C4200" t="s">
        <v>14</v>
      </c>
      <c r="D4200" t="s">
        <v>15</v>
      </c>
      <c r="E4200">
        <v>80</v>
      </c>
      <c r="F4200" t="s">
        <v>16</v>
      </c>
      <c r="G4200">
        <v>4957.7000000000007</v>
      </c>
      <c r="H4200">
        <v>8191</v>
      </c>
      <c r="I4200">
        <v>12</v>
      </c>
      <c r="J4200">
        <v>8</v>
      </c>
      <c r="K4200">
        <v>5</v>
      </c>
      <c r="L4200">
        <v>1</v>
      </c>
      <c r="M4200">
        <v>0</v>
      </c>
      <c r="N4200">
        <v>4</v>
      </c>
      <c r="P4200">
        <f>G4200*I4200/100</f>
        <v>594.92400000000009</v>
      </c>
      <c r="Q4200">
        <f t="shared" si="42"/>
        <v>59492.400000000009</v>
      </c>
      <c r="R4200">
        <f>K4200/J4200</f>
        <v>0.625</v>
      </c>
    </row>
    <row r="4201" spans="1:18" x14ac:dyDescent="0.3">
      <c r="A4201">
        <v>33</v>
      </c>
      <c r="B4201">
        <v>211</v>
      </c>
      <c r="C4201" t="s">
        <v>14</v>
      </c>
      <c r="D4201" t="s">
        <v>15</v>
      </c>
      <c r="E4201">
        <v>74</v>
      </c>
      <c r="F4201" t="s">
        <v>16</v>
      </c>
      <c r="G4201">
        <v>9420.4000000000015</v>
      </c>
      <c r="H4201">
        <v>10092</v>
      </c>
      <c r="I4201">
        <v>20</v>
      </c>
      <c r="J4201">
        <v>11</v>
      </c>
      <c r="K4201">
        <v>0</v>
      </c>
      <c r="L4201">
        <v>0</v>
      </c>
      <c r="M4201">
        <v>0</v>
      </c>
      <c r="N4201">
        <v>0</v>
      </c>
      <c r="P4201">
        <f>G4201*I4201/100</f>
        <v>1884.0800000000004</v>
      </c>
      <c r="Q4201">
        <f t="shared" si="42"/>
        <v>113044.80000000002</v>
      </c>
      <c r="R4201">
        <f>K4201/J4201</f>
        <v>0</v>
      </c>
    </row>
    <row r="4202" spans="1:18" x14ac:dyDescent="0.3">
      <c r="A4202">
        <v>38</v>
      </c>
      <c r="B4202">
        <v>594</v>
      </c>
      <c r="C4202" t="s">
        <v>17</v>
      </c>
      <c r="D4202" t="s">
        <v>15</v>
      </c>
      <c r="E4202">
        <v>75</v>
      </c>
      <c r="F4202" t="s">
        <v>20</v>
      </c>
      <c r="G4202">
        <v>2714.8</v>
      </c>
      <c r="H4202">
        <v>15963</v>
      </c>
      <c r="I4202">
        <v>14</v>
      </c>
      <c r="J4202">
        <v>9</v>
      </c>
      <c r="K4202">
        <v>6</v>
      </c>
      <c r="L4202">
        <v>1</v>
      </c>
      <c r="M4202">
        <v>0</v>
      </c>
      <c r="N4202">
        <v>5</v>
      </c>
      <c r="P4202">
        <f>G4202*I4202/100</f>
        <v>380.07200000000006</v>
      </c>
      <c r="Q4202">
        <f t="shared" si="42"/>
        <v>32577.600000000002</v>
      </c>
      <c r="R4202">
        <f>K4202/J4202</f>
        <v>0.66666666666666663</v>
      </c>
    </row>
    <row r="4203" spans="1:18" x14ac:dyDescent="0.3">
      <c r="A4203">
        <v>31</v>
      </c>
      <c r="B4203">
        <v>1079</v>
      </c>
      <c r="C4203" t="s">
        <v>14</v>
      </c>
      <c r="D4203" t="s">
        <v>18</v>
      </c>
      <c r="E4203">
        <v>70</v>
      </c>
      <c r="F4203" t="s">
        <v>16</v>
      </c>
      <c r="G4203">
        <v>8977.1</v>
      </c>
      <c r="H4203">
        <v>19002</v>
      </c>
      <c r="I4203">
        <v>13</v>
      </c>
      <c r="J4203">
        <v>10</v>
      </c>
      <c r="K4203">
        <v>1</v>
      </c>
      <c r="L4203">
        <v>0</v>
      </c>
      <c r="M4203">
        <v>0</v>
      </c>
      <c r="N4203">
        <v>0</v>
      </c>
      <c r="P4203">
        <f>G4203*I4203/100</f>
        <v>1167.0230000000001</v>
      </c>
      <c r="Q4203">
        <f t="shared" si="42"/>
        <v>107725.20000000001</v>
      </c>
      <c r="R4203">
        <f>K4203/J4203</f>
        <v>0.1</v>
      </c>
    </row>
    <row r="4204" spans="1:18" x14ac:dyDescent="0.3">
      <c r="A4204">
        <v>29</v>
      </c>
      <c r="B4204">
        <v>590</v>
      </c>
      <c r="C4204" t="s">
        <v>17</v>
      </c>
      <c r="D4204" t="s">
        <v>15</v>
      </c>
      <c r="E4204">
        <v>91</v>
      </c>
      <c r="F4204" t="s">
        <v>19</v>
      </c>
      <c r="G4204">
        <v>2319.9</v>
      </c>
      <c r="H4204">
        <v>10007</v>
      </c>
      <c r="I4204">
        <v>13</v>
      </c>
      <c r="J4204">
        <v>1</v>
      </c>
      <c r="K4204">
        <v>1</v>
      </c>
      <c r="L4204">
        <v>0</v>
      </c>
      <c r="M4204">
        <v>0</v>
      </c>
      <c r="N4204">
        <v>0</v>
      </c>
      <c r="P4204">
        <f>G4204*I4204/100</f>
        <v>301.58699999999999</v>
      </c>
      <c r="Q4204">
        <f t="shared" si="42"/>
        <v>27838.800000000003</v>
      </c>
      <c r="R4204">
        <f>K4204/J4204</f>
        <v>1</v>
      </c>
    </row>
    <row r="4205" spans="1:18" x14ac:dyDescent="0.3">
      <c r="A4205">
        <v>30</v>
      </c>
      <c r="B4205">
        <v>305</v>
      </c>
      <c r="C4205" t="s">
        <v>17</v>
      </c>
      <c r="D4205" t="s">
        <v>18</v>
      </c>
      <c r="E4205">
        <v>58</v>
      </c>
      <c r="F4205" t="s">
        <v>22</v>
      </c>
      <c r="G4205">
        <v>5823.4000000000005</v>
      </c>
      <c r="H4205">
        <v>9128</v>
      </c>
      <c r="I4205">
        <v>16</v>
      </c>
      <c r="J4205">
        <v>10</v>
      </c>
      <c r="K4205">
        <v>7</v>
      </c>
      <c r="L4205">
        <v>0</v>
      </c>
      <c r="M4205">
        <v>1</v>
      </c>
      <c r="N4205">
        <v>7</v>
      </c>
      <c r="P4205">
        <f>G4205*I4205/100</f>
        <v>931.74400000000014</v>
      </c>
      <c r="Q4205">
        <f t="shared" si="42"/>
        <v>69880.800000000003</v>
      </c>
      <c r="R4205">
        <f>K4205/J4205</f>
        <v>0.7</v>
      </c>
    </row>
    <row r="4206" spans="1:18" x14ac:dyDescent="0.3">
      <c r="A4206">
        <v>32</v>
      </c>
      <c r="B4206">
        <v>953</v>
      </c>
      <c r="C4206" t="s">
        <v>17</v>
      </c>
      <c r="D4206" t="s">
        <v>18</v>
      </c>
      <c r="E4206">
        <v>65</v>
      </c>
      <c r="F4206" t="s">
        <v>19</v>
      </c>
      <c r="G4206">
        <v>2989.8</v>
      </c>
      <c r="H4206">
        <v>17674</v>
      </c>
      <c r="I4206">
        <v>14</v>
      </c>
      <c r="J4206">
        <v>12</v>
      </c>
      <c r="K4206">
        <v>7</v>
      </c>
      <c r="L4206">
        <v>7</v>
      </c>
      <c r="M4206">
        <v>0</v>
      </c>
      <c r="N4206">
        <v>7</v>
      </c>
      <c r="P4206">
        <f>G4206*I4206/100</f>
        <v>418.57200000000006</v>
      </c>
      <c r="Q4206">
        <f t="shared" si="42"/>
        <v>35877.600000000006</v>
      </c>
      <c r="R4206">
        <f>K4206/J4206</f>
        <v>0.58333333333333337</v>
      </c>
    </row>
    <row r="4207" spans="1:18" x14ac:dyDescent="0.3">
      <c r="A4207">
        <v>38</v>
      </c>
      <c r="B4207">
        <v>833</v>
      </c>
      <c r="C4207" t="s">
        <v>17</v>
      </c>
      <c r="D4207" t="s">
        <v>18</v>
      </c>
      <c r="E4207">
        <v>60</v>
      </c>
      <c r="F4207" t="s">
        <v>22</v>
      </c>
      <c r="G4207">
        <v>6392.1</v>
      </c>
      <c r="H4207">
        <v>24539</v>
      </c>
      <c r="I4207">
        <v>16</v>
      </c>
      <c r="J4207">
        <v>15</v>
      </c>
      <c r="K4207">
        <v>1</v>
      </c>
      <c r="L4207">
        <v>0</v>
      </c>
      <c r="M4207">
        <v>1</v>
      </c>
      <c r="N4207">
        <v>0</v>
      </c>
      <c r="P4207">
        <f>G4207*I4207/100</f>
        <v>1022.7360000000001</v>
      </c>
      <c r="Q4207">
        <f t="shared" si="42"/>
        <v>76705.200000000012</v>
      </c>
      <c r="R4207">
        <f>K4207/J4207</f>
        <v>6.6666666666666666E-2</v>
      </c>
    </row>
    <row r="4208" spans="1:18" x14ac:dyDescent="0.3">
      <c r="A4208">
        <v>43</v>
      </c>
      <c r="B4208">
        <v>807</v>
      </c>
      <c r="C4208" t="s">
        <v>17</v>
      </c>
      <c r="D4208" t="s">
        <v>18</v>
      </c>
      <c r="E4208">
        <v>38</v>
      </c>
      <c r="F4208" t="s">
        <v>19</v>
      </c>
      <c r="G4208">
        <v>2680.7000000000003</v>
      </c>
      <c r="H4208">
        <v>15587</v>
      </c>
      <c r="I4208">
        <v>16</v>
      </c>
      <c r="J4208">
        <v>6</v>
      </c>
      <c r="K4208">
        <v>1</v>
      </c>
      <c r="L4208">
        <v>0</v>
      </c>
      <c r="M4208">
        <v>0</v>
      </c>
      <c r="N4208">
        <v>0</v>
      </c>
      <c r="P4208">
        <f>G4208*I4208/100</f>
        <v>428.91200000000003</v>
      </c>
      <c r="Q4208">
        <f t="shared" si="42"/>
        <v>32168.400000000001</v>
      </c>
      <c r="R4208">
        <f>K4208/J4208</f>
        <v>0.16666666666666666</v>
      </c>
    </row>
    <row r="4209" spans="1:18" x14ac:dyDescent="0.3">
      <c r="A4209">
        <v>42</v>
      </c>
      <c r="B4209">
        <v>855</v>
      </c>
      <c r="C4209" t="s">
        <v>17</v>
      </c>
      <c r="D4209" t="s">
        <v>18</v>
      </c>
      <c r="E4209">
        <v>57</v>
      </c>
      <c r="F4209" t="s">
        <v>20</v>
      </c>
      <c r="G4209">
        <v>3042.6000000000004</v>
      </c>
      <c r="H4209">
        <v>8952</v>
      </c>
      <c r="I4209">
        <v>22</v>
      </c>
      <c r="J4209">
        <v>7</v>
      </c>
      <c r="K4209">
        <v>5</v>
      </c>
      <c r="L4209">
        <v>3</v>
      </c>
      <c r="M4209">
        <v>0</v>
      </c>
      <c r="N4209">
        <v>4</v>
      </c>
      <c r="P4209">
        <f>G4209*I4209/100</f>
        <v>669.37200000000007</v>
      </c>
      <c r="Q4209">
        <f t="shared" si="42"/>
        <v>36511.200000000004</v>
      </c>
      <c r="R4209">
        <f>K4209/J4209</f>
        <v>0.7142857142857143</v>
      </c>
    </row>
    <row r="4210" spans="1:18" x14ac:dyDescent="0.3">
      <c r="A4210">
        <v>55</v>
      </c>
      <c r="B4210">
        <v>478</v>
      </c>
      <c r="C4210" t="s">
        <v>17</v>
      </c>
      <c r="D4210" t="s">
        <v>18</v>
      </c>
      <c r="E4210">
        <v>60</v>
      </c>
      <c r="F4210" t="s">
        <v>25</v>
      </c>
      <c r="G4210">
        <v>20941.800000000003</v>
      </c>
      <c r="H4210">
        <v>19805</v>
      </c>
      <c r="I4210">
        <v>12</v>
      </c>
      <c r="J4210">
        <v>34</v>
      </c>
      <c r="K4210">
        <v>1</v>
      </c>
      <c r="L4210">
        <v>0</v>
      </c>
      <c r="M4210">
        <v>0</v>
      </c>
      <c r="N4210">
        <v>0</v>
      </c>
      <c r="P4210">
        <f>G4210*I4210/100</f>
        <v>2513.0160000000005</v>
      </c>
      <c r="Q4210">
        <f t="shared" si="42"/>
        <v>251301.60000000003</v>
      </c>
      <c r="R4210">
        <f>K4210/J4210</f>
        <v>2.9411764705882353E-2</v>
      </c>
    </row>
    <row r="4211" spans="1:18" x14ac:dyDescent="0.3">
      <c r="A4211">
        <v>33</v>
      </c>
      <c r="B4211">
        <v>775</v>
      </c>
      <c r="C4211" t="s">
        <v>17</v>
      </c>
      <c r="D4211" t="s">
        <v>18</v>
      </c>
      <c r="E4211">
        <v>90</v>
      </c>
      <c r="F4211" t="s">
        <v>19</v>
      </c>
      <c r="G4211">
        <v>3360.5000000000005</v>
      </c>
      <c r="H4211">
        <v>6194</v>
      </c>
      <c r="I4211">
        <v>15</v>
      </c>
      <c r="J4211">
        <v>11</v>
      </c>
      <c r="K4211">
        <v>9</v>
      </c>
      <c r="L4211">
        <v>8</v>
      </c>
      <c r="M4211">
        <v>1</v>
      </c>
      <c r="N4211">
        <v>7</v>
      </c>
      <c r="P4211">
        <f>G4211*I4211/100</f>
        <v>504.07500000000005</v>
      </c>
      <c r="Q4211">
        <f t="shared" si="42"/>
        <v>40326.000000000007</v>
      </c>
      <c r="R4211">
        <f>K4211/J4211</f>
        <v>0.81818181818181823</v>
      </c>
    </row>
    <row r="4212" spans="1:18" x14ac:dyDescent="0.3">
      <c r="A4212">
        <v>41</v>
      </c>
      <c r="B4212">
        <v>548</v>
      </c>
      <c r="C4212" t="s">
        <v>17</v>
      </c>
      <c r="D4212" t="s">
        <v>18</v>
      </c>
      <c r="E4212">
        <v>94</v>
      </c>
      <c r="F4212" t="s">
        <v>20</v>
      </c>
      <c r="G4212">
        <v>2517.9</v>
      </c>
      <c r="H4212">
        <v>20520</v>
      </c>
      <c r="I4212">
        <v>20</v>
      </c>
      <c r="J4212">
        <v>5</v>
      </c>
      <c r="K4212">
        <v>5</v>
      </c>
      <c r="L4212">
        <v>3</v>
      </c>
      <c r="M4212">
        <v>0</v>
      </c>
      <c r="N4212">
        <v>4</v>
      </c>
      <c r="P4212">
        <f>G4212*I4212/100</f>
        <v>503.58</v>
      </c>
      <c r="Q4212">
        <f t="shared" si="42"/>
        <v>30214.800000000003</v>
      </c>
      <c r="R4212">
        <f>K4212/J4212</f>
        <v>1</v>
      </c>
    </row>
    <row r="4213" spans="1:18" x14ac:dyDescent="0.3">
      <c r="A4213">
        <v>34</v>
      </c>
      <c r="B4213">
        <v>1375</v>
      </c>
      <c r="C4213" t="s">
        <v>14</v>
      </c>
      <c r="D4213" t="s">
        <v>18</v>
      </c>
      <c r="E4213">
        <v>87</v>
      </c>
      <c r="F4213" t="s">
        <v>16</v>
      </c>
      <c r="G4213">
        <v>4401.1000000000004</v>
      </c>
      <c r="H4213">
        <v>12313</v>
      </c>
      <c r="I4213">
        <v>14</v>
      </c>
      <c r="J4213">
        <v>15</v>
      </c>
      <c r="K4213">
        <v>15</v>
      </c>
      <c r="L4213">
        <v>14</v>
      </c>
      <c r="M4213">
        <v>0</v>
      </c>
      <c r="N4213">
        <v>7</v>
      </c>
      <c r="P4213">
        <f>G4213*I4213/100</f>
        <v>616.15400000000011</v>
      </c>
      <c r="Q4213">
        <f t="shared" si="42"/>
        <v>52813.200000000004</v>
      </c>
      <c r="R4213">
        <f>K4213/J4213</f>
        <v>1</v>
      </c>
    </row>
    <row r="4214" spans="1:18" x14ac:dyDescent="0.3">
      <c r="A4214">
        <v>53</v>
      </c>
      <c r="B4214">
        <v>661</v>
      </c>
      <c r="C4214" t="s">
        <v>17</v>
      </c>
      <c r="D4214" t="s">
        <v>15</v>
      </c>
      <c r="E4214">
        <v>60</v>
      </c>
      <c r="F4214" t="s">
        <v>21</v>
      </c>
      <c r="G4214">
        <v>14261.500000000002</v>
      </c>
      <c r="H4214">
        <v>22308</v>
      </c>
      <c r="I4214">
        <v>20</v>
      </c>
      <c r="J4214">
        <v>27</v>
      </c>
      <c r="K4214">
        <v>3</v>
      </c>
      <c r="L4214">
        <v>2</v>
      </c>
      <c r="M4214">
        <v>0</v>
      </c>
      <c r="N4214">
        <v>2</v>
      </c>
      <c r="P4214">
        <f>G4214*I4214/100</f>
        <v>2852.3000000000006</v>
      </c>
      <c r="Q4214">
        <f t="shared" si="42"/>
        <v>171138.00000000003</v>
      </c>
      <c r="R4214">
        <f>K4214/J4214</f>
        <v>0.1111111111111111</v>
      </c>
    </row>
    <row r="4215" spans="1:18" x14ac:dyDescent="0.3">
      <c r="A4215">
        <v>43</v>
      </c>
      <c r="B4215">
        <v>244</v>
      </c>
      <c r="C4215" t="s">
        <v>26</v>
      </c>
      <c r="D4215" t="s">
        <v>18</v>
      </c>
      <c r="E4215">
        <v>97</v>
      </c>
      <c r="F4215" t="s">
        <v>26</v>
      </c>
      <c r="G4215">
        <v>3892.9</v>
      </c>
      <c r="H4215">
        <v>5033</v>
      </c>
      <c r="I4215">
        <v>13</v>
      </c>
      <c r="J4215">
        <v>10</v>
      </c>
      <c r="K4215">
        <v>9</v>
      </c>
      <c r="L4215">
        <v>7</v>
      </c>
      <c r="M4215">
        <v>1</v>
      </c>
      <c r="N4215">
        <v>8</v>
      </c>
      <c r="P4215">
        <f>G4215*I4215/100</f>
        <v>506.07700000000006</v>
      </c>
      <c r="Q4215">
        <f t="shared" si="42"/>
        <v>46714.8</v>
      </c>
      <c r="R4215">
        <f>K4215/J4215</f>
        <v>0.9</v>
      </c>
    </row>
    <row r="4216" spans="1:18" x14ac:dyDescent="0.3">
      <c r="A4216">
        <v>34</v>
      </c>
      <c r="B4216">
        <v>511</v>
      </c>
      <c r="C4216" t="s">
        <v>14</v>
      </c>
      <c r="D4216" t="s">
        <v>15</v>
      </c>
      <c r="E4216">
        <v>32</v>
      </c>
      <c r="F4216" t="s">
        <v>16</v>
      </c>
      <c r="G4216">
        <v>6631.9000000000005</v>
      </c>
      <c r="H4216">
        <v>25353</v>
      </c>
      <c r="I4216">
        <v>12</v>
      </c>
      <c r="J4216">
        <v>6</v>
      </c>
      <c r="K4216">
        <v>2</v>
      </c>
      <c r="L4216">
        <v>2</v>
      </c>
      <c r="M4216">
        <v>2</v>
      </c>
      <c r="N4216">
        <v>2</v>
      </c>
      <c r="P4216">
        <f>G4216*I4216/100</f>
        <v>795.82799999999997</v>
      </c>
      <c r="Q4216">
        <f t="shared" si="42"/>
        <v>79582.8</v>
      </c>
      <c r="R4216">
        <f>K4216/J4216</f>
        <v>0.33333333333333331</v>
      </c>
    </row>
    <row r="4217" spans="1:18" x14ac:dyDescent="0.3">
      <c r="A4217">
        <v>21</v>
      </c>
      <c r="B4217">
        <v>337</v>
      </c>
      <c r="C4217" t="s">
        <v>14</v>
      </c>
      <c r="D4217" t="s">
        <v>18</v>
      </c>
      <c r="E4217">
        <v>31</v>
      </c>
      <c r="F4217" t="s">
        <v>24</v>
      </c>
      <c r="G4217">
        <v>2946.9</v>
      </c>
      <c r="H4217">
        <v>4567</v>
      </c>
      <c r="I4217">
        <v>13</v>
      </c>
      <c r="J4217">
        <v>1</v>
      </c>
      <c r="K4217">
        <v>1</v>
      </c>
      <c r="L4217">
        <v>0</v>
      </c>
      <c r="M4217">
        <v>1</v>
      </c>
      <c r="N4217">
        <v>0</v>
      </c>
      <c r="P4217">
        <f>G4217*I4217/100</f>
        <v>383.09700000000004</v>
      </c>
      <c r="Q4217">
        <f t="shared" si="42"/>
        <v>35362.800000000003</v>
      </c>
      <c r="R4217">
        <f>K4217/J4217</f>
        <v>1</v>
      </c>
    </row>
    <row r="4218" spans="1:18" x14ac:dyDescent="0.3">
      <c r="A4218">
        <v>38</v>
      </c>
      <c r="B4218">
        <v>1153</v>
      </c>
      <c r="C4218" t="s">
        <v>17</v>
      </c>
      <c r="D4218" t="s">
        <v>15</v>
      </c>
      <c r="E4218">
        <v>40</v>
      </c>
      <c r="F4218" t="s">
        <v>20</v>
      </c>
      <c r="G4218">
        <v>4072.2000000000003</v>
      </c>
      <c r="H4218">
        <v>16376</v>
      </c>
      <c r="I4218">
        <v>11</v>
      </c>
      <c r="J4218">
        <v>5</v>
      </c>
      <c r="K4218">
        <v>5</v>
      </c>
      <c r="L4218">
        <v>4</v>
      </c>
      <c r="M4218">
        <v>0</v>
      </c>
      <c r="N4218">
        <v>4</v>
      </c>
      <c r="P4218">
        <f>G4218*I4218/100</f>
        <v>447.94200000000006</v>
      </c>
      <c r="Q4218">
        <f t="shared" si="42"/>
        <v>48866.400000000001</v>
      </c>
      <c r="R4218">
        <f>K4218/J4218</f>
        <v>1</v>
      </c>
    </row>
    <row r="4219" spans="1:18" x14ac:dyDescent="0.3">
      <c r="A4219">
        <v>22</v>
      </c>
      <c r="B4219">
        <v>1294</v>
      </c>
      <c r="C4219" t="s">
        <v>17</v>
      </c>
      <c r="D4219" t="s">
        <v>15</v>
      </c>
      <c r="E4219">
        <v>79</v>
      </c>
      <c r="F4219" t="s">
        <v>20</v>
      </c>
      <c r="G4219">
        <v>2637.8</v>
      </c>
      <c r="H4219">
        <v>15999</v>
      </c>
      <c r="I4219">
        <v>17</v>
      </c>
      <c r="J4219">
        <v>1</v>
      </c>
      <c r="K4219">
        <v>1</v>
      </c>
      <c r="L4219">
        <v>0</v>
      </c>
      <c r="M4219">
        <v>0</v>
      </c>
      <c r="N4219">
        <v>0</v>
      </c>
      <c r="P4219">
        <f>G4219*I4219/100</f>
        <v>448.42600000000004</v>
      </c>
      <c r="Q4219">
        <f t="shared" si="42"/>
        <v>31653.600000000002</v>
      </c>
      <c r="R4219">
        <f>K4219/J4219</f>
        <v>1</v>
      </c>
    </row>
    <row r="4220" spans="1:18" x14ac:dyDescent="0.3">
      <c r="A4220">
        <v>31</v>
      </c>
      <c r="B4220">
        <v>196</v>
      </c>
      <c r="C4220" t="s">
        <v>14</v>
      </c>
      <c r="D4220" t="s">
        <v>15</v>
      </c>
      <c r="E4220">
        <v>91</v>
      </c>
      <c r="F4220" t="s">
        <v>16</v>
      </c>
      <c r="G4220">
        <v>6014.8</v>
      </c>
      <c r="H4220">
        <v>13402</v>
      </c>
      <c r="I4220">
        <v>14</v>
      </c>
      <c r="J4220">
        <v>13</v>
      </c>
      <c r="K4220">
        <v>12</v>
      </c>
      <c r="L4220">
        <v>7</v>
      </c>
      <c r="M4220">
        <v>5</v>
      </c>
      <c r="N4220">
        <v>7</v>
      </c>
      <c r="P4220">
        <f>G4220*I4220/100</f>
        <v>842.072</v>
      </c>
      <c r="Q4220">
        <f t="shared" si="42"/>
        <v>72177.600000000006</v>
      </c>
      <c r="R4220">
        <f>K4220/J4220</f>
        <v>0.92307692307692313</v>
      </c>
    </row>
    <row r="4221" spans="1:18" x14ac:dyDescent="0.3">
      <c r="A4221">
        <v>51</v>
      </c>
      <c r="B4221">
        <v>942</v>
      </c>
      <c r="C4221" t="s">
        <v>17</v>
      </c>
      <c r="D4221" t="s">
        <v>15</v>
      </c>
      <c r="E4221">
        <v>53</v>
      </c>
      <c r="F4221" t="s">
        <v>23</v>
      </c>
      <c r="G4221">
        <v>14427.6</v>
      </c>
      <c r="H4221">
        <v>22984</v>
      </c>
      <c r="I4221">
        <v>11</v>
      </c>
      <c r="J4221">
        <v>15</v>
      </c>
      <c r="K4221">
        <v>2</v>
      </c>
      <c r="L4221">
        <v>2</v>
      </c>
      <c r="M4221">
        <v>2</v>
      </c>
      <c r="N4221">
        <v>2</v>
      </c>
      <c r="P4221">
        <f>G4221*I4221/100</f>
        <v>1587.0360000000001</v>
      </c>
      <c r="Q4221">
        <f t="shared" si="42"/>
        <v>173131.2</v>
      </c>
      <c r="R4221">
        <f>K4221/J4221</f>
        <v>0.13333333333333333</v>
      </c>
    </row>
    <row r="4222" spans="1:18" x14ac:dyDescent="0.3">
      <c r="A4222">
        <v>37</v>
      </c>
      <c r="B4222">
        <v>589</v>
      </c>
      <c r="C4222" t="s">
        <v>14</v>
      </c>
      <c r="D4222" t="s">
        <v>18</v>
      </c>
      <c r="E4222">
        <v>46</v>
      </c>
      <c r="F4222" t="s">
        <v>16</v>
      </c>
      <c r="G4222">
        <v>4607.9000000000005</v>
      </c>
      <c r="H4222">
        <v>8800</v>
      </c>
      <c r="I4222">
        <v>14</v>
      </c>
      <c r="J4222">
        <v>5</v>
      </c>
      <c r="K4222">
        <v>5</v>
      </c>
      <c r="L4222">
        <v>2</v>
      </c>
      <c r="M4222">
        <v>0</v>
      </c>
      <c r="N4222">
        <v>3</v>
      </c>
      <c r="P4222">
        <f>G4222*I4222/100</f>
        <v>645.10600000000011</v>
      </c>
      <c r="Q4222">
        <f t="shared" si="42"/>
        <v>55294.8</v>
      </c>
      <c r="R4222">
        <f>K4222/J4222</f>
        <v>1</v>
      </c>
    </row>
    <row r="4223" spans="1:18" x14ac:dyDescent="0.3">
      <c r="A4223">
        <v>46</v>
      </c>
      <c r="B4223">
        <v>734</v>
      </c>
      <c r="C4223" t="s">
        <v>17</v>
      </c>
      <c r="D4223" t="s">
        <v>18</v>
      </c>
      <c r="E4223">
        <v>46</v>
      </c>
      <c r="F4223" t="s">
        <v>25</v>
      </c>
      <c r="G4223">
        <v>21260.800000000003</v>
      </c>
      <c r="H4223">
        <v>14218</v>
      </c>
      <c r="I4223">
        <v>17</v>
      </c>
      <c r="J4223">
        <v>24</v>
      </c>
      <c r="K4223">
        <v>2</v>
      </c>
      <c r="L4223">
        <v>1</v>
      </c>
      <c r="M4223">
        <v>2</v>
      </c>
      <c r="N4223">
        <v>2</v>
      </c>
      <c r="P4223">
        <f>G4223*I4223/100</f>
        <v>3614.3360000000002</v>
      </c>
      <c r="Q4223">
        <f t="shared" si="42"/>
        <v>255129.60000000003</v>
      </c>
      <c r="R4223">
        <f>K4223/J4223</f>
        <v>8.3333333333333329E-2</v>
      </c>
    </row>
    <row r="4224" spans="1:18" x14ac:dyDescent="0.3">
      <c r="A4224">
        <v>36</v>
      </c>
      <c r="B4224">
        <v>1383</v>
      </c>
      <c r="C4224" t="s">
        <v>17</v>
      </c>
      <c r="D4224" t="s">
        <v>18</v>
      </c>
      <c r="E4224">
        <v>90</v>
      </c>
      <c r="F4224" t="s">
        <v>22</v>
      </c>
      <c r="G4224">
        <v>9153.1</v>
      </c>
      <c r="H4224">
        <v>25949</v>
      </c>
      <c r="I4224">
        <v>13</v>
      </c>
      <c r="J4224">
        <v>15</v>
      </c>
      <c r="K4224">
        <v>12</v>
      </c>
      <c r="L4224">
        <v>8</v>
      </c>
      <c r="M4224">
        <v>5</v>
      </c>
      <c r="N4224">
        <v>7</v>
      </c>
      <c r="P4224">
        <f>G4224*I4224/100</f>
        <v>1189.903</v>
      </c>
      <c r="Q4224">
        <f t="shared" si="42"/>
        <v>109837.20000000001</v>
      </c>
      <c r="R4224">
        <f>K4224/J4224</f>
        <v>0.8</v>
      </c>
    </row>
    <row r="4225" spans="1:18" x14ac:dyDescent="0.3">
      <c r="A4225">
        <v>44</v>
      </c>
      <c r="B4225">
        <v>429</v>
      </c>
      <c r="C4225" t="s">
        <v>17</v>
      </c>
      <c r="D4225" t="s">
        <v>18</v>
      </c>
      <c r="E4225">
        <v>99</v>
      </c>
      <c r="F4225" t="s">
        <v>19</v>
      </c>
      <c r="G4225">
        <v>2576.2000000000003</v>
      </c>
      <c r="H4225">
        <v>11092</v>
      </c>
      <c r="I4225">
        <v>12</v>
      </c>
      <c r="J4225">
        <v>6</v>
      </c>
      <c r="K4225">
        <v>5</v>
      </c>
      <c r="L4225">
        <v>3</v>
      </c>
      <c r="M4225">
        <v>2</v>
      </c>
      <c r="N4225">
        <v>3</v>
      </c>
      <c r="P4225">
        <f>G4225*I4225/100</f>
        <v>309.14400000000001</v>
      </c>
      <c r="Q4225">
        <f t="shared" si="42"/>
        <v>30914.400000000001</v>
      </c>
      <c r="R4225">
        <f>K4225/J4225</f>
        <v>0.83333333333333337</v>
      </c>
    </row>
    <row r="4226" spans="1:18" x14ac:dyDescent="0.3">
      <c r="A4226">
        <v>37</v>
      </c>
      <c r="B4226">
        <v>1239</v>
      </c>
      <c r="C4226" t="s">
        <v>26</v>
      </c>
      <c r="D4226" t="s">
        <v>18</v>
      </c>
      <c r="E4226">
        <v>89</v>
      </c>
      <c r="F4226" t="s">
        <v>26</v>
      </c>
      <c r="G4226">
        <v>4478.1000000000004</v>
      </c>
      <c r="H4226">
        <v>12832</v>
      </c>
      <c r="I4226">
        <v>13</v>
      </c>
      <c r="J4226">
        <v>19</v>
      </c>
      <c r="K4226">
        <v>10</v>
      </c>
      <c r="L4226">
        <v>0</v>
      </c>
      <c r="M4226">
        <v>4</v>
      </c>
      <c r="N4226">
        <v>7</v>
      </c>
      <c r="P4226">
        <f>G4226*I4226/100</f>
        <v>582.15300000000002</v>
      </c>
      <c r="Q4226">
        <f t="shared" si="42"/>
        <v>53737.200000000004</v>
      </c>
      <c r="R4226">
        <f>K4226/J4226</f>
        <v>0.52631578947368418</v>
      </c>
    </row>
    <row r="4227" spans="1:18" x14ac:dyDescent="0.3">
      <c r="A4227">
        <v>35</v>
      </c>
      <c r="B4227">
        <v>303</v>
      </c>
      <c r="C4227" t="s">
        <v>14</v>
      </c>
      <c r="D4227" t="s">
        <v>18</v>
      </c>
      <c r="E4227">
        <v>84</v>
      </c>
      <c r="F4227" t="s">
        <v>16</v>
      </c>
      <c r="G4227">
        <v>6394.3</v>
      </c>
      <c r="H4227">
        <v>13492</v>
      </c>
      <c r="I4227">
        <v>18</v>
      </c>
      <c r="J4227">
        <v>10</v>
      </c>
      <c r="K4227">
        <v>10</v>
      </c>
      <c r="L4227">
        <v>7</v>
      </c>
      <c r="M4227">
        <v>7</v>
      </c>
      <c r="N4227">
        <v>7</v>
      </c>
      <c r="P4227">
        <f>G4227*I4227/100</f>
        <v>1150.9740000000002</v>
      </c>
      <c r="Q4227">
        <f t="shared" ref="Q4227:Q4290" si="43">G4227*12</f>
        <v>76731.600000000006</v>
      </c>
      <c r="R4227">
        <f>K4227/J4227</f>
        <v>1</v>
      </c>
    </row>
    <row r="4228" spans="1:18" x14ac:dyDescent="0.3">
      <c r="A4228">
        <v>33</v>
      </c>
      <c r="B4228">
        <v>867</v>
      </c>
      <c r="C4228" t="s">
        <v>17</v>
      </c>
      <c r="D4228" t="s">
        <v>18</v>
      </c>
      <c r="E4228">
        <v>90</v>
      </c>
      <c r="F4228" t="s">
        <v>19</v>
      </c>
      <c r="G4228">
        <v>3457.3</v>
      </c>
      <c r="H4228">
        <v>6076</v>
      </c>
      <c r="I4228">
        <v>19</v>
      </c>
      <c r="J4228">
        <v>14</v>
      </c>
      <c r="K4228">
        <v>10</v>
      </c>
      <c r="L4228">
        <v>8</v>
      </c>
      <c r="M4228">
        <v>7</v>
      </c>
      <c r="N4228">
        <v>6</v>
      </c>
      <c r="P4228">
        <f>G4228*I4228/100</f>
        <v>656.88699999999994</v>
      </c>
      <c r="Q4228">
        <f t="shared" si="43"/>
        <v>41487.600000000006</v>
      </c>
      <c r="R4228">
        <f>K4228/J4228</f>
        <v>0.7142857142857143</v>
      </c>
    </row>
    <row r="4229" spans="1:18" x14ac:dyDescent="0.3">
      <c r="A4229">
        <v>28</v>
      </c>
      <c r="B4229">
        <v>1181</v>
      </c>
      <c r="C4229" t="s">
        <v>17</v>
      </c>
      <c r="D4229" t="s">
        <v>18</v>
      </c>
      <c r="E4229">
        <v>82</v>
      </c>
      <c r="F4229" t="s">
        <v>19</v>
      </c>
      <c r="G4229">
        <v>2248.4</v>
      </c>
      <c r="H4229">
        <v>5531</v>
      </c>
      <c r="I4229">
        <v>11</v>
      </c>
      <c r="J4229">
        <v>5</v>
      </c>
      <c r="K4229">
        <v>5</v>
      </c>
      <c r="L4229">
        <v>3</v>
      </c>
      <c r="M4229">
        <v>0</v>
      </c>
      <c r="N4229">
        <v>3</v>
      </c>
      <c r="P4229">
        <f>G4229*I4229/100</f>
        <v>247.32400000000001</v>
      </c>
      <c r="Q4229">
        <f t="shared" si="43"/>
        <v>26980.800000000003</v>
      </c>
      <c r="R4229">
        <f>K4229/J4229</f>
        <v>1</v>
      </c>
    </row>
    <row r="4230" spans="1:18" x14ac:dyDescent="0.3">
      <c r="A4230">
        <v>39</v>
      </c>
      <c r="B4230">
        <v>1253</v>
      </c>
      <c r="C4230" t="s">
        <v>17</v>
      </c>
      <c r="D4230" t="s">
        <v>18</v>
      </c>
      <c r="E4230">
        <v>65</v>
      </c>
      <c r="F4230" t="s">
        <v>25</v>
      </c>
      <c r="G4230">
        <v>14810.400000000001</v>
      </c>
      <c r="H4230">
        <v>7914</v>
      </c>
      <c r="I4230">
        <v>21</v>
      </c>
      <c r="J4230">
        <v>9</v>
      </c>
      <c r="K4230">
        <v>4</v>
      </c>
      <c r="L4230">
        <v>3</v>
      </c>
      <c r="M4230">
        <v>2</v>
      </c>
      <c r="N4230">
        <v>2</v>
      </c>
      <c r="P4230">
        <f>G4230*I4230/100</f>
        <v>3110.1840000000002</v>
      </c>
      <c r="Q4230">
        <f t="shared" si="43"/>
        <v>177724.80000000002</v>
      </c>
      <c r="R4230">
        <f>K4230/J4230</f>
        <v>0.44444444444444442</v>
      </c>
    </row>
    <row r="4231" spans="1:18" x14ac:dyDescent="0.3">
      <c r="A4231">
        <v>46</v>
      </c>
      <c r="B4231">
        <v>849</v>
      </c>
      <c r="C4231" t="s">
        <v>14</v>
      </c>
      <c r="D4231" t="s">
        <v>18</v>
      </c>
      <c r="E4231">
        <v>98</v>
      </c>
      <c r="F4231" t="s">
        <v>16</v>
      </c>
      <c r="G4231">
        <v>8790.1</v>
      </c>
      <c r="H4231">
        <v>25166</v>
      </c>
      <c r="I4231">
        <v>15</v>
      </c>
      <c r="J4231">
        <v>6</v>
      </c>
      <c r="K4231">
        <v>2</v>
      </c>
      <c r="L4231">
        <v>2</v>
      </c>
      <c r="M4231">
        <v>2</v>
      </c>
      <c r="N4231">
        <v>2</v>
      </c>
      <c r="P4231">
        <f>G4231*I4231/100</f>
        <v>1318.5150000000001</v>
      </c>
      <c r="Q4231">
        <f t="shared" si="43"/>
        <v>105481.20000000001</v>
      </c>
      <c r="R4231">
        <f>K4231/J4231</f>
        <v>0.33333333333333331</v>
      </c>
    </row>
    <row r="4232" spans="1:18" x14ac:dyDescent="0.3">
      <c r="A4232">
        <v>40</v>
      </c>
      <c r="B4232">
        <v>616</v>
      </c>
      <c r="C4232" t="s">
        <v>17</v>
      </c>
      <c r="D4232" t="s">
        <v>15</v>
      </c>
      <c r="E4232">
        <v>99</v>
      </c>
      <c r="F4232" t="s">
        <v>20</v>
      </c>
      <c r="G4232">
        <v>3714.7000000000003</v>
      </c>
      <c r="H4232">
        <v>25605</v>
      </c>
      <c r="I4232">
        <v>17</v>
      </c>
      <c r="J4232">
        <v>7</v>
      </c>
      <c r="K4232">
        <v>4</v>
      </c>
      <c r="L4232">
        <v>3</v>
      </c>
      <c r="M4232">
        <v>0</v>
      </c>
      <c r="N4232">
        <v>2</v>
      </c>
      <c r="P4232">
        <f>G4232*I4232/100</f>
        <v>631.49900000000002</v>
      </c>
      <c r="Q4232">
        <f t="shared" si="43"/>
        <v>44576.4</v>
      </c>
      <c r="R4232">
        <f>K4232/J4232</f>
        <v>0.5714285714285714</v>
      </c>
    </row>
    <row r="4233" spans="1:18" x14ac:dyDescent="0.3">
      <c r="A4233">
        <v>42</v>
      </c>
      <c r="B4233">
        <v>1128</v>
      </c>
      <c r="C4233" t="s">
        <v>17</v>
      </c>
      <c r="D4233" t="s">
        <v>18</v>
      </c>
      <c r="E4233">
        <v>95</v>
      </c>
      <c r="F4233" t="s">
        <v>22</v>
      </c>
      <c r="G4233">
        <v>6091.8</v>
      </c>
      <c r="H4233">
        <v>5696</v>
      </c>
      <c r="I4233">
        <v>18</v>
      </c>
      <c r="J4233">
        <v>10</v>
      </c>
      <c r="K4233">
        <v>0</v>
      </c>
      <c r="L4233">
        <v>0</v>
      </c>
      <c r="M4233">
        <v>0</v>
      </c>
      <c r="N4233">
        <v>0</v>
      </c>
      <c r="P4233">
        <f>G4233*I4233/100</f>
        <v>1096.5240000000001</v>
      </c>
      <c r="Q4233">
        <f t="shared" si="43"/>
        <v>73101.600000000006</v>
      </c>
      <c r="R4233">
        <f>K4233/J4233</f>
        <v>0</v>
      </c>
    </row>
    <row r="4234" spans="1:18" x14ac:dyDescent="0.3">
      <c r="A4234">
        <v>35</v>
      </c>
      <c r="B4234">
        <v>1180</v>
      </c>
      <c r="C4234" t="s">
        <v>17</v>
      </c>
      <c r="D4234" t="s">
        <v>18</v>
      </c>
      <c r="E4234">
        <v>90</v>
      </c>
      <c r="F4234" t="s">
        <v>21</v>
      </c>
      <c r="G4234">
        <v>6338.2000000000007</v>
      </c>
      <c r="H4234">
        <v>24442</v>
      </c>
      <c r="I4234">
        <v>14</v>
      </c>
      <c r="J4234">
        <v>15</v>
      </c>
      <c r="K4234">
        <v>7</v>
      </c>
      <c r="L4234">
        <v>7</v>
      </c>
      <c r="M4234">
        <v>1</v>
      </c>
      <c r="N4234">
        <v>7</v>
      </c>
      <c r="P4234">
        <f>G4234*I4234/100</f>
        <v>887.34800000000018</v>
      </c>
      <c r="Q4234">
        <f t="shared" si="43"/>
        <v>76058.400000000009</v>
      </c>
      <c r="R4234">
        <f>K4234/J4234</f>
        <v>0.46666666666666667</v>
      </c>
    </row>
    <row r="4235" spans="1:18" x14ac:dyDescent="0.3">
      <c r="A4235">
        <v>38</v>
      </c>
      <c r="B4235">
        <v>1336</v>
      </c>
      <c r="C4235" t="s">
        <v>26</v>
      </c>
      <c r="D4235" t="s">
        <v>18</v>
      </c>
      <c r="E4235">
        <v>100</v>
      </c>
      <c r="F4235" t="s">
        <v>26</v>
      </c>
      <c r="G4235">
        <v>2851.2000000000003</v>
      </c>
      <c r="H4235">
        <v>7129</v>
      </c>
      <c r="I4235">
        <v>13</v>
      </c>
      <c r="J4235">
        <v>13</v>
      </c>
      <c r="K4235">
        <v>11</v>
      </c>
      <c r="L4235">
        <v>10</v>
      </c>
      <c r="M4235">
        <v>3</v>
      </c>
      <c r="N4235">
        <v>8</v>
      </c>
      <c r="P4235">
        <f>G4235*I4235/100</f>
        <v>370.65600000000006</v>
      </c>
      <c r="Q4235">
        <f t="shared" si="43"/>
        <v>34214.400000000001</v>
      </c>
      <c r="R4235">
        <f>K4235/J4235</f>
        <v>0.84615384615384615</v>
      </c>
    </row>
    <row r="4236" spans="1:18" x14ac:dyDescent="0.3">
      <c r="A4236">
        <v>34</v>
      </c>
      <c r="B4236">
        <v>234</v>
      </c>
      <c r="C4236" t="s">
        <v>17</v>
      </c>
      <c r="D4236" t="s">
        <v>18</v>
      </c>
      <c r="E4236">
        <v>93</v>
      </c>
      <c r="F4236" t="s">
        <v>20</v>
      </c>
      <c r="G4236">
        <v>5880.6</v>
      </c>
      <c r="H4236">
        <v>6208</v>
      </c>
      <c r="I4236">
        <v>17</v>
      </c>
      <c r="J4236">
        <v>11</v>
      </c>
      <c r="K4236">
        <v>7</v>
      </c>
      <c r="L4236">
        <v>1</v>
      </c>
      <c r="M4236">
        <v>0</v>
      </c>
      <c r="N4236">
        <v>7</v>
      </c>
      <c r="P4236">
        <f>G4236*I4236/100</f>
        <v>999.70200000000011</v>
      </c>
      <c r="Q4236">
        <f t="shared" si="43"/>
        <v>70567.200000000012</v>
      </c>
      <c r="R4236">
        <f>K4236/J4236</f>
        <v>0.63636363636363635</v>
      </c>
    </row>
    <row r="4237" spans="1:18" x14ac:dyDescent="0.3">
      <c r="A4237">
        <v>37</v>
      </c>
      <c r="B4237">
        <v>370</v>
      </c>
      <c r="C4237" t="s">
        <v>17</v>
      </c>
      <c r="D4237" t="s">
        <v>18</v>
      </c>
      <c r="E4237">
        <v>58</v>
      </c>
      <c r="F4237" t="s">
        <v>21</v>
      </c>
      <c r="G4237">
        <v>4634.3</v>
      </c>
      <c r="H4237">
        <v>4992</v>
      </c>
      <c r="I4237">
        <v>15</v>
      </c>
      <c r="J4237">
        <v>10</v>
      </c>
      <c r="K4237">
        <v>10</v>
      </c>
      <c r="L4237">
        <v>3</v>
      </c>
      <c r="M4237">
        <v>0</v>
      </c>
      <c r="N4237">
        <v>8</v>
      </c>
      <c r="P4237">
        <f>G4237*I4237/100</f>
        <v>695.14499999999998</v>
      </c>
      <c r="Q4237">
        <f t="shared" si="43"/>
        <v>55611.600000000006</v>
      </c>
      <c r="R4237">
        <f>K4237/J4237</f>
        <v>1</v>
      </c>
    </row>
    <row r="4238" spans="1:18" x14ac:dyDescent="0.3">
      <c r="A4238">
        <v>39</v>
      </c>
      <c r="B4238">
        <v>766</v>
      </c>
      <c r="C4238" t="s">
        <v>14</v>
      </c>
      <c r="D4238" t="s">
        <v>18</v>
      </c>
      <c r="E4238">
        <v>83</v>
      </c>
      <c r="F4238" t="s">
        <v>16</v>
      </c>
      <c r="G4238">
        <v>4539.7000000000007</v>
      </c>
      <c r="H4238">
        <v>19188</v>
      </c>
      <c r="I4238">
        <v>18</v>
      </c>
      <c r="J4238">
        <v>7</v>
      </c>
      <c r="K4238">
        <v>2</v>
      </c>
      <c r="L4238">
        <v>1</v>
      </c>
      <c r="M4238">
        <v>2</v>
      </c>
      <c r="N4238">
        <v>2</v>
      </c>
      <c r="P4238">
        <f>G4238*I4238/100</f>
        <v>817.14600000000007</v>
      </c>
      <c r="Q4238">
        <f t="shared" si="43"/>
        <v>54476.400000000009</v>
      </c>
      <c r="R4238">
        <f>K4238/J4238</f>
        <v>0.2857142857142857</v>
      </c>
    </row>
    <row r="4239" spans="1:18" x14ac:dyDescent="0.3">
      <c r="A4239">
        <v>43</v>
      </c>
      <c r="B4239">
        <v>343</v>
      </c>
      <c r="C4239" t="s">
        <v>17</v>
      </c>
      <c r="D4239" t="s">
        <v>18</v>
      </c>
      <c r="E4239">
        <v>52</v>
      </c>
      <c r="F4239" t="s">
        <v>19</v>
      </c>
      <c r="G4239">
        <v>2681.8</v>
      </c>
      <c r="H4239">
        <v>24978</v>
      </c>
      <c r="I4239">
        <v>13</v>
      </c>
      <c r="J4239">
        <v>7</v>
      </c>
      <c r="K4239">
        <v>3</v>
      </c>
      <c r="L4239">
        <v>2</v>
      </c>
      <c r="M4239">
        <v>1</v>
      </c>
      <c r="N4239">
        <v>2</v>
      </c>
      <c r="P4239">
        <f>G4239*I4239/100</f>
        <v>348.63400000000001</v>
      </c>
      <c r="Q4239">
        <f t="shared" si="43"/>
        <v>32181.600000000002</v>
      </c>
      <c r="R4239">
        <f>K4239/J4239</f>
        <v>0.42857142857142855</v>
      </c>
    </row>
    <row r="4240" spans="1:18" x14ac:dyDescent="0.3">
      <c r="A4240">
        <v>41</v>
      </c>
      <c r="B4240">
        <v>447</v>
      </c>
      <c r="C4240" t="s">
        <v>17</v>
      </c>
      <c r="D4240" t="s">
        <v>18</v>
      </c>
      <c r="E4240">
        <v>85</v>
      </c>
      <c r="F4240" t="s">
        <v>22</v>
      </c>
      <c r="G4240">
        <v>7557.0000000000009</v>
      </c>
      <c r="H4240">
        <v>15530</v>
      </c>
      <c r="I4240">
        <v>12</v>
      </c>
      <c r="J4240">
        <v>11</v>
      </c>
      <c r="K4240">
        <v>3</v>
      </c>
      <c r="L4240">
        <v>2</v>
      </c>
      <c r="M4240">
        <v>1</v>
      </c>
      <c r="N4240">
        <v>2</v>
      </c>
      <c r="P4240">
        <f>G4240*I4240/100</f>
        <v>906.84000000000015</v>
      </c>
      <c r="Q4240">
        <f t="shared" si="43"/>
        <v>90684.000000000015</v>
      </c>
      <c r="R4240">
        <f>K4240/J4240</f>
        <v>0.27272727272727271</v>
      </c>
    </row>
    <row r="4241" spans="1:18" x14ac:dyDescent="0.3">
      <c r="A4241">
        <v>41</v>
      </c>
      <c r="B4241">
        <v>796</v>
      </c>
      <c r="C4241" t="s">
        <v>14</v>
      </c>
      <c r="D4241" t="s">
        <v>15</v>
      </c>
      <c r="E4241">
        <v>81</v>
      </c>
      <c r="F4241" t="s">
        <v>16</v>
      </c>
      <c r="G4241">
        <v>11491.7</v>
      </c>
      <c r="H4241">
        <v>26458</v>
      </c>
      <c r="I4241">
        <v>13</v>
      </c>
      <c r="J4241">
        <v>23</v>
      </c>
      <c r="K4241">
        <v>22</v>
      </c>
      <c r="L4241">
        <v>14</v>
      </c>
      <c r="M4241">
        <v>13</v>
      </c>
      <c r="N4241">
        <v>5</v>
      </c>
      <c r="P4241">
        <f>G4241*I4241/100</f>
        <v>1493.921</v>
      </c>
      <c r="Q4241">
        <f t="shared" si="43"/>
        <v>137900.40000000002</v>
      </c>
      <c r="R4241">
        <f>K4241/J4241</f>
        <v>0.95652173913043481</v>
      </c>
    </row>
    <row r="4242" spans="1:18" x14ac:dyDescent="0.3">
      <c r="A4242">
        <v>30</v>
      </c>
      <c r="B4242">
        <v>1092</v>
      </c>
      <c r="C4242" t="s">
        <v>17</v>
      </c>
      <c r="D4242" t="s">
        <v>15</v>
      </c>
      <c r="E4242">
        <v>64</v>
      </c>
      <c r="F4242" t="s">
        <v>21</v>
      </c>
      <c r="G4242">
        <v>10633.7</v>
      </c>
      <c r="H4242">
        <v>2739</v>
      </c>
      <c r="I4242">
        <v>14</v>
      </c>
      <c r="J4242">
        <v>9</v>
      </c>
      <c r="K4242">
        <v>7</v>
      </c>
      <c r="L4242">
        <v>7</v>
      </c>
      <c r="M4242">
        <v>0</v>
      </c>
      <c r="N4242">
        <v>2</v>
      </c>
      <c r="P4242">
        <f>G4242*I4242/100</f>
        <v>1488.7180000000001</v>
      </c>
      <c r="Q4242">
        <f t="shared" si="43"/>
        <v>127604.40000000001</v>
      </c>
      <c r="R4242">
        <f>K4242/J4242</f>
        <v>0.77777777777777779</v>
      </c>
    </row>
    <row r="4243" spans="1:18" x14ac:dyDescent="0.3">
      <c r="A4243">
        <v>26</v>
      </c>
      <c r="B4243">
        <v>920</v>
      </c>
      <c r="C4243" t="s">
        <v>26</v>
      </c>
      <c r="D4243" t="s">
        <v>15</v>
      </c>
      <c r="E4243">
        <v>69</v>
      </c>
      <c r="F4243" t="s">
        <v>26</v>
      </c>
      <c r="G4243">
        <v>2362.8000000000002</v>
      </c>
      <c r="H4243">
        <v>6889</v>
      </c>
      <c r="I4243">
        <v>11</v>
      </c>
      <c r="J4243">
        <v>6</v>
      </c>
      <c r="K4243">
        <v>5</v>
      </c>
      <c r="L4243">
        <v>1</v>
      </c>
      <c r="M4243">
        <v>1</v>
      </c>
      <c r="N4243">
        <v>4</v>
      </c>
      <c r="P4243">
        <f>G4243*I4243/100</f>
        <v>259.90800000000002</v>
      </c>
      <c r="Q4243">
        <f t="shared" si="43"/>
        <v>28353.600000000002</v>
      </c>
      <c r="R4243">
        <f>K4243/J4243</f>
        <v>0.83333333333333337</v>
      </c>
    </row>
    <row r="4244" spans="1:18" x14ac:dyDescent="0.3">
      <c r="A4244">
        <v>46</v>
      </c>
      <c r="B4244">
        <v>261</v>
      </c>
      <c r="C4244" t="s">
        <v>17</v>
      </c>
      <c r="D4244" t="s">
        <v>15</v>
      </c>
      <c r="E4244">
        <v>66</v>
      </c>
      <c r="F4244" t="s">
        <v>22</v>
      </c>
      <c r="G4244">
        <v>9818.6</v>
      </c>
      <c r="H4244">
        <v>10842</v>
      </c>
      <c r="I4244">
        <v>22</v>
      </c>
      <c r="J4244">
        <v>13</v>
      </c>
      <c r="K4244">
        <v>9</v>
      </c>
      <c r="L4244">
        <v>7</v>
      </c>
      <c r="M4244">
        <v>3</v>
      </c>
      <c r="N4244">
        <v>7</v>
      </c>
      <c r="P4244">
        <f>G4244*I4244/100</f>
        <v>2160.0920000000001</v>
      </c>
      <c r="Q4244">
        <f t="shared" si="43"/>
        <v>117823.20000000001</v>
      </c>
      <c r="R4244">
        <f>K4244/J4244</f>
        <v>0.69230769230769229</v>
      </c>
    </row>
    <row r="4245" spans="1:18" x14ac:dyDescent="0.3">
      <c r="A4245">
        <v>40</v>
      </c>
      <c r="B4245">
        <v>1194</v>
      </c>
      <c r="C4245" t="s">
        <v>17</v>
      </c>
      <c r="D4245" t="s">
        <v>15</v>
      </c>
      <c r="E4245">
        <v>52</v>
      </c>
      <c r="F4245" t="s">
        <v>22</v>
      </c>
      <c r="G4245">
        <v>7164.3</v>
      </c>
      <c r="H4245">
        <v>9060</v>
      </c>
      <c r="I4245">
        <v>17</v>
      </c>
      <c r="J4245">
        <v>12</v>
      </c>
      <c r="K4245">
        <v>5</v>
      </c>
      <c r="L4245">
        <v>3</v>
      </c>
      <c r="M4245">
        <v>0</v>
      </c>
      <c r="N4245">
        <v>3</v>
      </c>
      <c r="P4245">
        <f>G4245*I4245/100</f>
        <v>1217.931</v>
      </c>
      <c r="Q4245">
        <f t="shared" si="43"/>
        <v>85971.6</v>
      </c>
      <c r="R4245">
        <f>K4245/J4245</f>
        <v>0.41666666666666669</v>
      </c>
    </row>
    <row r="4246" spans="1:18" x14ac:dyDescent="0.3">
      <c r="A4246">
        <v>34</v>
      </c>
      <c r="B4246">
        <v>810</v>
      </c>
      <c r="C4246" t="s">
        <v>14</v>
      </c>
      <c r="D4246" t="s">
        <v>18</v>
      </c>
      <c r="E4246">
        <v>92</v>
      </c>
      <c r="F4246" t="s">
        <v>16</v>
      </c>
      <c r="G4246">
        <v>7478.9000000000005</v>
      </c>
      <c r="H4246">
        <v>22128</v>
      </c>
      <c r="I4246">
        <v>21</v>
      </c>
      <c r="J4246">
        <v>10</v>
      </c>
      <c r="K4246">
        <v>10</v>
      </c>
      <c r="L4246">
        <v>8</v>
      </c>
      <c r="M4246">
        <v>4</v>
      </c>
      <c r="N4246">
        <v>8</v>
      </c>
      <c r="P4246">
        <f>G4246*I4246/100</f>
        <v>1570.5690000000002</v>
      </c>
      <c r="Q4246">
        <f t="shared" si="43"/>
        <v>89746.8</v>
      </c>
      <c r="R4246">
        <f>K4246/J4246</f>
        <v>1</v>
      </c>
    </row>
    <row r="4247" spans="1:18" x14ac:dyDescent="0.3">
      <c r="A4247">
        <v>58</v>
      </c>
      <c r="B4247">
        <v>350</v>
      </c>
      <c r="C4247" t="s">
        <v>14</v>
      </c>
      <c r="D4247" t="s">
        <v>18</v>
      </c>
      <c r="E4247">
        <v>52</v>
      </c>
      <c r="F4247" t="s">
        <v>23</v>
      </c>
      <c r="G4247">
        <v>17920.100000000002</v>
      </c>
      <c r="H4247">
        <v>22577</v>
      </c>
      <c r="I4247">
        <v>22</v>
      </c>
      <c r="J4247">
        <v>37</v>
      </c>
      <c r="K4247">
        <v>16</v>
      </c>
      <c r="L4247">
        <v>9</v>
      </c>
      <c r="M4247">
        <v>14</v>
      </c>
      <c r="N4247">
        <v>14</v>
      </c>
      <c r="P4247">
        <f>G4247*I4247/100</f>
        <v>3942.4220000000005</v>
      </c>
      <c r="Q4247">
        <f t="shared" si="43"/>
        <v>215041.2</v>
      </c>
      <c r="R4247">
        <f>K4247/J4247</f>
        <v>0.43243243243243246</v>
      </c>
    </row>
    <row r="4248" spans="1:18" x14ac:dyDescent="0.3">
      <c r="A4248">
        <v>35</v>
      </c>
      <c r="B4248">
        <v>185</v>
      </c>
      <c r="C4248" t="s">
        <v>17</v>
      </c>
      <c r="D4248" t="s">
        <v>18</v>
      </c>
      <c r="E4248">
        <v>91</v>
      </c>
      <c r="F4248" t="s">
        <v>20</v>
      </c>
      <c r="G4248">
        <v>2975.5000000000005</v>
      </c>
      <c r="H4248">
        <v>9696</v>
      </c>
      <c r="I4248">
        <v>16</v>
      </c>
      <c r="J4248">
        <v>6</v>
      </c>
      <c r="K4248">
        <v>5</v>
      </c>
      <c r="L4248">
        <v>4</v>
      </c>
      <c r="M4248">
        <v>0</v>
      </c>
      <c r="N4248">
        <v>3</v>
      </c>
      <c r="P4248">
        <f>G4248*I4248/100</f>
        <v>476.0800000000001</v>
      </c>
      <c r="Q4248">
        <f t="shared" si="43"/>
        <v>35706.000000000007</v>
      </c>
      <c r="R4248">
        <f>K4248/J4248</f>
        <v>0.83333333333333337</v>
      </c>
    </row>
    <row r="4249" spans="1:18" x14ac:dyDescent="0.3">
      <c r="A4249">
        <v>47</v>
      </c>
      <c r="B4249">
        <v>1001</v>
      </c>
      <c r="C4249" t="s">
        <v>17</v>
      </c>
      <c r="D4249" t="s">
        <v>15</v>
      </c>
      <c r="E4249">
        <v>92</v>
      </c>
      <c r="F4249" t="s">
        <v>21</v>
      </c>
      <c r="G4249">
        <v>11366.300000000001</v>
      </c>
      <c r="H4249">
        <v>19271</v>
      </c>
      <c r="I4249">
        <v>12</v>
      </c>
      <c r="J4249">
        <v>28</v>
      </c>
      <c r="K4249">
        <v>22</v>
      </c>
      <c r="L4249">
        <v>11</v>
      </c>
      <c r="M4249">
        <v>14</v>
      </c>
      <c r="N4249">
        <v>10</v>
      </c>
      <c r="P4249">
        <f>G4249*I4249/100</f>
        <v>1363.9560000000001</v>
      </c>
      <c r="Q4249">
        <f t="shared" si="43"/>
        <v>136395.6</v>
      </c>
      <c r="R4249">
        <f>K4249/J4249</f>
        <v>0.7857142857142857</v>
      </c>
    </row>
    <row r="4250" spans="1:18" x14ac:dyDescent="0.3">
      <c r="A4250">
        <v>40</v>
      </c>
      <c r="B4250">
        <v>750</v>
      </c>
      <c r="C4250" t="s">
        <v>17</v>
      </c>
      <c r="D4250" t="s">
        <v>15</v>
      </c>
      <c r="E4250">
        <v>47</v>
      </c>
      <c r="F4250" t="s">
        <v>22</v>
      </c>
      <c r="G4250">
        <v>4892.8</v>
      </c>
      <c r="H4250">
        <v>10748</v>
      </c>
      <c r="I4250">
        <v>12</v>
      </c>
      <c r="J4250">
        <v>15</v>
      </c>
      <c r="K4250">
        <v>7</v>
      </c>
      <c r="L4250">
        <v>4</v>
      </c>
      <c r="M4250">
        <v>7</v>
      </c>
      <c r="N4250">
        <v>7</v>
      </c>
      <c r="P4250">
        <f>G4250*I4250/100</f>
        <v>587.13600000000008</v>
      </c>
      <c r="Q4250">
        <f t="shared" si="43"/>
        <v>58713.600000000006</v>
      </c>
      <c r="R4250">
        <f>K4250/J4250</f>
        <v>0.46666666666666667</v>
      </c>
    </row>
    <row r="4251" spans="1:18" x14ac:dyDescent="0.3">
      <c r="A4251">
        <v>54</v>
      </c>
      <c r="B4251">
        <v>431</v>
      </c>
      <c r="C4251" t="s">
        <v>17</v>
      </c>
      <c r="D4251" t="s">
        <v>15</v>
      </c>
      <c r="E4251">
        <v>68</v>
      </c>
      <c r="F4251" t="s">
        <v>19</v>
      </c>
      <c r="G4251">
        <v>7539.4000000000005</v>
      </c>
      <c r="H4251">
        <v>15696</v>
      </c>
      <c r="I4251">
        <v>15</v>
      </c>
      <c r="J4251">
        <v>14</v>
      </c>
      <c r="K4251">
        <v>7</v>
      </c>
      <c r="L4251">
        <v>1</v>
      </c>
      <c r="M4251">
        <v>1</v>
      </c>
      <c r="N4251">
        <v>7</v>
      </c>
      <c r="P4251">
        <f>G4251*I4251/100</f>
        <v>1130.9100000000001</v>
      </c>
      <c r="Q4251">
        <f t="shared" si="43"/>
        <v>90472.8</v>
      </c>
      <c r="R4251">
        <f>K4251/J4251</f>
        <v>0.5</v>
      </c>
    </row>
    <row r="4252" spans="1:18" x14ac:dyDescent="0.3">
      <c r="A4252">
        <v>31</v>
      </c>
      <c r="B4252">
        <v>1125</v>
      </c>
      <c r="C4252" t="s">
        <v>14</v>
      </c>
      <c r="D4252" t="s">
        <v>15</v>
      </c>
      <c r="E4252">
        <v>68</v>
      </c>
      <c r="F4252" t="s">
        <v>16</v>
      </c>
      <c r="G4252">
        <v>10600.7</v>
      </c>
      <c r="H4252">
        <v>8277</v>
      </c>
      <c r="I4252">
        <v>14</v>
      </c>
      <c r="J4252">
        <v>9</v>
      </c>
      <c r="K4252">
        <v>3</v>
      </c>
      <c r="L4252">
        <v>2</v>
      </c>
      <c r="M4252">
        <v>2</v>
      </c>
      <c r="N4252">
        <v>2</v>
      </c>
      <c r="P4252">
        <f>G4252*I4252/100</f>
        <v>1484.0980000000002</v>
      </c>
      <c r="Q4252">
        <f t="shared" si="43"/>
        <v>127208.40000000001</v>
      </c>
      <c r="R4252">
        <f>K4252/J4252</f>
        <v>0.33333333333333331</v>
      </c>
    </row>
    <row r="4253" spans="1:18" x14ac:dyDescent="0.3">
      <c r="A4253">
        <v>28</v>
      </c>
      <c r="B4253">
        <v>1217</v>
      </c>
      <c r="C4253" t="s">
        <v>17</v>
      </c>
      <c r="D4253" t="s">
        <v>15</v>
      </c>
      <c r="E4253">
        <v>67</v>
      </c>
      <c r="F4253" t="s">
        <v>19</v>
      </c>
      <c r="G4253">
        <v>3950.1000000000004</v>
      </c>
      <c r="H4253">
        <v>12719</v>
      </c>
      <c r="I4253">
        <v>25</v>
      </c>
      <c r="J4253">
        <v>3</v>
      </c>
      <c r="K4253">
        <v>3</v>
      </c>
      <c r="L4253">
        <v>2</v>
      </c>
      <c r="M4253">
        <v>1</v>
      </c>
      <c r="N4253">
        <v>2</v>
      </c>
      <c r="P4253">
        <f>G4253*I4253/100</f>
        <v>987.52500000000009</v>
      </c>
      <c r="Q4253">
        <f t="shared" si="43"/>
        <v>47401.200000000004</v>
      </c>
      <c r="R4253">
        <f>K4253/J4253</f>
        <v>1</v>
      </c>
    </row>
    <row r="4254" spans="1:18" x14ac:dyDescent="0.3">
      <c r="A4254">
        <v>38</v>
      </c>
      <c r="B4254">
        <v>723</v>
      </c>
      <c r="C4254" t="s">
        <v>14</v>
      </c>
      <c r="D4254" t="s">
        <v>15</v>
      </c>
      <c r="E4254">
        <v>77</v>
      </c>
      <c r="F4254" t="s">
        <v>24</v>
      </c>
      <c r="G4254">
        <v>5945.5000000000009</v>
      </c>
      <c r="H4254">
        <v>4244</v>
      </c>
      <c r="I4254">
        <v>20</v>
      </c>
      <c r="J4254">
        <v>20</v>
      </c>
      <c r="K4254">
        <v>4</v>
      </c>
      <c r="L4254">
        <v>2</v>
      </c>
      <c r="M4254">
        <v>0</v>
      </c>
      <c r="N4254">
        <v>3</v>
      </c>
      <c r="P4254">
        <f>G4254*I4254/100</f>
        <v>1189.1000000000001</v>
      </c>
      <c r="Q4254">
        <f t="shared" si="43"/>
        <v>71346.000000000015</v>
      </c>
      <c r="R4254">
        <f>K4254/J4254</f>
        <v>0.2</v>
      </c>
    </row>
    <row r="4255" spans="1:18" x14ac:dyDescent="0.3">
      <c r="A4255">
        <v>26</v>
      </c>
      <c r="B4255">
        <v>572</v>
      </c>
      <c r="C4255" t="s">
        <v>14</v>
      </c>
      <c r="D4255" t="s">
        <v>18</v>
      </c>
      <c r="E4255">
        <v>46</v>
      </c>
      <c r="F4255" t="s">
        <v>16</v>
      </c>
      <c r="G4255">
        <v>5152.4000000000005</v>
      </c>
      <c r="H4255">
        <v>9125</v>
      </c>
      <c r="I4255">
        <v>13</v>
      </c>
      <c r="J4255">
        <v>5</v>
      </c>
      <c r="K4255">
        <v>5</v>
      </c>
      <c r="L4255">
        <v>3</v>
      </c>
      <c r="M4255">
        <v>1</v>
      </c>
      <c r="N4255">
        <v>2</v>
      </c>
      <c r="P4255">
        <f>G4255*I4255/100</f>
        <v>669.81200000000013</v>
      </c>
      <c r="Q4255">
        <f t="shared" si="43"/>
        <v>61828.800000000003</v>
      </c>
      <c r="R4255">
        <f>K4255/J4255</f>
        <v>1</v>
      </c>
    </row>
    <row r="4256" spans="1:18" x14ac:dyDescent="0.3">
      <c r="A4256">
        <v>58</v>
      </c>
      <c r="B4256">
        <v>1216</v>
      </c>
      <c r="C4256" t="s">
        <v>17</v>
      </c>
      <c r="D4256" t="s">
        <v>18</v>
      </c>
      <c r="E4256">
        <v>87</v>
      </c>
      <c r="F4256" t="s">
        <v>25</v>
      </c>
      <c r="G4256">
        <v>17365.7</v>
      </c>
      <c r="H4256">
        <v>21624</v>
      </c>
      <c r="I4256">
        <v>14</v>
      </c>
      <c r="J4256">
        <v>23</v>
      </c>
      <c r="K4256">
        <v>2</v>
      </c>
      <c r="L4256">
        <v>2</v>
      </c>
      <c r="M4256">
        <v>2</v>
      </c>
      <c r="N4256">
        <v>2</v>
      </c>
      <c r="P4256">
        <f>G4256*I4256/100</f>
        <v>2431.1980000000003</v>
      </c>
      <c r="Q4256">
        <f t="shared" si="43"/>
        <v>208388.40000000002</v>
      </c>
      <c r="R4256">
        <f>K4256/J4256</f>
        <v>8.6956521739130432E-2</v>
      </c>
    </row>
    <row r="4257" spans="1:18" x14ac:dyDescent="0.3">
      <c r="A4257">
        <v>18</v>
      </c>
      <c r="B4257">
        <v>1431</v>
      </c>
      <c r="C4257" t="s">
        <v>17</v>
      </c>
      <c r="D4257" t="s">
        <v>15</v>
      </c>
      <c r="E4257">
        <v>33</v>
      </c>
      <c r="F4257" t="s">
        <v>19</v>
      </c>
      <c r="G4257">
        <v>1665.4</v>
      </c>
      <c r="H4257">
        <v>8018</v>
      </c>
      <c r="I4257">
        <v>16</v>
      </c>
      <c r="J4257">
        <v>0</v>
      </c>
      <c r="K4257">
        <v>0</v>
      </c>
      <c r="L4257">
        <v>0</v>
      </c>
      <c r="M4257">
        <v>0</v>
      </c>
      <c r="N4257">
        <v>0</v>
      </c>
      <c r="P4257">
        <f>G4257*I4257/100</f>
        <v>266.464</v>
      </c>
      <c r="Q4257">
        <f t="shared" si="43"/>
        <v>19984.800000000003</v>
      </c>
      <c r="R4257" t="e">
        <f>K4257/J4257</f>
        <v>#DIV/0!</v>
      </c>
    </row>
    <row r="4258" spans="1:18" x14ac:dyDescent="0.3">
      <c r="A4258">
        <v>31</v>
      </c>
      <c r="B4258">
        <v>359</v>
      </c>
      <c r="C4258" t="s">
        <v>26</v>
      </c>
      <c r="D4258" t="s">
        <v>18</v>
      </c>
      <c r="E4258">
        <v>89</v>
      </c>
      <c r="F4258" t="s">
        <v>26</v>
      </c>
      <c r="G4258">
        <v>3251.6000000000004</v>
      </c>
      <c r="H4258">
        <v>21495</v>
      </c>
      <c r="I4258">
        <v>17</v>
      </c>
      <c r="J4258">
        <v>2</v>
      </c>
      <c r="K4258">
        <v>1</v>
      </c>
      <c r="L4258">
        <v>0</v>
      </c>
      <c r="M4258">
        <v>0</v>
      </c>
      <c r="N4258">
        <v>0</v>
      </c>
      <c r="P4258">
        <f>G4258*I4258/100</f>
        <v>552.77200000000005</v>
      </c>
      <c r="Q4258">
        <f t="shared" si="43"/>
        <v>39019.200000000004</v>
      </c>
      <c r="R4258">
        <f>K4258/J4258</f>
        <v>0.5</v>
      </c>
    </row>
    <row r="4259" spans="1:18" x14ac:dyDescent="0.3">
      <c r="A4259">
        <v>29</v>
      </c>
      <c r="B4259">
        <v>350</v>
      </c>
      <c r="C4259" t="s">
        <v>26</v>
      </c>
      <c r="D4259" t="s">
        <v>18</v>
      </c>
      <c r="E4259">
        <v>56</v>
      </c>
      <c r="F4259" t="s">
        <v>26</v>
      </c>
      <c r="G4259">
        <v>2568.5</v>
      </c>
      <c r="H4259">
        <v>3157</v>
      </c>
      <c r="I4259">
        <v>15</v>
      </c>
      <c r="J4259">
        <v>4</v>
      </c>
      <c r="K4259">
        <v>2</v>
      </c>
      <c r="L4259">
        <v>2</v>
      </c>
      <c r="M4259">
        <v>2</v>
      </c>
      <c r="N4259">
        <v>0</v>
      </c>
      <c r="P4259">
        <f>G4259*I4259/100</f>
        <v>385.27499999999998</v>
      </c>
      <c r="Q4259">
        <f t="shared" si="43"/>
        <v>30822</v>
      </c>
      <c r="R4259">
        <f>K4259/J4259</f>
        <v>0.5</v>
      </c>
    </row>
    <row r="4260" spans="1:18" x14ac:dyDescent="0.3">
      <c r="A4260">
        <v>45</v>
      </c>
      <c r="B4260">
        <v>589</v>
      </c>
      <c r="C4260" t="s">
        <v>14</v>
      </c>
      <c r="D4260" t="s">
        <v>15</v>
      </c>
      <c r="E4260">
        <v>67</v>
      </c>
      <c r="F4260" t="s">
        <v>16</v>
      </c>
      <c r="G4260">
        <v>5669.4000000000005</v>
      </c>
      <c r="H4260">
        <v>19665</v>
      </c>
      <c r="I4260">
        <v>22</v>
      </c>
      <c r="J4260">
        <v>10</v>
      </c>
      <c r="K4260">
        <v>8</v>
      </c>
      <c r="L4260">
        <v>7</v>
      </c>
      <c r="M4260">
        <v>5</v>
      </c>
      <c r="N4260">
        <v>7</v>
      </c>
      <c r="P4260">
        <f>G4260*I4260/100</f>
        <v>1247.2680000000003</v>
      </c>
      <c r="Q4260">
        <f t="shared" si="43"/>
        <v>68032.800000000003</v>
      </c>
      <c r="R4260">
        <f>K4260/J4260</f>
        <v>0.8</v>
      </c>
    </row>
    <row r="4261" spans="1:18" x14ac:dyDescent="0.3">
      <c r="A4261">
        <v>36</v>
      </c>
      <c r="B4261">
        <v>430</v>
      </c>
      <c r="C4261" t="s">
        <v>17</v>
      </c>
      <c r="D4261" t="s">
        <v>15</v>
      </c>
      <c r="E4261">
        <v>73</v>
      </c>
      <c r="F4261" t="s">
        <v>19</v>
      </c>
      <c r="G4261">
        <v>7658.2000000000007</v>
      </c>
      <c r="H4261">
        <v>19573</v>
      </c>
      <c r="I4261">
        <v>22</v>
      </c>
      <c r="J4261">
        <v>15</v>
      </c>
      <c r="K4261">
        <v>1</v>
      </c>
      <c r="L4261">
        <v>0</v>
      </c>
      <c r="M4261">
        <v>0</v>
      </c>
      <c r="N4261">
        <v>0</v>
      </c>
      <c r="P4261">
        <f>G4261*I4261/100</f>
        <v>1684.8040000000003</v>
      </c>
      <c r="Q4261">
        <f t="shared" si="43"/>
        <v>91898.400000000009</v>
      </c>
      <c r="R4261">
        <f>K4261/J4261</f>
        <v>6.6666666666666666E-2</v>
      </c>
    </row>
    <row r="4262" spans="1:18" x14ac:dyDescent="0.3">
      <c r="A4262">
        <v>43</v>
      </c>
      <c r="B4262">
        <v>1422</v>
      </c>
      <c r="C4262" t="s">
        <v>14</v>
      </c>
      <c r="D4262" t="s">
        <v>18</v>
      </c>
      <c r="E4262">
        <v>92</v>
      </c>
      <c r="F4262" t="s">
        <v>16</v>
      </c>
      <c r="G4262">
        <v>6242.5000000000009</v>
      </c>
      <c r="H4262">
        <v>19246</v>
      </c>
      <c r="I4262">
        <v>20</v>
      </c>
      <c r="J4262">
        <v>7</v>
      </c>
      <c r="K4262">
        <v>7</v>
      </c>
      <c r="L4262">
        <v>7</v>
      </c>
      <c r="M4262">
        <v>7</v>
      </c>
      <c r="N4262">
        <v>7</v>
      </c>
      <c r="P4262">
        <f>G4262*I4262/100</f>
        <v>1248.5000000000002</v>
      </c>
      <c r="Q4262">
        <f t="shared" si="43"/>
        <v>74910.000000000015</v>
      </c>
      <c r="R4262">
        <f>K4262/J4262</f>
        <v>1</v>
      </c>
    </row>
    <row r="4263" spans="1:18" x14ac:dyDescent="0.3">
      <c r="A4263">
        <v>27</v>
      </c>
      <c r="B4263">
        <v>1297</v>
      </c>
      <c r="C4263" t="s">
        <v>17</v>
      </c>
      <c r="D4263" t="s">
        <v>15</v>
      </c>
      <c r="E4263">
        <v>53</v>
      </c>
      <c r="F4263" t="s">
        <v>20</v>
      </c>
      <c r="G4263">
        <v>2616.9</v>
      </c>
      <c r="H4263">
        <v>19826</v>
      </c>
      <c r="I4263">
        <v>14</v>
      </c>
      <c r="J4263">
        <v>6</v>
      </c>
      <c r="K4263">
        <v>5</v>
      </c>
      <c r="L4263">
        <v>4</v>
      </c>
      <c r="M4263">
        <v>0</v>
      </c>
      <c r="N4263">
        <v>2</v>
      </c>
      <c r="P4263">
        <f>G4263*I4263/100</f>
        <v>366.36599999999999</v>
      </c>
      <c r="Q4263">
        <f t="shared" si="43"/>
        <v>31402.800000000003</v>
      </c>
      <c r="R4263">
        <f>K4263/J4263</f>
        <v>0.83333333333333337</v>
      </c>
    </row>
    <row r="4264" spans="1:18" x14ac:dyDescent="0.3">
      <c r="A4264">
        <v>29</v>
      </c>
      <c r="B4264">
        <v>574</v>
      </c>
      <c r="C4264" t="s">
        <v>17</v>
      </c>
      <c r="D4264" t="s">
        <v>18</v>
      </c>
      <c r="E4264">
        <v>40</v>
      </c>
      <c r="F4264" t="s">
        <v>20</v>
      </c>
      <c r="G4264">
        <v>4193.2000000000007</v>
      </c>
      <c r="H4264">
        <v>7003</v>
      </c>
      <c r="I4264">
        <v>13</v>
      </c>
      <c r="J4264">
        <v>11</v>
      </c>
      <c r="K4264">
        <v>11</v>
      </c>
      <c r="L4264">
        <v>8</v>
      </c>
      <c r="M4264">
        <v>3</v>
      </c>
      <c r="N4264">
        <v>10</v>
      </c>
      <c r="P4264">
        <f>G4264*I4264/100</f>
        <v>545.1160000000001</v>
      </c>
      <c r="Q4264">
        <f t="shared" si="43"/>
        <v>50318.400000000009</v>
      </c>
      <c r="R4264">
        <f>K4264/J4264</f>
        <v>1</v>
      </c>
    </row>
    <row r="4265" spans="1:18" x14ac:dyDescent="0.3">
      <c r="A4265">
        <v>32</v>
      </c>
      <c r="B4265">
        <v>1318</v>
      </c>
      <c r="C4265" t="s">
        <v>14</v>
      </c>
      <c r="D4265" t="s">
        <v>18</v>
      </c>
      <c r="E4265">
        <v>79</v>
      </c>
      <c r="F4265" t="s">
        <v>16</v>
      </c>
      <c r="G4265">
        <v>5112.8</v>
      </c>
      <c r="H4265">
        <v>26075</v>
      </c>
      <c r="I4265">
        <v>13</v>
      </c>
      <c r="J4265">
        <v>4</v>
      </c>
      <c r="K4265">
        <v>0</v>
      </c>
      <c r="L4265">
        <v>0</v>
      </c>
      <c r="M4265">
        <v>0</v>
      </c>
      <c r="N4265">
        <v>0</v>
      </c>
      <c r="P4265">
        <f>G4265*I4265/100</f>
        <v>664.6640000000001</v>
      </c>
      <c r="Q4265">
        <f t="shared" si="43"/>
        <v>61353.600000000006</v>
      </c>
      <c r="R4265">
        <f>K4265/J4265</f>
        <v>0</v>
      </c>
    </row>
    <row r="4266" spans="1:18" x14ac:dyDescent="0.3">
      <c r="A4266">
        <v>42</v>
      </c>
      <c r="B4266">
        <v>355</v>
      </c>
      <c r="C4266" t="s">
        <v>17</v>
      </c>
      <c r="D4266" t="s">
        <v>18</v>
      </c>
      <c r="E4266">
        <v>38</v>
      </c>
      <c r="F4266" t="s">
        <v>19</v>
      </c>
      <c r="G4266">
        <v>3229.6000000000004</v>
      </c>
      <c r="H4266">
        <v>6161</v>
      </c>
      <c r="I4266">
        <v>22</v>
      </c>
      <c r="J4266">
        <v>10</v>
      </c>
      <c r="K4266">
        <v>6</v>
      </c>
      <c r="L4266">
        <v>3</v>
      </c>
      <c r="M4266">
        <v>3</v>
      </c>
      <c r="N4266">
        <v>3</v>
      </c>
      <c r="P4266">
        <f>G4266*I4266/100</f>
        <v>710.51200000000017</v>
      </c>
      <c r="Q4266">
        <f t="shared" si="43"/>
        <v>38755.200000000004</v>
      </c>
      <c r="R4266">
        <f>K4266/J4266</f>
        <v>0.6</v>
      </c>
    </row>
    <row r="4267" spans="1:18" x14ac:dyDescent="0.3">
      <c r="A4267">
        <v>47</v>
      </c>
      <c r="B4267">
        <v>207</v>
      </c>
      <c r="C4267" t="s">
        <v>17</v>
      </c>
      <c r="D4267" t="s">
        <v>15</v>
      </c>
      <c r="E4267">
        <v>64</v>
      </c>
      <c r="F4267" t="s">
        <v>20</v>
      </c>
      <c r="G4267">
        <v>2315.5</v>
      </c>
      <c r="H4267">
        <v>5411</v>
      </c>
      <c r="I4267">
        <v>12</v>
      </c>
      <c r="J4267">
        <v>7</v>
      </c>
      <c r="K4267">
        <v>2</v>
      </c>
      <c r="L4267">
        <v>2</v>
      </c>
      <c r="M4267">
        <v>2</v>
      </c>
      <c r="N4267">
        <v>0</v>
      </c>
      <c r="P4267">
        <f>G4267*I4267/100</f>
        <v>277.86</v>
      </c>
      <c r="Q4267">
        <f t="shared" si="43"/>
        <v>27786</v>
      </c>
      <c r="R4267">
        <f>K4267/J4267</f>
        <v>0.2857142857142857</v>
      </c>
    </row>
    <row r="4268" spans="1:18" x14ac:dyDescent="0.3">
      <c r="A4268">
        <v>46</v>
      </c>
      <c r="B4268">
        <v>706</v>
      </c>
      <c r="C4268" t="s">
        <v>17</v>
      </c>
      <c r="D4268" t="s">
        <v>18</v>
      </c>
      <c r="E4268">
        <v>82</v>
      </c>
      <c r="F4268" t="s">
        <v>21</v>
      </c>
      <c r="G4268">
        <v>9435.8000000000011</v>
      </c>
      <c r="H4268">
        <v>19989</v>
      </c>
      <c r="I4268">
        <v>14</v>
      </c>
      <c r="J4268">
        <v>12</v>
      </c>
      <c r="K4268">
        <v>9</v>
      </c>
      <c r="L4268">
        <v>8</v>
      </c>
      <c r="M4268">
        <v>4</v>
      </c>
      <c r="N4268">
        <v>7</v>
      </c>
      <c r="P4268">
        <f>G4268*I4268/100</f>
        <v>1321.0120000000002</v>
      </c>
      <c r="Q4268">
        <f t="shared" si="43"/>
        <v>113229.6</v>
      </c>
      <c r="R4268">
        <f>K4268/J4268</f>
        <v>0.75</v>
      </c>
    </row>
    <row r="4269" spans="1:18" x14ac:dyDescent="0.3">
      <c r="A4269">
        <v>28</v>
      </c>
      <c r="B4269">
        <v>280</v>
      </c>
      <c r="C4269" t="s">
        <v>26</v>
      </c>
      <c r="D4269" t="s">
        <v>18</v>
      </c>
      <c r="E4269">
        <v>43</v>
      </c>
      <c r="F4269" t="s">
        <v>26</v>
      </c>
      <c r="G4269">
        <v>2976.6000000000004</v>
      </c>
      <c r="H4269">
        <v>10494</v>
      </c>
      <c r="I4269">
        <v>15</v>
      </c>
      <c r="J4269">
        <v>3</v>
      </c>
      <c r="K4269">
        <v>3</v>
      </c>
      <c r="L4269">
        <v>2</v>
      </c>
      <c r="M4269">
        <v>2</v>
      </c>
      <c r="N4269">
        <v>2</v>
      </c>
      <c r="P4269">
        <f>G4269*I4269/100</f>
        <v>446.49000000000007</v>
      </c>
      <c r="Q4269">
        <f t="shared" si="43"/>
        <v>35719.200000000004</v>
      </c>
      <c r="R4269">
        <f>K4269/J4269</f>
        <v>1</v>
      </c>
    </row>
    <row r="4270" spans="1:18" x14ac:dyDescent="0.3">
      <c r="A4270">
        <v>29</v>
      </c>
      <c r="B4270">
        <v>726</v>
      </c>
      <c r="C4270" t="s">
        <v>17</v>
      </c>
      <c r="D4270" t="s">
        <v>18</v>
      </c>
      <c r="E4270">
        <v>93</v>
      </c>
      <c r="F4270" t="s">
        <v>22</v>
      </c>
      <c r="G4270">
        <v>7022.4000000000005</v>
      </c>
      <c r="H4270">
        <v>21143</v>
      </c>
      <c r="I4270">
        <v>17</v>
      </c>
      <c r="J4270">
        <v>11</v>
      </c>
      <c r="K4270">
        <v>7</v>
      </c>
      <c r="L4270">
        <v>0</v>
      </c>
      <c r="M4270">
        <v>1</v>
      </c>
      <c r="N4270">
        <v>6</v>
      </c>
      <c r="P4270">
        <f>G4270*I4270/100</f>
        <v>1193.808</v>
      </c>
      <c r="Q4270">
        <f t="shared" si="43"/>
        <v>84268.800000000003</v>
      </c>
      <c r="R4270">
        <f>K4270/J4270</f>
        <v>0.63636363636363635</v>
      </c>
    </row>
    <row r="4271" spans="1:18" x14ac:dyDescent="0.3">
      <c r="A4271">
        <v>42</v>
      </c>
      <c r="B4271">
        <v>1142</v>
      </c>
      <c r="C4271" t="s">
        <v>17</v>
      </c>
      <c r="D4271" t="s">
        <v>18</v>
      </c>
      <c r="E4271">
        <v>81</v>
      </c>
      <c r="F4271" t="s">
        <v>20</v>
      </c>
      <c r="G4271">
        <v>4364.8</v>
      </c>
      <c r="H4271">
        <v>13624</v>
      </c>
      <c r="I4271">
        <v>13</v>
      </c>
      <c r="J4271">
        <v>8</v>
      </c>
      <c r="K4271">
        <v>0</v>
      </c>
      <c r="L4271">
        <v>0</v>
      </c>
      <c r="M4271">
        <v>0</v>
      </c>
      <c r="N4271">
        <v>0</v>
      </c>
      <c r="P4271">
        <f>G4271*I4271/100</f>
        <v>567.42399999999998</v>
      </c>
      <c r="Q4271">
        <f t="shared" si="43"/>
        <v>52377.600000000006</v>
      </c>
      <c r="R4271">
        <f>K4271/J4271</f>
        <v>0</v>
      </c>
    </row>
    <row r="4272" spans="1:18" x14ac:dyDescent="0.3">
      <c r="A4272">
        <v>32</v>
      </c>
      <c r="B4272">
        <v>414</v>
      </c>
      <c r="C4272" t="s">
        <v>14</v>
      </c>
      <c r="D4272" t="s">
        <v>18</v>
      </c>
      <c r="E4272">
        <v>82</v>
      </c>
      <c r="F4272" t="s">
        <v>16</v>
      </c>
      <c r="G4272">
        <v>10897.7</v>
      </c>
      <c r="H4272">
        <v>26186</v>
      </c>
      <c r="I4272">
        <v>12</v>
      </c>
      <c r="J4272">
        <v>7</v>
      </c>
      <c r="K4272">
        <v>2</v>
      </c>
      <c r="L4272">
        <v>2</v>
      </c>
      <c r="M4272">
        <v>2</v>
      </c>
      <c r="N4272">
        <v>2</v>
      </c>
      <c r="P4272">
        <f>G4272*I4272/100</f>
        <v>1307.7240000000002</v>
      </c>
      <c r="Q4272">
        <f t="shared" si="43"/>
        <v>130772.40000000001</v>
      </c>
      <c r="R4272">
        <f>K4272/J4272</f>
        <v>0.2857142857142857</v>
      </c>
    </row>
    <row r="4273" spans="1:18" x14ac:dyDescent="0.3">
      <c r="A4273">
        <v>46</v>
      </c>
      <c r="B4273">
        <v>1319</v>
      </c>
      <c r="C4273" t="s">
        <v>14</v>
      </c>
      <c r="D4273" t="s">
        <v>15</v>
      </c>
      <c r="E4273">
        <v>45</v>
      </c>
      <c r="F4273" t="s">
        <v>16</v>
      </c>
      <c r="G4273">
        <v>14547.500000000002</v>
      </c>
      <c r="H4273">
        <v>7739</v>
      </c>
      <c r="I4273">
        <v>12</v>
      </c>
      <c r="J4273">
        <v>25</v>
      </c>
      <c r="K4273">
        <v>19</v>
      </c>
      <c r="L4273">
        <v>17</v>
      </c>
      <c r="M4273">
        <v>2</v>
      </c>
      <c r="N4273">
        <v>8</v>
      </c>
      <c r="P4273">
        <f>G4273*I4273/100</f>
        <v>1745.7000000000003</v>
      </c>
      <c r="Q4273">
        <f t="shared" si="43"/>
        <v>174570.00000000003</v>
      </c>
      <c r="R4273">
        <f>K4273/J4273</f>
        <v>0.76</v>
      </c>
    </row>
    <row r="4274" spans="1:18" x14ac:dyDescent="0.3">
      <c r="A4274">
        <v>27</v>
      </c>
      <c r="B4274">
        <v>728</v>
      </c>
      <c r="C4274" t="s">
        <v>14</v>
      </c>
      <c r="D4274" t="s">
        <v>15</v>
      </c>
      <c r="E4274">
        <v>36</v>
      </c>
      <c r="F4274" t="s">
        <v>24</v>
      </c>
      <c r="G4274">
        <v>3894.0000000000005</v>
      </c>
      <c r="H4274">
        <v>7018</v>
      </c>
      <c r="I4274">
        <v>21</v>
      </c>
      <c r="J4274">
        <v>9</v>
      </c>
      <c r="K4274">
        <v>9</v>
      </c>
      <c r="L4274">
        <v>8</v>
      </c>
      <c r="M4274">
        <v>5</v>
      </c>
      <c r="N4274">
        <v>8</v>
      </c>
      <c r="P4274">
        <f>G4274*I4274/100</f>
        <v>817.74000000000012</v>
      </c>
      <c r="Q4274">
        <f t="shared" si="43"/>
        <v>46728.000000000007</v>
      </c>
      <c r="R4274">
        <f>K4274/J4274</f>
        <v>1</v>
      </c>
    </row>
    <row r="4275" spans="1:18" x14ac:dyDescent="0.3">
      <c r="A4275">
        <v>29</v>
      </c>
      <c r="B4275">
        <v>352</v>
      </c>
      <c r="C4275" t="s">
        <v>26</v>
      </c>
      <c r="D4275" t="s">
        <v>18</v>
      </c>
      <c r="E4275">
        <v>87</v>
      </c>
      <c r="F4275" t="s">
        <v>26</v>
      </c>
      <c r="G4275">
        <v>3084.4</v>
      </c>
      <c r="H4275">
        <v>15434</v>
      </c>
      <c r="I4275">
        <v>11</v>
      </c>
      <c r="J4275">
        <v>1</v>
      </c>
      <c r="K4275">
        <v>1</v>
      </c>
      <c r="L4275">
        <v>0</v>
      </c>
      <c r="M4275">
        <v>0</v>
      </c>
      <c r="N4275">
        <v>0</v>
      </c>
      <c r="P4275">
        <f>G4275*I4275/100</f>
        <v>339.28399999999999</v>
      </c>
      <c r="Q4275">
        <f t="shared" si="43"/>
        <v>37012.800000000003</v>
      </c>
      <c r="R4275">
        <f>K4275/J4275</f>
        <v>1</v>
      </c>
    </row>
    <row r="4276" spans="1:18" x14ac:dyDescent="0.3">
      <c r="A4276">
        <v>43</v>
      </c>
      <c r="B4276">
        <v>823</v>
      </c>
      <c r="C4276" t="s">
        <v>17</v>
      </c>
      <c r="D4276" t="s">
        <v>15</v>
      </c>
      <c r="E4276">
        <v>81</v>
      </c>
      <c r="F4276" t="s">
        <v>23</v>
      </c>
      <c r="G4276">
        <v>21331.200000000001</v>
      </c>
      <c r="H4276">
        <v>22539</v>
      </c>
      <c r="I4276">
        <v>13</v>
      </c>
      <c r="J4276">
        <v>21</v>
      </c>
      <c r="K4276">
        <v>16</v>
      </c>
      <c r="L4276">
        <v>12</v>
      </c>
      <c r="M4276">
        <v>6</v>
      </c>
      <c r="N4276">
        <v>14</v>
      </c>
      <c r="P4276">
        <f>G4276*I4276/100</f>
        <v>2773.0560000000005</v>
      </c>
      <c r="Q4276">
        <f t="shared" si="43"/>
        <v>255974.40000000002</v>
      </c>
      <c r="R4276">
        <f>K4276/J4276</f>
        <v>0.76190476190476186</v>
      </c>
    </row>
    <row r="4277" spans="1:18" x14ac:dyDescent="0.3">
      <c r="A4277">
        <v>48</v>
      </c>
      <c r="B4277">
        <v>1224</v>
      </c>
      <c r="C4277" t="s">
        <v>17</v>
      </c>
      <c r="D4277" t="s">
        <v>18</v>
      </c>
      <c r="E4277">
        <v>91</v>
      </c>
      <c r="F4277" t="s">
        <v>25</v>
      </c>
      <c r="G4277">
        <v>21631.5</v>
      </c>
      <c r="H4277">
        <v>13583</v>
      </c>
      <c r="I4277">
        <v>12</v>
      </c>
      <c r="J4277">
        <v>29</v>
      </c>
      <c r="K4277">
        <v>22</v>
      </c>
      <c r="L4277">
        <v>10</v>
      </c>
      <c r="M4277">
        <v>12</v>
      </c>
      <c r="N4277">
        <v>9</v>
      </c>
      <c r="P4277">
        <f>G4277*I4277/100</f>
        <v>2595.7800000000002</v>
      </c>
      <c r="Q4277">
        <f t="shared" si="43"/>
        <v>259578</v>
      </c>
      <c r="R4277">
        <f>K4277/J4277</f>
        <v>0.75862068965517238</v>
      </c>
    </row>
    <row r="4278" spans="1:18" x14ac:dyDescent="0.3">
      <c r="A4278">
        <v>29</v>
      </c>
      <c r="B4278">
        <v>459</v>
      </c>
      <c r="C4278" t="s">
        <v>17</v>
      </c>
      <c r="D4278" t="s">
        <v>18</v>
      </c>
      <c r="E4278">
        <v>73</v>
      </c>
      <c r="F4278" t="s">
        <v>19</v>
      </c>
      <c r="G4278">
        <v>2682.9</v>
      </c>
      <c r="H4278">
        <v>14753</v>
      </c>
      <c r="I4278">
        <v>24</v>
      </c>
      <c r="J4278">
        <v>1</v>
      </c>
      <c r="K4278">
        <v>1</v>
      </c>
      <c r="L4278">
        <v>0</v>
      </c>
      <c r="M4278">
        <v>1</v>
      </c>
      <c r="N4278">
        <v>0</v>
      </c>
      <c r="P4278">
        <f>G4278*I4278/100</f>
        <v>643.89600000000007</v>
      </c>
      <c r="Q4278">
        <f t="shared" si="43"/>
        <v>32194.800000000003</v>
      </c>
      <c r="R4278">
        <f>K4278/J4278</f>
        <v>1</v>
      </c>
    </row>
    <row r="4279" spans="1:18" x14ac:dyDescent="0.3">
      <c r="A4279">
        <v>46</v>
      </c>
      <c r="B4279">
        <v>1254</v>
      </c>
      <c r="C4279" t="s">
        <v>14</v>
      </c>
      <c r="D4279" t="s">
        <v>15</v>
      </c>
      <c r="E4279">
        <v>64</v>
      </c>
      <c r="F4279" t="s">
        <v>16</v>
      </c>
      <c r="G4279">
        <v>8045.4000000000005</v>
      </c>
      <c r="H4279">
        <v>14011</v>
      </c>
      <c r="I4279">
        <v>21</v>
      </c>
      <c r="J4279">
        <v>14</v>
      </c>
      <c r="K4279">
        <v>8</v>
      </c>
      <c r="L4279">
        <v>7</v>
      </c>
      <c r="M4279">
        <v>0</v>
      </c>
      <c r="N4279">
        <v>7</v>
      </c>
      <c r="P4279">
        <f>G4279*I4279/100</f>
        <v>1689.5340000000003</v>
      </c>
      <c r="Q4279">
        <f t="shared" si="43"/>
        <v>96544.8</v>
      </c>
      <c r="R4279">
        <f>K4279/J4279</f>
        <v>0.5714285714285714</v>
      </c>
    </row>
    <row r="4280" spans="1:18" x14ac:dyDescent="0.3">
      <c r="A4280">
        <v>27</v>
      </c>
      <c r="B4280">
        <v>1131</v>
      </c>
      <c r="C4280" t="s">
        <v>17</v>
      </c>
      <c r="D4280" t="s">
        <v>15</v>
      </c>
      <c r="E4280">
        <v>77</v>
      </c>
      <c r="F4280" t="s">
        <v>19</v>
      </c>
      <c r="G4280">
        <v>5251.4000000000005</v>
      </c>
      <c r="H4280">
        <v>23844</v>
      </c>
      <c r="I4280">
        <v>19</v>
      </c>
      <c r="J4280">
        <v>8</v>
      </c>
      <c r="K4280">
        <v>7</v>
      </c>
      <c r="L4280">
        <v>6</v>
      </c>
      <c r="M4280">
        <v>7</v>
      </c>
      <c r="N4280">
        <v>3</v>
      </c>
      <c r="P4280">
        <f>G4280*I4280/100</f>
        <v>997.76600000000008</v>
      </c>
      <c r="Q4280">
        <f t="shared" si="43"/>
        <v>63016.800000000003</v>
      </c>
      <c r="R4280">
        <f>K4280/J4280</f>
        <v>0.875</v>
      </c>
    </row>
    <row r="4281" spans="1:18" x14ac:dyDescent="0.3">
      <c r="A4281">
        <v>39</v>
      </c>
      <c r="B4281">
        <v>835</v>
      </c>
      <c r="C4281" t="s">
        <v>17</v>
      </c>
      <c r="D4281" t="s">
        <v>18</v>
      </c>
      <c r="E4281">
        <v>41</v>
      </c>
      <c r="F4281" t="s">
        <v>19</v>
      </c>
      <c r="G4281">
        <v>4292.2000000000007</v>
      </c>
      <c r="H4281">
        <v>5141</v>
      </c>
      <c r="I4281">
        <v>14</v>
      </c>
      <c r="J4281">
        <v>7</v>
      </c>
      <c r="K4281">
        <v>2</v>
      </c>
      <c r="L4281">
        <v>2</v>
      </c>
      <c r="M4281">
        <v>2</v>
      </c>
      <c r="N4281">
        <v>2</v>
      </c>
      <c r="P4281">
        <f>G4281*I4281/100</f>
        <v>600.90800000000013</v>
      </c>
      <c r="Q4281">
        <f t="shared" si="43"/>
        <v>51506.400000000009</v>
      </c>
      <c r="R4281">
        <f>K4281/J4281</f>
        <v>0.2857142857142857</v>
      </c>
    </row>
    <row r="4282" spans="1:18" x14ac:dyDescent="0.3">
      <c r="A4282">
        <v>55</v>
      </c>
      <c r="B4282">
        <v>836</v>
      </c>
      <c r="C4282" t="s">
        <v>17</v>
      </c>
      <c r="D4282" t="s">
        <v>18</v>
      </c>
      <c r="E4282">
        <v>98</v>
      </c>
      <c r="F4282" t="s">
        <v>19</v>
      </c>
      <c r="G4282">
        <v>2928.2000000000003</v>
      </c>
      <c r="H4282">
        <v>7975</v>
      </c>
      <c r="I4282">
        <v>20</v>
      </c>
      <c r="J4282">
        <v>19</v>
      </c>
      <c r="K4282">
        <v>5</v>
      </c>
      <c r="L4282">
        <v>2</v>
      </c>
      <c r="M4282">
        <v>0</v>
      </c>
      <c r="N4282">
        <v>4</v>
      </c>
      <c r="P4282">
        <f>G4282*I4282/100</f>
        <v>585.6400000000001</v>
      </c>
      <c r="Q4282">
        <f t="shared" si="43"/>
        <v>35138.400000000001</v>
      </c>
      <c r="R4282">
        <f>K4282/J4282</f>
        <v>0.26315789473684209</v>
      </c>
    </row>
    <row r="4283" spans="1:18" x14ac:dyDescent="0.3">
      <c r="A4283">
        <v>28</v>
      </c>
      <c r="B4283">
        <v>1172</v>
      </c>
      <c r="C4283" t="s">
        <v>14</v>
      </c>
      <c r="D4283" t="s">
        <v>15</v>
      </c>
      <c r="E4283">
        <v>78</v>
      </c>
      <c r="F4283" t="s">
        <v>24</v>
      </c>
      <c r="G4283">
        <v>3141.6000000000004</v>
      </c>
      <c r="H4283">
        <v>3692</v>
      </c>
      <c r="I4283">
        <v>19</v>
      </c>
      <c r="J4283">
        <v>1</v>
      </c>
      <c r="K4283">
        <v>1</v>
      </c>
      <c r="L4283">
        <v>0</v>
      </c>
      <c r="M4283">
        <v>0</v>
      </c>
      <c r="N4283">
        <v>0</v>
      </c>
      <c r="P4283">
        <f>G4283*I4283/100</f>
        <v>596.90400000000011</v>
      </c>
      <c r="Q4283">
        <f t="shared" si="43"/>
        <v>37699.200000000004</v>
      </c>
      <c r="R4283">
        <f>K4283/J4283</f>
        <v>1</v>
      </c>
    </row>
    <row r="4284" spans="1:18" x14ac:dyDescent="0.3">
      <c r="A4284">
        <v>30</v>
      </c>
      <c r="B4284">
        <v>945</v>
      </c>
      <c r="C4284" t="s">
        <v>14</v>
      </c>
      <c r="D4284" t="s">
        <v>18</v>
      </c>
      <c r="E4284">
        <v>89</v>
      </c>
      <c r="F4284" t="s">
        <v>24</v>
      </c>
      <c r="G4284">
        <v>1189.1000000000001</v>
      </c>
      <c r="H4284">
        <v>16019</v>
      </c>
      <c r="I4284">
        <v>13</v>
      </c>
      <c r="J4284">
        <v>1</v>
      </c>
      <c r="K4284">
        <v>1</v>
      </c>
      <c r="L4284">
        <v>0</v>
      </c>
      <c r="M4284">
        <v>0</v>
      </c>
      <c r="N4284">
        <v>0</v>
      </c>
      <c r="P4284">
        <f>G4284*I4284/100</f>
        <v>154.583</v>
      </c>
      <c r="Q4284">
        <f t="shared" si="43"/>
        <v>14269.2</v>
      </c>
      <c r="R4284">
        <f>K4284/J4284</f>
        <v>1</v>
      </c>
    </row>
    <row r="4285" spans="1:18" x14ac:dyDescent="0.3">
      <c r="A4285">
        <v>22</v>
      </c>
      <c r="B4285">
        <v>391</v>
      </c>
      <c r="C4285" t="s">
        <v>17</v>
      </c>
      <c r="D4285" t="s">
        <v>18</v>
      </c>
      <c r="E4285">
        <v>75</v>
      </c>
      <c r="F4285" t="s">
        <v>19</v>
      </c>
      <c r="G4285">
        <v>2719.2000000000003</v>
      </c>
      <c r="H4285">
        <v>26092</v>
      </c>
      <c r="I4285">
        <v>23</v>
      </c>
      <c r="J4285">
        <v>1</v>
      </c>
      <c r="K4285">
        <v>1</v>
      </c>
      <c r="L4285">
        <v>0</v>
      </c>
      <c r="M4285">
        <v>0</v>
      </c>
      <c r="N4285">
        <v>0</v>
      </c>
      <c r="P4285">
        <f>G4285*I4285/100</f>
        <v>625.41600000000005</v>
      </c>
      <c r="Q4285">
        <f t="shared" si="43"/>
        <v>32630.400000000001</v>
      </c>
      <c r="R4285">
        <f>K4285/J4285</f>
        <v>1</v>
      </c>
    </row>
    <row r="4286" spans="1:18" x14ac:dyDescent="0.3">
      <c r="A4286">
        <v>36</v>
      </c>
      <c r="B4286">
        <v>1266</v>
      </c>
      <c r="C4286" t="s">
        <v>14</v>
      </c>
      <c r="D4286" t="s">
        <v>15</v>
      </c>
      <c r="E4286">
        <v>63</v>
      </c>
      <c r="F4286" t="s">
        <v>16</v>
      </c>
      <c r="G4286">
        <v>6240.3</v>
      </c>
      <c r="H4286">
        <v>6060</v>
      </c>
      <c r="I4286">
        <v>13</v>
      </c>
      <c r="J4286">
        <v>10</v>
      </c>
      <c r="K4286">
        <v>10</v>
      </c>
      <c r="L4286">
        <v>9</v>
      </c>
      <c r="M4286">
        <v>1</v>
      </c>
      <c r="N4286">
        <v>7</v>
      </c>
      <c r="P4286">
        <f>G4286*I4286/100</f>
        <v>811.23900000000003</v>
      </c>
      <c r="Q4286">
        <f t="shared" si="43"/>
        <v>74883.600000000006</v>
      </c>
      <c r="R4286">
        <f>K4286/J4286</f>
        <v>1</v>
      </c>
    </row>
    <row r="4287" spans="1:18" x14ac:dyDescent="0.3">
      <c r="A4287">
        <v>31</v>
      </c>
      <c r="B4287">
        <v>311</v>
      </c>
      <c r="C4287" t="s">
        <v>17</v>
      </c>
      <c r="D4287" t="s">
        <v>18</v>
      </c>
      <c r="E4287">
        <v>89</v>
      </c>
      <c r="F4287" t="s">
        <v>20</v>
      </c>
      <c r="G4287">
        <v>4616.7000000000007</v>
      </c>
      <c r="H4287">
        <v>18624</v>
      </c>
      <c r="I4287">
        <v>11</v>
      </c>
      <c r="J4287">
        <v>10</v>
      </c>
      <c r="K4287">
        <v>10</v>
      </c>
      <c r="L4287">
        <v>8</v>
      </c>
      <c r="M4287">
        <v>0</v>
      </c>
      <c r="N4287">
        <v>2</v>
      </c>
      <c r="P4287">
        <f>G4287*I4287/100</f>
        <v>507.8370000000001</v>
      </c>
      <c r="Q4287">
        <f t="shared" si="43"/>
        <v>55400.400000000009</v>
      </c>
      <c r="R4287">
        <f>K4287/J4287</f>
        <v>1</v>
      </c>
    </row>
    <row r="4288" spans="1:18" x14ac:dyDescent="0.3">
      <c r="A4288">
        <v>34</v>
      </c>
      <c r="B4288">
        <v>1480</v>
      </c>
      <c r="C4288" t="s">
        <v>14</v>
      </c>
      <c r="D4288" t="s">
        <v>18</v>
      </c>
      <c r="E4288">
        <v>64</v>
      </c>
      <c r="F4288" t="s">
        <v>16</v>
      </c>
      <c r="G4288">
        <v>10684.300000000001</v>
      </c>
      <c r="H4288">
        <v>24444</v>
      </c>
      <c r="I4288">
        <v>13</v>
      </c>
      <c r="J4288">
        <v>9</v>
      </c>
      <c r="K4288">
        <v>5</v>
      </c>
      <c r="L4288">
        <v>3</v>
      </c>
      <c r="M4288">
        <v>1</v>
      </c>
      <c r="N4288">
        <v>0</v>
      </c>
      <c r="P4288">
        <f>G4288*I4288/100</f>
        <v>1388.9590000000003</v>
      </c>
      <c r="Q4288">
        <f t="shared" si="43"/>
        <v>128211.6</v>
      </c>
      <c r="R4288">
        <f>K4288/J4288</f>
        <v>0.55555555555555558</v>
      </c>
    </row>
    <row r="4289" spans="1:18" x14ac:dyDescent="0.3">
      <c r="A4289">
        <v>29</v>
      </c>
      <c r="B4289">
        <v>592</v>
      </c>
      <c r="C4289" t="s">
        <v>17</v>
      </c>
      <c r="D4289" t="s">
        <v>18</v>
      </c>
      <c r="E4289">
        <v>59</v>
      </c>
      <c r="F4289" t="s">
        <v>20</v>
      </c>
      <c r="G4289">
        <v>2268.2000000000003</v>
      </c>
      <c r="H4289">
        <v>19384</v>
      </c>
      <c r="I4289">
        <v>14</v>
      </c>
      <c r="J4289">
        <v>11</v>
      </c>
      <c r="K4289">
        <v>3</v>
      </c>
      <c r="L4289">
        <v>2</v>
      </c>
      <c r="M4289">
        <v>1</v>
      </c>
      <c r="N4289">
        <v>2</v>
      </c>
      <c r="P4289">
        <f>G4289*I4289/100</f>
        <v>317.548</v>
      </c>
      <c r="Q4289">
        <f t="shared" si="43"/>
        <v>27218.400000000001</v>
      </c>
      <c r="R4289">
        <f>K4289/J4289</f>
        <v>0.27272727272727271</v>
      </c>
    </row>
    <row r="4290" spans="1:18" x14ac:dyDescent="0.3">
      <c r="A4290">
        <v>37</v>
      </c>
      <c r="B4290">
        <v>783</v>
      </c>
      <c r="C4290" t="s">
        <v>17</v>
      </c>
      <c r="D4290" t="s">
        <v>18</v>
      </c>
      <c r="E4290">
        <v>78</v>
      </c>
      <c r="F4290" t="s">
        <v>19</v>
      </c>
      <c r="G4290">
        <v>4712.4000000000005</v>
      </c>
      <c r="H4290">
        <v>13588</v>
      </c>
      <c r="I4290">
        <v>22</v>
      </c>
      <c r="J4290">
        <v>16</v>
      </c>
      <c r="K4290">
        <v>5</v>
      </c>
      <c r="L4290">
        <v>3</v>
      </c>
      <c r="M4290">
        <v>0</v>
      </c>
      <c r="N4290">
        <v>4</v>
      </c>
      <c r="P4290">
        <f>G4290*I4290/100</f>
        <v>1036.7280000000001</v>
      </c>
      <c r="Q4290">
        <f t="shared" si="43"/>
        <v>56548.800000000003</v>
      </c>
      <c r="R4290">
        <f>K4290/J4290</f>
        <v>0.3125</v>
      </c>
    </row>
    <row r="4291" spans="1:18" x14ac:dyDescent="0.3">
      <c r="A4291">
        <v>35</v>
      </c>
      <c r="B4291">
        <v>219</v>
      </c>
      <c r="C4291" t="s">
        <v>17</v>
      </c>
      <c r="D4291" t="s">
        <v>15</v>
      </c>
      <c r="E4291">
        <v>44</v>
      </c>
      <c r="F4291" t="s">
        <v>21</v>
      </c>
      <c r="G4291">
        <v>5266.8</v>
      </c>
      <c r="H4291">
        <v>25388</v>
      </c>
      <c r="I4291">
        <v>11</v>
      </c>
      <c r="J4291">
        <v>4</v>
      </c>
      <c r="K4291">
        <v>3</v>
      </c>
      <c r="L4291">
        <v>2</v>
      </c>
      <c r="M4291">
        <v>0</v>
      </c>
      <c r="N4291">
        <v>2</v>
      </c>
      <c r="P4291">
        <f>G4291*I4291/100</f>
        <v>579.34800000000007</v>
      </c>
      <c r="Q4291">
        <f t="shared" ref="Q4291:Q4354" si="44">G4291*12</f>
        <v>63201.600000000006</v>
      </c>
      <c r="R4291">
        <f>K4291/J4291</f>
        <v>0.75</v>
      </c>
    </row>
    <row r="4292" spans="1:18" x14ac:dyDescent="0.3">
      <c r="A4292">
        <v>45</v>
      </c>
      <c r="B4292">
        <v>556</v>
      </c>
      <c r="C4292" t="s">
        <v>17</v>
      </c>
      <c r="D4292" t="s">
        <v>15</v>
      </c>
      <c r="E4292">
        <v>93</v>
      </c>
      <c r="F4292" t="s">
        <v>21</v>
      </c>
      <c r="G4292">
        <v>6496.6</v>
      </c>
      <c r="H4292">
        <v>23888</v>
      </c>
      <c r="I4292">
        <v>13</v>
      </c>
      <c r="J4292">
        <v>10</v>
      </c>
      <c r="K4292">
        <v>9</v>
      </c>
      <c r="L4292">
        <v>8</v>
      </c>
      <c r="M4292">
        <v>3</v>
      </c>
      <c r="N4292">
        <v>8</v>
      </c>
      <c r="P4292">
        <f>G4292*I4292/100</f>
        <v>844.55799999999999</v>
      </c>
      <c r="Q4292">
        <f t="shared" si="44"/>
        <v>77959.200000000012</v>
      </c>
      <c r="R4292">
        <f>K4292/J4292</f>
        <v>0.9</v>
      </c>
    </row>
    <row r="4293" spans="1:18" x14ac:dyDescent="0.3">
      <c r="A4293">
        <v>36</v>
      </c>
      <c r="B4293">
        <v>1213</v>
      </c>
      <c r="C4293" t="s">
        <v>26</v>
      </c>
      <c r="D4293" t="s">
        <v>18</v>
      </c>
      <c r="E4293">
        <v>94</v>
      </c>
      <c r="F4293" t="s">
        <v>26</v>
      </c>
      <c r="G4293">
        <v>4274.6000000000004</v>
      </c>
      <c r="H4293">
        <v>4223</v>
      </c>
      <c r="I4293">
        <v>21</v>
      </c>
      <c r="J4293">
        <v>10</v>
      </c>
      <c r="K4293">
        <v>10</v>
      </c>
      <c r="L4293">
        <v>1</v>
      </c>
      <c r="M4293">
        <v>0</v>
      </c>
      <c r="N4293">
        <v>8</v>
      </c>
      <c r="P4293">
        <f>G4293*I4293/100</f>
        <v>897.66600000000005</v>
      </c>
      <c r="Q4293">
        <f t="shared" si="44"/>
        <v>51295.200000000004</v>
      </c>
      <c r="R4293">
        <f>K4293/J4293</f>
        <v>1</v>
      </c>
    </row>
    <row r="4294" spans="1:18" x14ac:dyDescent="0.3">
      <c r="A4294">
        <v>40</v>
      </c>
      <c r="B4294">
        <v>1137</v>
      </c>
      <c r="C4294" t="s">
        <v>17</v>
      </c>
      <c r="D4294" t="s">
        <v>18</v>
      </c>
      <c r="E4294">
        <v>98</v>
      </c>
      <c r="F4294" t="s">
        <v>23</v>
      </c>
      <c r="G4294">
        <v>18505.300000000003</v>
      </c>
      <c r="H4294">
        <v>18991</v>
      </c>
      <c r="I4294">
        <v>11</v>
      </c>
      <c r="J4294">
        <v>22</v>
      </c>
      <c r="K4294">
        <v>19</v>
      </c>
      <c r="L4294">
        <v>7</v>
      </c>
      <c r="M4294">
        <v>11</v>
      </c>
      <c r="N4294">
        <v>16</v>
      </c>
      <c r="P4294">
        <f>G4294*I4294/100</f>
        <v>2035.5830000000005</v>
      </c>
      <c r="Q4294">
        <f t="shared" si="44"/>
        <v>222063.60000000003</v>
      </c>
      <c r="R4294">
        <f>K4294/J4294</f>
        <v>0.86363636363636365</v>
      </c>
    </row>
    <row r="4295" spans="1:18" x14ac:dyDescent="0.3">
      <c r="A4295">
        <v>26</v>
      </c>
      <c r="B4295">
        <v>482</v>
      </c>
      <c r="C4295" t="s">
        <v>17</v>
      </c>
      <c r="D4295" t="s">
        <v>15</v>
      </c>
      <c r="E4295">
        <v>90</v>
      </c>
      <c r="F4295" t="s">
        <v>19</v>
      </c>
      <c r="G4295">
        <v>3226.3</v>
      </c>
      <c r="H4295">
        <v>14908</v>
      </c>
      <c r="I4295">
        <v>13</v>
      </c>
      <c r="J4295">
        <v>1</v>
      </c>
      <c r="K4295">
        <v>1</v>
      </c>
      <c r="L4295">
        <v>0</v>
      </c>
      <c r="M4295">
        <v>1</v>
      </c>
      <c r="N4295">
        <v>0</v>
      </c>
      <c r="P4295">
        <f>G4295*I4295/100</f>
        <v>419.41900000000004</v>
      </c>
      <c r="Q4295">
        <f t="shared" si="44"/>
        <v>38715.600000000006</v>
      </c>
      <c r="R4295">
        <f>K4295/J4295</f>
        <v>1</v>
      </c>
    </row>
    <row r="4296" spans="1:18" x14ac:dyDescent="0.3">
      <c r="A4296">
        <v>27</v>
      </c>
      <c r="B4296">
        <v>511</v>
      </c>
      <c r="C4296" t="s">
        <v>14</v>
      </c>
      <c r="D4296" t="s">
        <v>15</v>
      </c>
      <c r="E4296">
        <v>89</v>
      </c>
      <c r="F4296" t="s">
        <v>16</v>
      </c>
      <c r="G4296">
        <v>7150.0000000000009</v>
      </c>
      <c r="H4296">
        <v>26997</v>
      </c>
      <c r="I4296">
        <v>14</v>
      </c>
      <c r="J4296">
        <v>9</v>
      </c>
      <c r="K4296">
        <v>8</v>
      </c>
      <c r="L4296">
        <v>7</v>
      </c>
      <c r="M4296">
        <v>0</v>
      </c>
      <c r="N4296">
        <v>7</v>
      </c>
      <c r="P4296">
        <f>G4296*I4296/100</f>
        <v>1001.0000000000001</v>
      </c>
      <c r="Q4296">
        <f t="shared" si="44"/>
        <v>85800.000000000015</v>
      </c>
      <c r="R4296">
        <f>K4296/J4296</f>
        <v>0.88888888888888884</v>
      </c>
    </row>
    <row r="4297" spans="1:18" x14ac:dyDescent="0.3">
      <c r="A4297">
        <v>48</v>
      </c>
      <c r="B4297">
        <v>117</v>
      </c>
      <c r="C4297" t="s">
        <v>17</v>
      </c>
      <c r="D4297" t="s">
        <v>15</v>
      </c>
      <c r="E4297">
        <v>58</v>
      </c>
      <c r="F4297" t="s">
        <v>23</v>
      </c>
      <c r="G4297">
        <v>18891.400000000001</v>
      </c>
      <c r="H4297">
        <v>2437</v>
      </c>
      <c r="I4297">
        <v>11</v>
      </c>
      <c r="J4297">
        <v>24</v>
      </c>
      <c r="K4297">
        <v>22</v>
      </c>
      <c r="L4297">
        <v>17</v>
      </c>
      <c r="M4297">
        <v>4</v>
      </c>
      <c r="N4297">
        <v>7</v>
      </c>
      <c r="P4297">
        <f>G4297*I4297/100</f>
        <v>2078.0540000000001</v>
      </c>
      <c r="Q4297">
        <f t="shared" si="44"/>
        <v>226696.80000000002</v>
      </c>
      <c r="R4297">
        <f>K4297/J4297</f>
        <v>0.91666666666666663</v>
      </c>
    </row>
    <row r="4298" spans="1:18" x14ac:dyDescent="0.3">
      <c r="A4298">
        <v>44</v>
      </c>
      <c r="B4298">
        <v>170</v>
      </c>
      <c r="C4298" t="s">
        <v>17</v>
      </c>
      <c r="D4298" t="s">
        <v>18</v>
      </c>
      <c r="E4298">
        <v>78</v>
      </c>
      <c r="F4298" t="s">
        <v>22</v>
      </c>
      <c r="G4298">
        <v>5536.3</v>
      </c>
      <c r="H4298">
        <v>9364</v>
      </c>
      <c r="I4298">
        <v>15</v>
      </c>
      <c r="J4298">
        <v>10</v>
      </c>
      <c r="K4298">
        <v>2</v>
      </c>
      <c r="L4298">
        <v>0</v>
      </c>
      <c r="M4298">
        <v>2</v>
      </c>
      <c r="N4298">
        <v>2</v>
      </c>
      <c r="P4298">
        <f>G4298*I4298/100</f>
        <v>830.44500000000005</v>
      </c>
      <c r="Q4298">
        <f t="shared" si="44"/>
        <v>66435.600000000006</v>
      </c>
      <c r="R4298">
        <f>K4298/J4298</f>
        <v>0.2</v>
      </c>
    </row>
    <row r="4299" spans="1:18" x14ac:dyDescent="0.3">
      <c r="A4299">
        <v>34</v>
      </c>
      <c r="B4299">
        <v>967</v>
      </c>
      <c r="C4299" t="s">
        <v>17</v>
      </c>
      <c r="D4299" t="s">
        <v>18</v>
      </c>
      <c r="E4299">
        <v>85</v>
      </c>
      <c r="F4299" t="s">
        <v>19</v>
      </c>
      <c r="G4299">
        <v>2537.7000000000003</v>
      </c>
      <c r="H4299">
        <v>14460</v>
      </c>
      <c r="I4299">
        <v>23</v>
      </c>
      <c r="J4299">
        <v>5</v>
      </c>
      <c r="K4299">
        <v>5</v>
      </c>
      <c r="L4299">
        <v>2</v>
      </c>
      <c r="M4299">
        <v>3</v>
      </c>
      <c r="N4299">
        <v>0</v>
      </c>
      <c r="P4299">
        <f>G4299*I4299/100</f>
        <v>583.67100000000005</v>
      </c>
      <c r="Q4299">
        <f t="shared" si="44"/>
        <v>30452.400000000001</v>
      </c>
      <c r="R4299">
        <f>K4299/J4299</f>
        <v>1</v>
      </c>
    </row>
    <row r="4300" spans="1:18" x14ac:dyDescent="0.3">
      <c r="A4300">
        <v>56</v>
      </c>
      <c r="B4300">
        <v>1162</v>
      </c>
      <c r="C4300" t="s">
        <v>17</v>
      </c>
      <c r="D4300" t="s">
        <v>18</v>
      </c>
      <c r="E4300">
        <v>97</v>
      </c>
      <c r="F4300" t="s">
        <v>20</v>
      </c>
      <c r="G4300">
        <v>2845.7000000000003</v>
      </c>
      <c r="H4300">
        <v>10261</v>
      </c>
      <c r="I4300">
        <v>16</v>
      </c>
      <c r="J4300">
        <v>5</v>
      </c>
      <c r="K4300">
        <v>4</v>
      </c>
      <c r="L4300">
        <v>2</v>
      </c>
      <c r="M4300">
        <v>1</v>
      </c>
      <c r="N4300">
        <v>0</v>
      </c>
      <c r="P4300">
        <f>G4300*I4300/100</f>
        <v>455.31200000000007</v>
      </c>
      <c r="Q4300">
        <f t="shared" si="44"/>
        <v>34148.400000000001</v>
      </c>
      <c r="R4300">
        <f>K4300/J4300</f>
        <v>0.8</v>
      </c>
    </row>
    <row r="4301" spans="1:18" x14ac:dyDescent="0.3">
      <c r="A4301">
        <v>36</v>
      </c>
      <c r="B4301">
        <v>335</v>
      </c>
      <c r="C4301" t="s">
        <v>14</v>
      </c>
      <c r="D4301" t="s">
        <v>18</v>
      </c>
      <c r="E4301">
        <v>33</v>
      </c>
      <c r="F4301" t="s">
        <v>16</v>
      </c>
      <c r="G4301">
        <v>6057.7000000000007</v>
      </c>
      <c r="H4301">
        <v>16822</v>
      </c>
      <c r="I4301">
        <v>16</v>
      </c>
      <c r="J4301">
        <v>12</v>
      </c>
      <c r="K4301">
        <v>4</v>
      </c>
      <c r="L4301">
        <v>2</v>
      </c>
      <c r="M4301">
        <v>1</v>
      </c>
      <c r="N4301">
        <v>3</v>
      </c>
      <c r="P4301">
        <f>G4301*I4301/100</f>
        <v>969.23200000000008</v>
      </c>
      <c r="Q4301">
        <f t="shared" si="44"/>
        <v>72692.400000000009</v>
      </c>
      <c r="R4301">
        <f>K4301/J4301</f>
        <v>0.33333333333333331</v>
      </c>
    </row>
    <row r="4302" spans="1:18" x14ac:dyDescent="0.3">
      <c r="A4302">
        <v>41</v>
      </c>
      <c r="B4302">
        <v>337</v>
      </c>
      <c r="C4302" t="s">
        <v>14</v>
      </c>
      <c r="D4302" t="s">
        <v>15</v>
      </c>
      <c r="E4302">
        <v>54</v>
      </c>
      <c r="F4302" t="s">
        <v>16</v>
      </c>
      <c r="G4302">
        <v>4832.3</v>
      </c>
      <c r="H4302">
        <v>26841</v>
      </c>
      <c r="I4302">
        <v>21</v>
      </c>
      <c r="J4302">
        <v>14</v>
      </c>
      <c r="K4302">
        <v>5</v>
      </c>
      <c r="L4302">
        <v>4</v>
      </c>
      <c r="M4302">
        <v>1</v>
      </c>
      <c r="N4302">
        <v>4</v>
      </c>
      <c r="P4302">
        <f>G4302*I4302/100</f>
        <v>1014.783</v>
      </c>
      <c r="Q4302">
        <f t="shared" si="44"/>
        <v>57987.600000000006</v>
      </c>
      <c r="R4302">
        <f>K4302/J4302</f>
        <v>0.35714285714285715</v>
      </c>
    </row>
    <row r="4303" spans="1:18" x14ac:dyDescent="0.3">
      <c r="A4303">
        <v>42</v>
      </c>
      <c r="B4303">
        <v>1396</v>
      </c>
      <c r="C4303" t="s">
        <v>17</v>
      </c>
      <c r="D4303" t="s">
        <v>18</v>
      </c>
      <c r="E4303">
        <v>83</v>
      </c>
      <c r="F4303" t="s">
        <v>25</v>
      </c>
      <c r="G4303">
        <v>14682.800000000001</v>
      </c>
      <c r="H4303">
        <v>14842</v>
      </c>
      <c r="I4303">
        <v>13</v>
      </c>
      <c r="J4303">
        <v>18</v>
      </c>
      <c r="K4303">
        <v>13</v>
      </c>
      <c r="L4303">
        <v>7</v>
      </c>
      <c r="M4303">
        <v>5</v>
      </c>
      <c r="N4303">
        <v>7</v>
      </c>
      <c r="P4303">
        <f>G4303*I4303/100</f>
        <v>1908.7640000000001</v>
      </c>
      <c r="Q4303">
        <f t="shared" si="44"/>
        <v>176193.6</v>
      </c>
      <c r="R4303">
        <f>K4303/J4303</f>
        <v>0.72222222222222221</v>
      </c>
    </row>
    <row r="4304" spans="1:18" x14ac:dyDescent="0.3">
      <c r="A4304">
        <v>31</v>
      </c>
      <c r="B4304">
        <v>1079</v>
      </c>
      <c r="C4304" t="s">
        <v>14</v>
      </c>
      <c r="D4304" t="s">
        <v>15</v>
      </c>
      <c r="E4304">
        <v>86</v>
      </c>
      <c r="F4304" t="s">
        <v>16</v>
      </c>
      <c r="G4304">
        <v>7241.3</v>
      </c>
      <c r="H4304">
        <v>20115</v>
      </c>
      <c r="I4304">
        <v>11</v>
      </c>
      <c r="J4304">
        <v>8</v>
      </c>
      <c r="K4304">
        <v>5</v>
      </c>
      <c r="L4304">
        <v>2</v>
      </c>
      <c r="M4304">
        <v>1</v>
      </c>
      <c r="N4304">
        <v>4</v>
      </c>
      <c r="P4304">
        <f>G4304*I4304/100</f>
        <v>796.54300000000001</v>
      </c>
      <c r="Q4304">
        <f t="shared" si="44"/>
        <v>86895.6</v>
      </c>
      <c r="R4304">
        <f>K4304/J4304</f>
        <v>0.625</v>
      </c>
    </row>
    <row r="4305" spans="1:18" x14ac:dyDescent="0.3">
      <c r="A4305">
        <v>34</v>
      </c>
      <c r="B4305">
        <v>735</v>
      </c>
      <c r="C4305" t="s">
        <v>14</v>
      </c>
      <c r="D4305" t="s">
        <v>15</v>
      </c>
      <c r="E4305">
        <v>75</v>
      </c>
      <c r="F4305" t="s">
        <v>16</v>
      </c>
      <c r="G4305">
        <v>8913.3000000000011</v>
      </c>
      <c r="H4305">
        <v>16495</v>
      </c>
      <c r="I4305">
        <v>12</v>
      </c>
      <c r="J4305">
        <v>9</v>
      </c>
      <c r="K4305">
        <v>4</v>
      </c>
      <c r="L4305">
        <v>2</v>
      </c>
      <c r="M4305">
        <v>0</v>
      </c>
      <c r="N4305">
        <v>1</v>
      </c>
      <c r="P4305">
        <f>G4305*I4305/100</f>
        <v>1069.596</v>
      </c>
      <c r="Q4305">
        <f t="shared" si="44"/>
        <v>106959.6</v>
      </c>
      <c r="R4305">
        <f>K4305/J4305</f>
        <v>0.44444444444444442</v>
      </c>
    </row>
    <row r="4306" spans="1:18" x14ac:dyDescent="0.3">
      <c r="A4306">
        <v>31</v>
      </c>
      <c r="B4306">
        <v>471</v>
      </c>
      <c r="C4306" t="s">
        <v>17</v>
      </c>
      <c r="D4306" t="s">
        <v>15</v>
      </c>
      <c r="E4306">
        <v>62</v>
      </c>
      <c r="F4306" t="s">
        <v>20</v>
      </c>
      <c r="G4306">
        <v>4375.8</v>
      </c>
      <c r="H4306">
        <v>16031</v>
      </c>
      <c r="I4306">
        <v>12</v>
      </c>
      <c r="J4306">
        <v>4</v>
      </c>
      <c r="K4306">
        <v>2</v>
      </c>
      <c r="L4306">
        <v>2</v>
      </c>
      <c r="M4306">
        <v>2</v>
      </c>
      <c r="N4306">
        <v>2</v>
      </c>
      <c r="P4306">
        <f>G4306*I4306/100</f>
        <v>525.096</v>
      </c>
      <c r="Q4306">
        <f t="shared" si="44"/>
        <v>52509.600000000006</v>
      </c>
      <c r="R4306">
        <f>K4306/J4306</f>
        <v>0.5</v>
      </c>
    </row>
    <row r="4307" spans="1:18" x14ac:dyDescent="0.3">
      <c r="A4307">
        <v>26</v>
      </c>
      <c r="B4307">
        <v>1096</v>
      </c>
      <c r="C4307" t="s">
        <v>17</v>
      </c>
      <c r="D4307" t="s">
        <v>18</v>
      </c>
      <c r="E4307">
        <v>61</v>
      </c>
      <c r="F4307" t="s">
        <v>20</v>
      </c>
      <c r="G4307">
        <v>2798.4</v>
      </c>
      <c r="H4307">
        <v>7102</v>
      </c>
      <c r="I4307">
        <v>18</v>
      </c>
      <c r="J4307">
        <v>8</v>
      </c>
      <c r="K4307">
        <v>7</v>
      </c>
      <c r="L4307">
        <v>7</v>
      </c>
      <c r="M4307">
        <v>7</v>
      </c>
      <c r="N4307">
        <v>7</v>
      </c>
      <c r="P4307">
        <f>G4307*I4307/100</f>
        <v>503.71200000000005</v>
      </c>
      <c r="Q4307">
        <f t="shared" si="44"/>
        <v>33580.800000000003</v>
      </c>
      <c r="R4307">
        <f>K4307/J4307</f>
        <v>0.875</v>
      </c>
    </row>
    <row r="4308" spans="1:18" x14ac:dyDescent="0.3">
      <c r="A4308">
        <v>45</v>
      </c>
      <c r="B4308">
        <v>1297</v>
      </c>
      <c r="C4308" t="s">
        <v>17</v>
      </c>
      <c r="D4308" t="s">
        <v>18</v>
      </c>
      <c r="E4308">
        <v>44</v>
      </c>
      <c r="F4308" t="s">
        <v>22</v>
      </c>
      <c r="G4308">
        <v>5938.9000000000005</v>
      </c>
      <c r="H4308">
        <v>14511</v>
      </c>
      <c r="I4308">
        <v>12</v>
      </c>
      <c r="J4308">
        <v>12</v>
      </c>
      <c r="K4308">
        <v>4</v>
      </c>
      <c r="L4308">
        <v>2</v>
      </c>
      <c r="M4308">
        <v>0</v>
      </c>
      <c r="N4308">
        <v>3</v>
      </c>
      <c r="P4308">
        <f>G4308*I4308/100</f>
        <v>712.66800000000001</v>
      </c>
      <c r="Q4308">
        <f t="shared" si="44"/>
        <v>71266.8</v>
      </c>
      <c r="R4308">
        <f>K4308/J4308</f>
        <v>0.33333333333333331</v>
      </c>
    </row>
    <row r="4309" spans="1:18" x14ac:dyDescent="0.3">
      <c r="A4309">
        <v>33</v>
      </c>
      <c r="B4309">
        <v>217</v>
      </c>
      <c r="C4309" t="s">
        <v>14</v>
      </c>
      <c r="D4309" t="s">
        <v>18</v>
      </c>
      <c r="E4309">
        <v>43</v>
      </c>
      <c r="F4309" t="s">
        <v>16</v>
      </c>
      <c r="G4309">
        <v>6035.7000000000007</v>
      </c>
      <c r="H4309">
        <v>10410</v>
      </c>
      <c r="I4309">
        <v>14</v>
      </c>
      <c r="J4309">
        <v>10</v>
      </c>
      <c r="K4309">
        <v>10</v>
      </c>
      <c r="L4309">
        <v>4</v>
      </c>
      <c r="M4309">
        <v>0</v>
      </c>
      <c r="N4309">
        <v>9</v>
      </c>
      <c r="P4309">
        <f>G4309*I4309/100</f>
        <v>844.99800000000016</v>
      </c>
      <c r="Q4309">
        <f t="shared" si="44"/>
        <v>72428.400000000009</v>
      </c>
      <c r="R4309">
        <f>K4309/J4309</f>
        <v>1</v>
      </c>
    </row>
    <row r="4310" spans="1:18" x14ac:dyDescent="0.3">
      <c r="A4310">
        <v>28</v>
      </c>
      <c r="B4310">
        <v>783</v>
      </c>
      <c r="C4310" t="s">
        <v>14</v>
      </c>
      <c r="D4310" t="s">
        <v>18</v>
      </c>
      <c r="E4310">
        <v>42</v>
      </c>
      <c r="F4310" t="s">
        <v>16</v>
      </c>
      <c r="G4310">
        <v>7517.4000000000005</v>
      </c>
      <c r="H4310">
        <v>19255</v>
      </c>
      <c r="I4310">
        <v>12</v>
      </c>
      <c r="J4310">
        <v>7</v>
      </c>
      <c r="K4310">
        <v>7</v>
      </c>
      <c r="L4310">
        <v>7</v>
      </c>
      <c r="M4310">
        <v>0</v>
      </c>
      <c r="N4310">
        <v>7</v>
      </c>
      <c r="P4310">
        <f>G4310*I4310/100</f>
        <v>902.08800000000008</v>
      </c>
      <c r="Q4310">
        <f t="shared" si="44"/>
        <v>90208.8</v>
      </c>
      <c r="R4310">
        <f>K4310/J4310</f>
        <v>1</v>
      </c>
    </row>
    <row r="4311" spans="1:18" x14ac:dyDescent="0.3">
      <c r="A4311">
        <v>29</v>
      </c>
      <c r="B4311">
        <v>746</v>
      </c>
      <c r="C4311" t="s">
        <v>14</v>
      </c>
      <c r="D4311" t="s">
        <v>18</v>
      </c>
      <c r="E4311">
        <v>45</v>
      </c>
      <c r="F4311" t="s">
        <v>24</v>
      </c>
      <c r="G4311">
        <v>1200.1000000000001</v>
      </c>
      <c r="H4311">
        <v>10642</v>
      </c>
      <c r="I4311">
        <v>17</v>
      </c>
      <c r="J4311">
        <v>1</v>
      </c>
      <c r="K4311">
        <v>1</v>
      </c>
      <c r="L4311">
        <v>0</v>
      </c>
      <c r="M4311">
        <v>0</v>
      </c>
      <c r="N4311">
        <v>0</v>
      </c>
      <c r="P4311">
        <f>G4311*I4311/100</f>
        <v>204.017</v>
      </c>
      <c r="Q4311">
        <f t="shared" si="44"/>
        <v>14401.2</v>
      </c>
      <c r="R4311">
        <f>K4311/J4311</f>
        <v>1</v>
      </c>
    </row>
    <row r="4312" spans="1:18" x14ac:dyDescent="0.3">
      <c r="A4312">
        <v>39</v>
      </c>
      <c r="B4312">
        <v>1251</v>
      </c>
      <c r="C4312" t="s">
        <v>14</v>
      </c>
      <c r="D4312" t="s">
        <v>15</v>
      </c>
      <c r="E4312">
        <v>32</v>
      </c>
      <c r="F4312" t="s">
        <v>16</v>
      </c>
      <c r="G4312">
        <v>6309.6</v>
      </c>
      <c r="H4312">
        <v>3987</v>
      </c>
      <c r="I4312">
        <v>19</v>
      </c>
      <c r="J4312">
        <v>10</v>
      </c>
      <c r="K4312">
        <v>3</v>
      </c>
      <c r="L4312">
        <v>2</v>
      </c>
      <c r="M4312">
        <v>1</v>
      </c>
      <c r="N4312">
        <v>2</v>
      </c>
      <c r="P4312">
        <f>G4312*I4312/100</f>
        <v>1198.8240000000001</v>
      </c>
      <c r="Q4312">
        <f t="shared" si="44"/>
        <v>75715.200000000012</v>
      </c>
      <c r="R4312">
        <f>K4312/J4312</f>
        <v>0.3</v>
      </c>
    </row>
    <row r="4313" spans="1:18" x14ac:dyDescent="0.3">
      <c r="A4313">
        <v>27</v>
      </c>
      <c r="B4313">
        <v>1354</v>
      </c>
      <c r="C4313" t="s">
        <v>17</v>
      </c>
      <c r="D4313" t="s">
        <v>18</v>
      </c>
      <c r="E4313">
        <v>41</v>
      </c>
      <c r="F4313" t="s">
        <v>19</v>
      </c>
      <c r="G4313">
        <v>2448.6000000000004</v>
      </c>
      <c r="H4313">
        <v>6073</v>
      </c>
      <c r="I4313">
        <v>11</v>
      </c>
      <c r="J4313">
        <v>6</v>
      </c>
      <c r="K4313">
        <v>5</v>
      </c>
      <c r="L4313">
        <v>3</v>
      </c>
      <c r="M4313">
        <v>1</v>
      </c>
      <c r="N4313">
        <v>2</v>
      </c>
      <c r="P4313">
        <f>G4313*I4313/100</f>
        <v>269.34600000000006</v>
      </c>
      <c r="Q4313">
        <f t="shared" si="44"/>
        <v>29383.200000000004</v>
      </c>
      <c r="R4313">
        <f>K4313/J4313</f>
        <v>0.83333333333333337</v>
      </c>
    </row>
    <row r="4314" spans="1:18" x14ac:dyDescent="0.3">
      <c r="A4314">
        <v>34</v>
      </c>
      <c r="B4314">
        <v>735</v>
      </c>
      <c r="C4314" t="s">
        <v>17</v>
      </c>
      <c r="D4314" t="s">
        <v>18</v>
      </c>
      <c r="E4314">
        <v>86</v>
      </c>
      <c r="F4314" t="s">
        <v>19</v>
      </c>
      <c r="G4314">
        <v>6321.7000000000007</v>
      </c>
      <c r="H4314">
        <v>26496</v>
      </c>
      <c r="I4314">
        <v>15</v>
      </c>
      <c r="J4314">
        <v>16</v>
      </c>
      <c r="K4314">
        <v>15</v>
      </c>
      <c r="L4314">
        <v>10</v>
      </c>
      <c r="M4314">
        <v>6</v>
      </c>
      <c r="N4314">
        <v>11</v>
      </c>
      <c r="P4314">
        <f>G4314*I4314/100</f>
        <v>948.25500000000011</v>
      </c>
      <c r="Q4314">
        <f t="shared" si="44"/>
        <v>75860.400000000009</v>
      </c>
      <c r="R4314">
        <f>K4314/J4314</f>
        <v>0.9375</v>
      </c>
    </row>
    <row r="4315" spans="1:18" x14ac:dyDescent="0.3">
      <c r="A4315">
        <v>28</v>
      </c>
      <c r="B4315">
        <v>1475</v>
      </c>
      <c r="C4315" t="s">
        <v>14</v>
      </c>
      <c r="D4315" t="s">
        <v>15</v>
      </c>
      <c r="E4315">
        <v>84</v>
      </c>
      <c r="F4315" t="s">
        <v>16</v>
      </c>
      <c r="G4315">
        <v>10839.400000000001</v>
      </c>
      <c r="H4315">
        <v>23352</v>
      </c>
      <c r="I4315">
        <v>11</v>
      </c>
      <c r="J4315">
        <v>6</v>
      </c>
      <c r="K4315">
        <v>2</v>
      </c>
      <c r="L4315">
        <v>0</v>
      </c>
      <c r="M4315">
        <v>2</v>
      </c>
      <c r="N4315">
        <v>2</v>
      </c>
      <c r="P4315">
        <f>G4315*I4315/100</f>
        <v>1192.3340000000003</v>
      </c>
      <c r="Q4315">
        <f t="shared" si="44"/>
        <v>130072.80000000002</v>
      </c>
      <c r="R4315">
        <f>K4315/J4315</f>
        <v>0.33333333333333331</v>
      </c>
    </row>
    <row r="4316" spans="1:18" x14ac:dyDescent="0.3">
      <c r="A4316">
        <v>47</v>
      </c>
      <c r="B4316">
        <v>1169</v>
      </c>
      <c r="C4316" t="s">
        <v>17</v>
      </c>
      <c r="D4316" t="s">
        <v>18</v>
      </c>
      <c r="E4316">
        <v>64</v>
      </c>
      <c r="F4316" t="s">
        <v>19</v>
      </c>
      <c r="G4316">
        <v>6013.7000000000007</v>
      </c>
      <c r="H4316">
        <v>2125</v>
      </c>
      <c r="I4316">
        <v>18</v>
      </c>
      <c r="J4316">
        <v>16</v>
      </c>
      <c r="K4316">
        <v>8</v>
      </c>
      <c r="L4316">
        <v>7</v>
      </c>
      <c r="M4316">
        <v>1</v>
      </c>
      <c r="N4316">
        <v>7</v>
      </c>
      <c r="P4316">
        <f>G4316*I4316/100</f>
        <v>1082.4660000000001</v>
      </c>
      <c r="Q4316">
        <f t="shared" si="44"/>
        <v>72164.400000000009</v>
      </c>
      <c r="R4316">
        <f>K4316/J4316</f>
        <v>0.5</v>
      </c>
    </row>
    <row r="4317" spans="1:18" x14ac:dyDescent="0.3">
      <c r="A4317">
        <v>56</v>
      </c>
      <c r="B4317">
        <v>1443</v>
      </c>
      <c r="C4317" t="s">
        <v>14</v>
      </c>
      <c r="D4317" t="s">
        <v>15</v>
      </c>
      <c r="E4317">
        <v>89</v>
      </c>
      <c r="F4317" t="s">
        <v>16</v>
      </c>
      <c r="G4317">
        <v>5918.0000000000009</v>
      </c>
      <c r="H4317">
        <v>20328</v>
      </c>
      <c r="I4317">
        <v>16</v>
      </c>
      <c r="J4317">
        <v>6</v>
      </c>
      <c r="K4317">
        <v>0</v>
      </c>
      <c r="L4317">
        <v>0</v>
      </c>
      <c r="M4317">
        <v>0</v>
      </c>
      <c r="N4317">
        <v>0</v>
      </c>
      <c r="P4317">
        <f>G4317*I4317/100</f>
        <v>946.88000000000011</v>
      </c>
      <c r="Q4317">
        <f t="shared" si="44"/>
        <v>71016.000000000015</v>
      </c>
      <c r="R4317">
        <f>K4317/J4317</f>
        <v>0</v>
      </c>
    </row>
    <row r="4318" spans="1:18" x14ac:dyDescent="0.3">
      <c r="A4318">
        <v>39</v>
      </c>
      <c r="B4318">
        <v>867</v>
      </c>
      <c r="C4318" t="s">
        <v>17</v>
      </c>
      <c r="D4318" t="s">
        <v>18</v>
      </c>
      <c r="E4318">
        <v>87</v>
      </c>
      <c r="F4318" t="s">
        <v>21</v>
      </c>
      <c r="G4318">
        <v>5666.1</v>
      </c>
      <c r="H4318">
        <v>12315</v>
      </c>
      <c r="I4318">
        <v>25</v>
      </c>
      <c r="J4318">
        <v>10</v>
      </c>
      <c r="K4318">
        <v>10</v>
      </c>
      <c r="L4318">
        <v>0</v>
      </c>
      <c r="M4318">
        <v>7</v>
      </c>
      <c r="N4318">
        <v>9</v>
      </c>
      <c r="P4318">
        <f>G4318*I4318/100</f>
        <v>1416.5250000000001</v>
      </c>
      <c r="Q4318">
        <f t="shared" si="44"/>
        <v>67993.200000000012</v>
      </c>
      <c r="R4318">
        <f>K4318/J4318</f>
        <v>1</v>
      </c>
    </row>
    <row r="4319" spans="1:18" x14ac:dyDescent="0.3">
      <c r="A4319">
        <v>38</v>
      </c>
      <c r="B4319">
        <v>1394</v>
      </c>
      <c r="C4319" t="s">
        <v>17</v>
      </c>
      <c r="D4319" t="s">
        <v>15</v>
      </c>
      <c r="E4319">
        <v>58</v>
      </c>
      <c r="F4319" t="s">
        <v>19</v>
      </c>
      <c r="G4319">
        <v>2346.3000000000002</v>
      </c>
      <c r="H4319">
        <v>18115</v>
      </c>
      <c r="I4319">
        <v>16</v>
      </c>
      <c r="J4319">
        <v>20</v>
      </c>
      <c r="K4319">
        <v>20</v>
      </c>
      <c r="L4319">
        <v>11</v>
      </c>
      <c r="M4319">
        <v>0</v>
      </c>
      <c r="N4319">
        <v>7</v>
      </c>
      <c r="P4319">
        <f>G4319*I4319/100</f>
        <v>375.40800000000002</v>
      </c>
      <c r="Q4319">
        <f t="shared" si="44"/>
        <v>28155.600000000002</v>
      </c>
      <c r="R4319">
        <f>K4319/J4319</f>
        <v>1</v>
      </c>
    </row>
    <row r="4320" spans="1:18" x14ac:dyDescent="0.3">
      <c r="A4320">
        <v>58</v>
      </c>
      <c r="B4320">
        <v>605</v>
      </c>
      <c r="C4320" t="s">
        <v>14</v>
      </c>
      <c r="D4320" t="s">
        <v>15</v>
      </c>
      <c r="E4320">
        <v>72</v>
      </c>
      <c r="F4320" t="s">
        <v>23</v>
      </c>
      <c r="G4320">
        <v>19662.5</v>
      </c>
      <c r="H4320">
        <v>11761</v>
      </c>
      <c r="I4320">
        <v>13</v>
      </c>
      <c r="J4320">
        <v>29</v>
      </c>
      <c r="K4320">
        <v>1</v>
      </c>
      <c r="L4320">
        <v>0</v>
      </c>
      <c r="M4320">
        <v>0</v>
      </c>
      <c r="N4320">
        <v>0</v>
      </c>
      <c r="P4320">
        <f>G4320*I4320/100</f>
        <v>2556.125</v>
      </c>
      <c r="Q4320">
        <f t="shared" si="44"/>
        <v>235950</v>
      </c>
      <c r="R4320">
        <f>K4320/J4320</f>
        <v>3.4482758620689655E-2</v>
      </c>
    </row>
    <row r="4321" spans="1:18" x14ac:dyDescent="0.3">
      <c r="A4321">
        <v>32</v>
      </c>
      <c r="B4321">
        <v>238</v>
      </c>
      <c r="C4321" t="s">
        <v>17</v>
      </c>
      <c r="D4321" t="s">
        <v>15</v>
      </c>
      <c r="E4321">
        <v>47</v>
      </c>
      <c r="F4321" t="s">
        <v>19</v>
      </c>
      <c r="G4321">
        <v>2675.2000000000003</v>
      </c>
      <c r="H4321">
        <v>15318</v>
      </c>
      <c r="I4321">
        <v>14</v>
      </c>
      <c r="J4321">
        <v>8</v>
      </c>
      <c r="K4321">
        <v>4</v>
      </c>
      <c r="L4321">
        <v>1</v>
      </c>
      <c r="M4321">
        <v>0</v>
      </c>
      <c r="N4321">
        <v>3</v>
      </c>
      <c r="P4321">
        <f>G4321*I4321/100</f>
        <v>374.52800000000002</v>
      </c>
      <c r="Q4321">
        <f t="shared" si="44"/>
        <v>32102.400000000001</v>
      </c>
      <c r="R4321">
        <f>K4321/J4321</f>
        <v>0.5</v>
      </c>
    </row>
    <row r="4322" spans="1:18" x14ac:dyDescent="0.3">
      <c r="A4322">
        <v>38</v>
      </c>
      <c r="B4322">
        <v>1206</v>
      </c>
      <c r="C4322" t="s">
        <v>17</v>
      </c>
      <c r="D4322" t="s">
        <v>18</v>
      </c>
      <c r="E4322">
        <v>71</v>
      </c>
      <c r="F4322" t="s">
        <v>19</v>
      </c>
      <c r="G4322">
        <v>5248.1</v>
      </c>
      <c r="H4322">
        <v>14293</v>
      </c>
      <c r="I4322">
        <v>19</v>
      </c>
      <c r="J4322">
        <v>10</v>
      </c>
      <c r="K4322">
        <v>5</v>
      </c>
      <c r="L4322">
        <v>2</v>
      </c>
      <c r="M4322">
        <v>0</v>
      </c>
      <c r="N4322">
        <v>3</v>
      </c>
      <c r="P4322">
        <f>G4322*I4322/100</f>
        <v>997.13900000000012</v>
      </c>
      <c r="Q4322">
        <f t="shared" si="44"/>
        <v>62977.200000000004</v>
      </c>
      <c r="R4322">
        <f>K4322/J4322</f>
        <v>0.5</v>
      </c>
    </row>
    <row r="4323" spans="1:18" x14ac:dyDescent="0.3">
      <c r="A4323">
        <v>49</v>
      </c>
      <c r="B4323">
        <v>1064</v>
      </c>
      <c r="C4323" t="s">
        <v>17</v>
      </c>
      <c r="D4323" t="s">
        <v>18</v>
      </c>
      <c r="E4323">
        <v>42</v>
      </c>
      <c r="F4323" t="s">
        <v>25</v>
      </c>
      <c r="G4323">
        <v>21077.100000000002</v>
      </c>
      <c r="H4323">
        <v>13738</v>
      </c>
      <c r="I4323">
        <v>15</v>
      </c>
      <c r="J4323">
        <v>28</v>
      </c>
      <c r="K4323">
        <v>5</v>
      </c>
      <c r="L4323">
        <v>4</v>
      </c>
      <c r="M4323">
        <v>4</v>
      </c>
      <c r="N4323">
        <v>3</v>
      </c>
      <c r="P4323">
        <f>G4323*I4323/100</f>
        <v>3161.5650000000005</v>
      </c>
      <c r="Q4323">
        <f t="shared" si="44"/>
        <v>252925.2</v>
      </c>
      <c r="R4323">
        <f>K4323/J4323</f>
        <v>0.17857142857142858</v>
      </c>
    </row>
    <row r="4324" spans="1:18" x14ac:dyDescent="0.3">
      <c r="A4324">
        <v>42</v>
      </c>
      <c r="B4324">
        <v>419</v>
      </c>
      <c r="C4324" t="s">
        <v>14</v>
      </c>
      <c r="D4324" t="s">
        <v>18</v>
      </c>
      <c r="E4324">
        <v>77</v>
      </c>
      <c r="F4324" t="s">
        <v>16</v>
      </c>
      <c r="G4324">
        <v>5595.7000000000007</v>
      </c>
      <c r="H4324">
        <v>2900</v>
      </c>
      <c r="I4324">
        <v>12</v>
      </c>
      <c r="J4324">
        <v>14</v>
      </c>
      <c r="K4324">
        <v>0</v>
      </c>
      <c r="L4324">
        <v>0</v>
      </c>
      <c r="M4324">
        <v>0</v>
      </c>
      <c r="N4324">
        <v>0</v>
      </c>
      <c r="P4324">
        <f>G4324*I4324/100</f>
        <v>671.48400000000004</v>
      </c>
      <c r="Q4324">
        <f t="shared" si="44"/>
        <v>67148.400000000009</v>
      </c>
      <c r="R4324">
        <f>K4324/J4324</f>
        <v>0</v>
      </c>
    </row>
    <row r="4325" spans="1:18" x14ac:dyDescent="0.3">
      <c r="A4325">
        <v>27</v>
      </c>
      <c r="B4325">
        <v>1337</v>
      </c>
      <c r="C4325" t="s">
        <v>26</v>
      </c>
      <c r="D4325" t="s">
        <v>15</v>
      </c>
      <c r="E4325">
        <v>58</v>
      </c>
      <c r="F4325" t="s">
        <v>26</v>
      </c>
      <c r="G4325">
        <v>3149.3</v>
      </c>
      <c r="H4325">
        <v>19555</v>
      </c>
      <c r="I4325">
        <v>12</v>
      </c>
      <c r="J4325">
        <v>1</v>
      </c>
      <c r="K4325">
        <v>1</v>
      </c>
      <c r="L4325">
        <v>0</v>
      </c>
      <c r="M4325">
        <v>0</v>
      </c>
      <c r="N4325">
        <v>0</v>
      </c>
      <c r="P4325">
        <f>G4325*I4325/100</f>
        <v>377.91600000000005</v>
      </c>
      <c r="Q4325">
        <f t="shared" si="44"/>
        <v>37791.600000000006</v>
      </c>
      <c r="R4325">
        <f>K4325/J4325</f>
        <v>1</v>
      </c>
    </row>
    <row r="4326" spans="1:18" x14ac:dyDescent="0.3">
      <c r="A4326">
        <v>35</v>
      </c>
      <c r="B4326">
        <v>682</v>
      </c>
      <c r="C4326" t="s">
        <v>14</v>
      </c>
      <c r="D4326" t="s">
        <v>18</v>
      </c>
      <c r="E4326">
        <v>71</v>
      </c>
      <c r="F4326" t="s">
        <v>16</v>
      </c>
      <c r="G4326">
        <v>6117.1</v>
      </c>
      <c r="H4326">
        <v>15975</v>
      </c>
      <c r="I4326">
        <v>16</v>
      </c>
      <c r="J4326">
        <v>6</v>
      </c>
      <c r="K4326">
        <v>5</v>
      </c>
      <c r="L4326">
        <v>3</v>
      </c>
      <c r="M4326">
        <v>0</v>
      </c>
      <c r="N4326">
        <v>4</v>
      </c>
      <c r="P4326">
        <f>G4326*I4326/100</f>
        <v>978.7360000000001</v>
      </c>
      <c r="Q4326">
        <f t="shared" si="44"/>
        <v>73405.200000000012</v>
      </c>
      <c r="R4326">
        <f>K4326/J4326</f>
        <v>0.83333333333333337</v>
      </c>
    </row>
    <row r="4327" spans="1:18" x14ac:dyDescent="0.3">
      <c r="A4327">
        <v>28</v>
      </c>
      <c r="B4327">
        <v>1103</v>
      </c>
      <c r="C4327" t="s">
        <v>17</v>
      </c>
      <c r="D4327" t="s">
        <v>18</v>
      </c>
      <c r="E4327">
        <v>49</v>
      </c>
      <c r="F4327" t="s">
        <v>19</v>
      </c>
      <c r="G4327">
        <v>2358.4</v>
      </c>
      <c r="H4327">
        <v>2122</v>
      </c>
      <c r="I4327">
        <v>14</v>
      </c>
      <c r="J4327">
        <v>5</v>
      </c>
      <c r="K4327">
        <v>5</v>
      </c>
      <c r="L4327">
        <v>3</v>
      </c>
      <c r="M4327">
        <v>1</v>
      </c>
      <c r="N4327">
        <v>4</v>
      </c>
      <c r="P4327">
        <f>G4327*I4327/100</f>
        <v>330.17599999999999</v>
      </c>
      <c r="Q4327">
        <f t="shared" si="44"/>
        <v>28300.800000000003</v>
      </c>
      <c r="R4327">
        <f>K4327/J4327</f>
        <v>1</v>
      </c>
    </row>
    <row r="4328" spans="1:18" x14ac:dyDescent="0.3">
      <c r="A4328">
        <v>31</v>
      </c>
      <c r="B4328">
        <v>976</v>
      </c>
      <c r="C4328" t="s">
        <v>17</v>
      </c>
      <c r="D4328" t="s">
        <v>18</v>
      </c>
      <c r="E4328">
        <v>48</v>
      </c>
      <c r="F4328" t="s">
        <v>19</v>
      </c>
      <c r="G4328">
        <v>3371.5000000000005</v>
      </c>
      <c r="H4328">
        <v>3995</v>
      </c>
      <c r="I4328">
        <v>13</v>
      </c>
      <c r="J4328">
        <v>4</v>
      </c>
      <c r="K4328">
        <v>4</v>
      </c>
      <c r="L4328">
        <v>2</v>
      </c>
      <c r="M4328">
        <v>2</v>
      </c>
      <c r="N4328">
        <v>3</v>
      </c>
      <c r="P4328">
        <f>G4328*I4328/100</f>
        <v>438.29500000000007</v>
      </c>
      <c r="Q4328">
        <f t="shared" si="44"/>
        <v>40458.000000000007</v>
      </c>
      <c r="R4328">
        <f>K4328/J4328</f>
        <v>1</v>
      </c>
    </row>
    <row r="4329" spans="1:18" x14ac:dyDescent="0.3">
      <c r="A4329">
        <v>36</v>
      </c>
      <c r="B4329">
        <v>1351</v>
      </c>
      <c r="C4329" t="s">
        <v>17</v>
      </c>
      <c r="D4329" t="s">
        <v>18</v>
      </c>
      <c r="E4329">
        <v>66</v>
      </c>
      <c r="F4329" t="s">
        <v>20</v>
      </c>
      <c r="G4329">
        <v>3091.0000000000005</v>
      </c>
      <c r="H4329">
        <v>9238</v>
      </c>
      <c r="I4329">
        <v>22</v>
      </c>
      <c r="J4329">
        <v>5</v>
      </c>
      <c r="K4329">
        <v>5</v>
      </c>
      <c r="L4329">
        <v>4</v>
      </c>
      <c r="M4329">
        <v>0</v>
      </c>
      <c r="N4329">
        <v>2</v>
      </c>
      <c r="P4329">
        <f>G4329*I4329/100</f>
        <v>680.0200000000001</v>
      </c>
      <c r="Q4329">
        <f t="shared" si="44"/>
        <v>37092.000000000007</v>
      </c>
      <c r="R4329">
        <f>K4329/J4329</f>
        <v>1</v>
      </c>
    </row>
    <row r="4330" spans="1:18" x14ac:dyDescent="0.3">
      <c r="A4330">
        <v>34</v>
      </c>
      <c r="B4330">
        <v>937</v>
      </c>
      <c r="C4330" t="s">
        <v>14</v>
      </c>
      <c r="D4330" t="s">
        <v>18</v>
      </c>
      <c r="E4330">
        <v>32</v>
      </c>
      <c r="F4330" t="s">
        <v>16</v>
      </c>
      <c r="G4330">
        <v>10876.800000000001</v>
      </c>
      <c r="H4330">
        <v>6770</v>
      </c>
      <c r="I4330">
        <v>21</v>
      </c>
      <c r="J4330">
        <v>14</v>
      </c>
      <c r="K4330">
        <v>14</v>
      </c>
      <c r="L4330">
        <v>8</v>
      </c>
      <c r="M4330">
        <v>2</v>
      </c>
      <c r="N4330">
        <v>1</v>
      </c>
      <c r="P4330">
        <f>G4330*I4330/100</f>
        <v>2284.1280000000002</v>
      </c>
      <c r="Q4330">
        <f t="shared" si="44"/>
        <v>130521.60000000001</v>
      </c>
      <c r="R4330">
        <f>K4330/J4330</f>
        <v>1</v>
      </c>
    </row>
    <row r="4331" spans="1:18" x14ac:dyDescent="0.3">
      <c r="A4331">
        <v>34</v>
      </c>
      <c r="B4331">
        <v>1239</v>
      </c>
      <c r="C4331" t="s">
        <v>14</v>
      </c>
      <c r="D4331" t="s">
        <v>18</v>
      </c>
      <c r="E4331">
        <v>39</v>
      </c>
      <c r="F4331" t="s">
        <v>16</v>
      </c>
      <c r="G4331">
        <v>9490.8000000000011</v>
      </c>
      <c r="H4331">
        <v>22914</v>
      </c>
      <c r="I4331">
        <v>18</v>
      </c>
      <c r="J4331">
        <v>9</v>
      </c>
      <c r="K4331">
        <v>8</v>
      </c>
      <c r="L4331">
        <v>7</v>
      </c>
      <c r="M4331">
        <v>1</v>
      </c>
      <c r="N4331">
        <v>1</v>
      </c>
      <c r="P4331">
        <f>G4331*I4331/100</f>
        <v>1708.3440000000003</v>
      </c>
      <c r="Q4331">
        <f t="shared" si="44"/>
        <v>113889.60000000001</v>
      </c>
      <c r="R4331">
        <f>K4331/J4331</f>
        <v>0.88888888888888884</v>
      </c>
    </row>
    <row r="4332" spans="1:18" x14ac:dyDescent="0.3">
      <c r="A4332">
        <v>26</v>
      </c>
      <c r="B4332">
        <v>157</v>
      </c>
      <c r="C4332" t="s">
        <v>17</v>
      </c>
      <c r="D4332" t="s">
        <v>18</v>
      </c>
      <c r="E4332">
        <v>95</v>
      </c>
      <c r="F4332" t="s">
        <v>20</v>
      </c>
      <c r="G4332">
        <v>3153.7000000000003</v>
      </c>
      <c r="H4332">
        <v>20006</v>
      </c>
      <c r="I4332">
        <v>13</v>
      </c>
      <c r="J4332">
        <v>8</v>
      </c>
      <c r="K4332">
        <v>7</v>
      </c>
      <c r="L4332">
        <v>7</v>
      </c>
      <c r="M4332">
        <v>7</v>
      </c>
      <c r="N4332">
        <v>6</v>
      </c>
      <c r="P4332">
        <f>G4332*I4332/100</f>
        <v>409.98100000000005</v>
      </c>
      <c r="Q4332">
        <f t="shared" si="44"/>
        <v>37844.400000000001</v>
      </c>
      <c r="R4332">
        <f>K4332/J4332</f>
        <v>0.875</v>
      </c>
    </row>
    <row r="4333" spans="1:18" x14ac:dyDescent="0.3">
      <c r="A4333">
        <v>29</v>
      </c>
      <c r="B4333">
        <v>136</v>
      </c>
      <c r="C4333" t="s">
        <v>17</v>
      </c>
      <c r="D4333" t="s">
        <v>18</v>
      </c>
      <c r="E4333">
        <v>89</v>
      </c>
      <c r="F4333" t="s">
        <v>22</v>
      </c>
      <c r="G4333">
        <v>5910.3</v>
      </c>
      <c r="H4333">
        <v>6225</v>
      </c>
      <c r="I4333">
        <v>12</v>
      </c>
      <c r="J4333">
        <v>6</v>
      </c>
      <c r="K4333">
        <v>5</v>
      </c>
      <c r="L4333">
        <v>3</v>
      </c>
      <c r="M4333">
        <v>0</v>
      </c>
      <c r="N4333">
        <v>2</v>
      </c>
      <c r="P4333">
        <f>G4333*I4333/100</f>
        <v>709.2360000000001</v>
      </c>
      <c r="Q4333">
        <f t="shared" si="44"/>
        <v>70923.600000000006</v>
      </c>
      <c r="R4333">
        <f>K4333/J4333</f>
        <v>0.83333333333333337</v>
      </c>
    </row>
    <row r="4334" spans="1:18" x14ac:dyDescent="0.3">
      <c r="A4334">
        <v>32</v>
      </c>
      <c r="B4334">
        <v>1146</v>
      </c>
      <c r="C4334" t="s">
        <v>17</v>
      </c>
      <c r="D4334" t="s">
        <v>15</v>
      </c>
      <c r="E4334">
        <v>34</v>
      </c>
      <c r="F4334" t="s">
        <v>22</v>
      </c>
      <c r="G4334">
        <v>7333.7000000000007</v>
      </c>
      <c r="H4334">
        <v>16542</v>
      </c>
      <c r="I4334">
        <v>18</v>
      </c>
      <c r="J4334">
        <v>9</v>
      </c>
      <c r="K4334">
        <v>5</v>
      </c>
      <c r="L4334">
        <v>1</v>
      </c>
      <c r="M4334">
        <v>1</v>
      </c>
      <c r="N4334">
        <v>2</v>
      </c>
      <c r="P4334">
        <f>G4334*I4334/100</f>
        <v>1320.066</v>
      </c>
      <c r="Q4334">
        <f t="shared" si="44"/>
        <v>88004.400000000009</v>
      </c>
      <c r="R4334">
        <f>K4334/J4334</f>
        <v>0.55555555555555558</v>
      </c>
    </row>
    <row r="4335" spans="1:18" x14ac:dyDescent="0.3">
      <c r="A4335">
        <v>31</v>
      </c>
      <c r="B4335">
        <v>1125</v>
      </c>
      <c r="C4335" t="s">
        <v>17</v>
      </c>
      <c r="D4335" t="s">
        <v>18</v>
      </c>
      <c r="E4335">
        <v>48</v>
      </c>
      <c r="F4335" t="s">
        <v>19</v>
      </c>
      <c r="G4335">
        <v>5503.3</v>
      </c>
      <c r="H4335">
        <v>5771</v>
      </c>
      <c r="I4335">
        <v>21</v>
      </c>
      <c r="J4335">
        <v>10</v>
      </c>
      <c r="K4335">
        <v>10</v>
      </c>
      <c r="L4335">
        <v>8</v>
      </c>
      <c r="M4335">
        <v>8</v>
      </c>
      <c r="N4335">
        <v>7</v>
      </c>
      <c r="P4335">
        <f>G4335*I4335/100</f>
        <v>1155.693</v>
      </c>
      <c r="Q4335">
        <f t="shared" si="44"/>
        <v>66039.600000000006</v>
      </c>
      <c r="R4335">
        <f>K4335/J4335</f>
        <v>1</v>
      </c>
    </row>
    <row r="4336" spans="1:18" x14ac:dyDescent="0.3">
      <c r="A4336">
        <v>28</v>
      </c>
      <c r="B4336">
        <v>1404</v>
      </c>
      <c r="C4336" t="s">
        <v>17</v>
      </c>
      <c r="D4336" t="s">
        <v>18</v>
      </c>
      <c r="E4336">
        <v>32</v>
      </c>
      <c r="F4336" t="s">
        <v>20</v>
      </c>
      <c r="G4336">
        <v>2603.7000000000003</v>
      </c>
      <c r="H4336">
        <v>18779</v>
      </c>
      <c r="I4336">
        <v>12</v>
      </c>
      <c r="J4336">
        <v>6</v>
      </c>
      <c r="K4336">
        <v>4</v>
      </c>
      <c r="L4336">
        <v>1</v>
      </c>
      <c r="M4336">
        <v>0</v>
      </c>
      <c r="N4336">
        <v>3</v>
      </c>
      <c r="P4336">
        <f>G4336*I4336/100</f>
        <v>312.44400000000002</v>
      </c>
      <c r="Q4336">
        <f t="shared" si="44"/>
        <v>31244.400000000001</v>
      </c>
      <c r="R4336">
        <f>K4336/J4336</f>
        <v>0.66666666666666663</v>
      </c>
    </row>
    <row r="4337" spans="1:18" x14ac:dyDescent="0.3">
      <c r="A4337">
        <v>38</v>
      </c>
      <c r="B4337">
        <v>1404</v>
      </c>
      <c r="C4337" t="s">
        <v>14</v>
      </c>
      <c r="D4337" t="s">
        <v>18</v>
      </c>
      <c r="E4337">
        <v>59</v>
      </c>
      <c r="F4337" t="s">
        <v>24</v>
      </c>
      <c r="G4337">
        <v>3143.8</v>
      </c>
      <c r="H4337">
        <v>11473</v>
      </c>
      <c r="I4337">
        <v>14</v>
      </c>
      <c r="J4337">
        <v>20</v>
      </c>
      <c r="K4337">
        <v>1</v>
      </c>
      <c r="L4337">
        <v>0</v>
      </c>
      <c r="M4337">
        <v>0</v>
      </c>
      <c r="N4337">
        <v>0</v>
      </c>
      <c r="P4337">
        <f>G4337*I4337/100</f>
        <v>440.13200000000006</v>
      </c>
      <c r="Q4337">
        <f t="shared" si="44"/>
        <v>37725.600000000006</v>
      </c>
      <c r="R4337">
        <f>K4337/J4337</f>
        <v>0.05</v>
      </c>
    </row>
    <row r="4338" spans="1:18" x14ac:dyDescent="0.3">
      <c r="A4338">
        <v>35</v>
      </c>
      <c r="B4338">
        <v>1224</v>
      </c>
      <c r="C4338" t="s">
        <v>14</v>
      </c>
      <c r="D4338" t="s">
        <v>15</v>
      </c>
      <c r="E4338">
        <v>55</v>
      </c>
      <c r="F4338" t="s">
        <v>16</v>
      </c>
      <c r="G4338">
        <v>5724.4000000000005</v>
      </c>
      <c r="H4338">
        <v>13586</v>
      </c>
      <c r="I4338">
        <v>11</v>
      </c>
      <c r="J4338">
        <v>10</v>
      </c>
      <c r="K4338">
        <v>10</v>
      </c>
      <c r="L4338">
        <v>8</v>
      </c>
      <c r="M4338">
        <v>0</v>
      </c>
      <c r="N4338">
        <v>9</v>
      </c>
      <c r="P4338">
        <f>G4338*I4338/100</f>
        <v>629.68400000000008</v>
      </c>
      <c r="Q4338">
        <f t="shared" si="44"/>
        <v>68692.800000000003</v>
      </c>
      <c r="R4338">
        <f>K4338/J4338</f>
        <v>1</v>
      </c>
    </row>
    <row r="4339" spans="1:18" x14ac:dyDescent="0.3">
      <c r="A4339">
        <v>27</v>
      </c>
      <c r="B4339">
        <v>954</v>
      </c>
      <c r="C4339" t="s">
        <v>14</v>
      </c>
      <c r="D4339" t="s">
        <v>18</v>
      </c>
      <c r="E4339">
        <v>44</v>
      </c>
      <c r="F4339" t="s">
        <v>16</v>
      </c>
      <c r="G4339">
        <v>4515.5</v>
      </c>
      <c r="H4339">
        <v>5099</v>
      </c>
      <c r="I4339">
        <v>14</v>
      </c>
      <c r="J4339">
        <v>7</v>
      </c>
      <c r="K4339">
        <v>7</v>
      </c>
      <c r="L4339">
        <v>7</v>
      </c>
      <c r="M4339">
        <v>0</v>
      </c>
      <c r="N4339">
        <v>7</v>
      </c>
      <c r="P4339">
        <f>G4339*I4339/100</f>
        <v>632.16999999999996</v>
      </c>
      <c r="Q4339">
        <f t="shared" si="44"/>
        <v>54186</v>
      </c>
      <c r="R4339">
        <f>K4339/J4339</f>
        <v>1</v>
      </c>
    </row>
    <row r="4340" spans="1:18" x14ac:dyDescent="0.3">
      <c r="A4340">
        <v>32</v>
      </c>
      <c r="B4340">
        <v>1373</v>
      </c>
      <c r="C4340" t="s">
        <v>17</v>
      </c>
      <c r="D4340" t="s">
        <v>18</v>
      </c>
      <c r="E4340">
        <v>56</v>
      </c>
      <c r="F4340" t="s">
        <v>21</v>
      </c>
      <c r="G4340">
        <v>10646.900000000001</v>
      </c>
      <c r="H4340">
        <v>10138</v>
      </c>
      <c r="I4340">
        <v>24</v>
      </c>
      <c r="J4340">
        <v>8</v>
      </c>
      <c r="K4340">
        <v>1</v>
      </c>
      <c r="L4340">
        <v>0</v>
      </c>
      <c r="M4340">
        <v>0</v>
      </c>
      <c r="N4340">
        <v>0</v>
      </c>
      <c r="P4340">
        <f>G4340*I4340/100</f>
        <v>2555.2560000000003</v>
      </c>
      <c r="Q4340">
        <f t="shared" si="44"/>
        <v>127762.80000000002</v>
      </c>
      <c r="R4340">
        <f>K4340/J4340</f>
        <v>0.125</v>
      </c>
    </row>
    <row r="4341" spans="1:18" x14ac:dyDescent="0.3">
      <c r="A4341">
        <v>31</v>
      </c>
      <c r="B4341">
        <v>754</v>
      </c>
      <c r="C4341" t="s">
        <v>14</v>
      </c>
      <c r="D4341" t="s">
        <v>18</v>
      </c>
      <c r="E4341">
        <v>63</v>
      </c>
      <c r="F4341" t="s">
        <v>16</v>
      </c>
      <c r="G4341">
        <v>6178.7000000000007</v>
      </c>
      <c r="H4341">
        <v>21075</v>
      </c>
      <c r="I4341">
        <v>11</v>
      </c>
      <c r="J4341">
        <v>10</v>
      </c>
      <c r="K4341">
        <v>10</v>
      </c>
      <c r="L4341">
        <v>7</v>
      </c>
      <c r="M4341">
        <v>0</v>
      </c>
      <c r="N4341">
        <v>8</v>
      </c>
      <c r="P4341">
        <f>G4341*I4341/100</f>
        <v>679.65700000000015</v>
      </c>
      <c r="Q4341">
        <f t="shared" si="44"/>
        <v>74144.400000000009</v>
      </c>
      <c r="R4341">
        <f>K4341/J4341</f>
        <v>1</v>
      </c>
    </row>
    <row r="4342" spans="1:18" x14ac:dyDescent="0.3">
      <c r="A4342">
        <v>53</v>
      </c>
      <c r="B4342">
        <v>1168</v>
      </c>
      <c r="C4342" t="s">
        <v>14</v>
      </c>
      <c r="D4342" t="s">
        <v>18</v>
      </c>
      <c r="E4342">
        <v>66</v>
      </c>
      <c r="F4342" t="s">
        <v>16</v>
      </c>
      <c r="G4342">
        <v>11492.800000000001</v>
      </c>
      <c r="H4342">
        <v>5843</v>
      </c>
      <c r="I4342">
        <v>13</v>
      </c>
      <c r="J4342">
        <v>15</v>
      </c>
      <c r="K4342">
        <v>2</v>
      </c>
      <c r="L4342">
        <v>2</v>
      </c>
      <c r="M4342">
        <v>2</v>
      </c>
      <c r="N4342">
        <v>2</v>
      </c>
      <c r="P4342">
        <f>G4342*I4342/100</f>
        <v>1494.0640000000003</v>
      </c>
      <c r="Q4342">
        <f t="shared" si="44"/>
        <v>137913.60000000001</v>
      </c>
      <c r="R4342">
        <f>K4342/J4342</f>
        <v>0.13333333333333333</v>
      </c>
    </row>
    <row r="4343" spans="1:18" x14ac:dyDescent="0.3">
      <c r="A4343">
        <v>54</v>
      </c>
      <c r="B4343">
        <v>155</v>
      </c>
      <c r="C4343" t="s">
        <v>17</v>
      </c>
      <c r="D4343" t="s">
        <v>15</v>
      </c>
      <c r="E4343">
        <v>67</v>
      </c>
      <c r="F4343" t="s">
        <v>19</v>
      </c>
      <c r="G4343">
        <v>3186.7000000000003</v>
      </c>
      <c r="H4343">
        <v>22474</v>
      </c>
      <c r="I4343">
        <v>11</v>
      </c>
      <c r="J4343">
        <v>9</v>
      </c>
      <c r="K4343">
        <v>4</v>
      </c>
      <c r="L4343">
        <v>3</v>
      </c>
      <c r="M4343">
        <v>2</v>
      </c>
      <c r="N4343">
        <v>3</v>
      </c>
      <c r="P4343">
        <f>G4343*I4343/100</f>
        <v>350.53700000000003</v>
      </c>
      <c r="Q4343">
        <f t="shared" si="44"/>
        <v>38240.400000000001</v>
      </c>
      <c r="R4343">
        <f>K4343/J4343</f>
        <v>0.44444444444444442</v>
      </c>
    </row>
    <row r="4344" spans="1:18" x14ac:dyDescent="0.3">
      <c r="A4344">
        <v>33</v>
      </c>
      <c r="B4344">
        <v>1303</v>
      </c>
      <c r="C4344" t="s">
        <v>17</v>
      </c>
      <c r="D4344" t="s">
        <v>18</v>
      </c>
      <c r="E4344">
        <v>36</v>
      </c>
      <c r="F4344" t="s">
        <v>22</v>
      </c>
      <c r="G4344">
        <v>6564.8</v>
      </c>
      <c r="H4344">
        <v>18079</v>
      </c>
      <c r="I4344">
        <v>20</v>
      </c>
      <c r="J4344">
        <v>9</v>
      </c>
      <c r="K4344">
        <v>9</v>
      </c>
      <c r="L4344">
        <v>7</v>
      </c>
      <c r="M4344">
        <v>2</v>
      </c>
      <c r="N4344">
        <v>8</v>
      </c>
      <c r="P4344">
        <f>G4344*I4344/100</f>
        <v>1312.96</v>
      </c>
      <c r="Q4344">
        <f t="shared" si="44"/>
        <v>78777.600000000006</v>
      </c>
      <c r="R4344">
        <f>K4344/J4344</f>
        <v>1</v>
      </c>
    </row>
    <row r="4345" spans="1:18" x14ac:dyDescent="0.3">
      <c r="A4345">
        <v>43</v>
      </c>
      <c r="B4345">
        <v>574</v>
      </c>
      <c r="C4345" t="s">
        <v>17</v>
      </c>
      <c r="D4345" t="s">
        <v>18</v>
      </c>
      <c r="E4345">
        <v>30</v>
      </c>
      <c r="F4345" t="s">
        <v>22</v>
      </c>
      <c r="G4345">
        <v>8261</v>
      </c>
      <c r="H4345">
        <v>16873</v>
      </c>
      <c r="I4345">
        <v>17</v>
      </c>
      <c r="J4345">
        <v>10</v>
      </c>
      <c r="K4345">
        <v>10</v>
      </c>
      <c r="L4345">
        <v>9</v>
      </c>
      <c r="M4345">
        <v>0</v>
      </c>
      <c r="N4345">
        <v>9</v>
      </c>
      <c r="P4345">
        <f>G4345*I4345/100</f>
        <v>1404.37</v>
      </c>
      <c r="Q4345">
        <f t="shared" si="44"/>
        <v>99132</v>
      </c>
      <c r="R4345">
        <f>K4345/J4345</f>
        <v>1</v>
      </c>
    </row>
    <row r="4346" spans="1:18" x14ac:dyDescent="0.3">
      <c r="A4346">
        <v>38</v>
      </c>
      <c r="B4346">
        <v>1444</v>
      </c>
      <c r="C4346" t="s">
        <v>26</v>
      </c>
      <c r="D4346" t="s">
        <v>18</v>
      </c>
      <c r="E4346">
        <v>88</v>
      </c>
      <c r="F4346" t="s">
        <v>26</v>
      </c>
      <c r="G4346">
        <v>3290.1000000000004</v>
      </c>
      <c r="H4346">
        <v>5224</v>
      </c>
      <c r="I4346">
        <v>11</v>
      </c>
      <c r="J4346">
        <v>7</v>
      </c>
      <c r="K4346">
        <v>6</v>
      </c>
      <c r="L4346">
        <v>2</v>
      </c>
      <c r="M4346">
        <v>1</v>
      </c>
      <c r="N4346">
        <v>2</v>
      </c>
      <c r="P4346">
        <f>G4346*I4346/100</f>
        <v>361.91100000000006</v>
      </c>
      <c r="Q4346">
        <f t="shared" si="44"/>
        <v>39481.200000000004</v>
      </c>
      <c r="R4346">
        <f>K4346/J4346</f>
        <v>0.8571428571428571</v>
      </c>
    </row>
    <row r="4347" spans="1:18" x14ac:dyDescent="0.3">
      <c r="A4347">
        <v>55</v>
      </c>
      <c r="B4347">
        <v>189</v>
      </c>
      <c r="C4347" t="s">
        <v>26</v>
      </c>
      <c r="D4347" t="s">
        <v>18</v>
      </c>
      <c r="E4347">
        <v>71</v>
      </c>
      <c r="F4347" t="s">
        <v>23</v>
      </c>
      <c r="G4347">
        <v>21599.600000000002</v>
      </c>
      <c r="H4347">
        <v>25811</v>
      </c>
      <c r="I4347">
        <v>18</v>
      </c>
      <c r="J4347">
        <v>35</v>
      </c>
      <c r="K4347">
        <v>10</v>
      </c>
      <c r="L4347">
        <v>9</v>
      </c>
      <c r="M4347">
        <v>1</v>
      </c>
      <c r="N4347">
        <v>4</v>
      </c>
      <c r="P4347">
        <f>G4347*I4347/100</f>
        <v>3887.9280000000003</v>
      </c>
      <c r="Q4347">
        <f t="shared" si="44"/>
        <v>259195.2</v>
      </c>
      <c r="R4347">
        <f>K4347/J4347</f>
        <v>0.2857142857142857</v>
      </c>
    </row>
    <row r="4348" spans="1:18" x14ac:dyDescent="0.3">
      <c r="A4348">
        <v>31</v>
      </c>
      <c r="B4348">
        <v>1276</v>
      </c>
      <c r="C4348" t="s">
        <v>17</v>
      </c>
      <c r="D4348" t="s">
        <v>15</v>
      </c>
      <c r="E4348">
        <v>59</v>
      </c>
      <c r="F4348" t="s">
        <v>20</v>
      </c>
      <c r="G4348">
        <v>1241.9000000000001</v>
      </c>
      <c r="H4348">
        <v>17536</v>
      </c>
      <c r="I4348">
        <v>11</v>
      </c>
      <c r="J4348">
        <v>1</v>
      </c>
      <c r="K4348">
        <v>1</v>
      </c>
      <c r="L4348">
        <v>0</v>
      </c>
      <c r="M4348">
        <v>0</v>
      </c>
      <c r="N4348">
        <v>0</v>
      </c>
      <c r="P4348">
        <f>G4348*I4348/100</f>
        <v>136.60900000000001</v>
      </c>
      <c r="Q4348">
        <f t="shared" si="44"/>
        <v>14902.800000000001</v>
      </c>
      <c r="R4348">
        <f>K4348/J4348</f>
        <v>1</v>
      </c>
    </row>
    <row r="4349" spans="1:18" x14ac:dyDescent="0.3">
      <c r="A4349">
        <v>39</v>
      </c>
      <c r="B4349">
        <v>119</v>
      </c>
      <c r="C4349" t="s">
        <v>14</v>
      </c>
      <c r="D4349" t="s">
        <v>18</v>
      </c>
      <c r="E4349">
        <v>77</v>
      </c>
      <c r="F4349" t="s">
        <v>16</v>
      </c>
      <c r="G4349">
        <v>14675.1</v>
      </c>
      <c r="H4349">
        <v>25098</v>
      </c>
      <c r="I4349">
        <v>12</v>
      </c>
      <c r="J4349">
        <v>21</v>
      </c>
      <c r="K4349">
        <v>20</v>
      </c>
      <c r="L4349">
        <v>8</v>
      </c>
      <c r="M4349">
        <v>11</v>
      </c>
      <c r="N4349">
        <v>10</v>
      </c>
      <c r="P4349">
        <f>G4349*I4349/100</f>
        <v>1761.0120000000002</v>
      </c>
      <c r="Q4349">
        <f t="shared" si="44"/>
        <v>176101.2</v>
      </c>
      <c r="R4349">
        <f>K4349/J4349</f>
        <v>0.95238095238095233</v>
      </c>
    </row>
    <row r="4350" spans="1:18" x14ac:dyDescent="0.3">
      <c r="A4350">
        <v>42</v>
      </c>
      <c r="B4350">
        <v>335</v>
      </c>
      <c r="C4350" t="s">
        <v>17</v>
      </c>
      <c r="D4350" t="s">
        <v>18</v>
      </c>
      <c r="E4350">
        <v>37</v>
      </c>
      <c r="F4350" t="s">
        <v>19</v>
      </c>
      <c r="G4350">
        <v>4765.2000000000007</v>
      </c>
      <c r="H4350">
        <v>14811</v>
      </c>
      <c r="I4350">
        <v>12</v>
      </c>
      <c r="J4350">
        <v>20</v>
      </c>
      <c r="K4350">
        <v>20</v>
      </c>
      <c r="L4350">
        <v>9</v>
      </c>
      <c r="M4350">
        <v>3</v>
      </c>
      <c r="N4350">
        <v>7</v>
      </c>
      <c r="P4350">
        <f>G4350*I4350/100</f>
        <v>571.82400000000007</v>
      </c>
      <c r="Q4350">
        <f t="shared" si="44"/>
        <v>57182.400000000009</v>
      </c>
      <c r="R4350">
        <f>K4350/J4350</f>
        <v>1</v>
      </c>
    </row>
    <row r="4351" spans="1:18" x14ac:dyDescent="0.3">
      <c r="A4351">
        <v>31</v>
      </c>
      <c r="B4351">
        <v>697</v>
      </c>
      <c r="C4351" t="s">
        <v>17</v>
      </c>
      <c r="D4351" t="s">
        <v>15</v>
      </c>
      <c r="E4351">
        <v>40</v>
      </c>
      <c r="F4351" t="s">
        <v>25</v>
      </c>
      <c r="G4351">
        <v>12134.1</v>
      </c>
      <c r="H4351">
        <v>26862</v>
      </c>
      <c r="I4351">
        <v>20</v>
      </c>
      <c r="J4351">
        <v>13</v>
      </c>
      <c r="K4351">
        <v>11</v>
      </c>
      <c r="L4351">
        <v>7</v>
      </c>
      <c r="M4351">
        <v>4</v>
      </c>
      <c r="N4351">
        <v>8</v>
      </c>
      <c r="P4351">
        <f>G4351*I4351/100</f>
        <v>2426.8200000000002</v>
      </c>
      <c r="Q4351">
        <f t="shared" si="44"/>
        <v>145609.20000000001</v>
      </c>
      <c r="R4351">
        <f>K4351/J4351</f>
        <v>0.84615384615384615</v>
      </c>
    </row>
    <row r="4352" spans="1:18" x14ac:dyDescent="0.3">
      <c r="A4352">
        <v>54</v>
      </c>
      <c r="B4352">
        <v>157</v>
      </c>
      <c r="C4352" t="s">
        <v>17</v>
      </c>
      <c r="D4352" t="s">
        <v>15</v>
      </c>
      <c r="E4352">
        <v>77</v>
      </c>
      <c r="F4352" t="s">
        <v>21</v>
      </c>
      <c r="G4352">
        <v>4884</v>
      </c>
      <c r="H4352">
        <v>25198</v>
      </c>
      <c r="I4352">
        <v>19</v>
      </c>
      <c r="J4352">
        <v>9</v>
      </c>
      <c r="K4352">
        <v>5</v>
      </c>
      <c r="L4352">
        <v>2</v>
      </c>
      <c r="M4352">
        <v>1</v>
      </c>
      <c r="N4352">
        <v>4</v>
      </c>
      <c r="P4352">
        <f>G4352*I4352/100</f>
        <v>927.96</v>
      </c>
      <c r="Q4352">
        <f t="shared" si="44"/>
        <v>58608</v>
      </c>
      <c r="R4352">
        <f>K4352/J4352</f>
        <v>0.55555555555555558</v>
      </c>
    </row>
    <row r="4353" spans="1:18" x14ac:dyDescent="0.3">
      <c r="A4353">
        <v>24</v>
      </c>
      <c r="B4353">
        <v>771</v>
      </c>
      <c r="C4353" t="s">
        <v>17</v>
      </c>
      <c r="D4353" t="s">
        <v>18</v>
      </c>
      <c r="E4353">
        <v>45</v>
      </c>
      <c r="F4353" t="s">
        <v>22</v>
      </c>
      <c r="G4353">
        <v>5078.7000000000007</v>
      </c>
      <c r="H4353">
        <v>14120</v>
      </c>
      <c r="I4353">
        <v>12</v>
      </c>
      <c r="J4353">
        <v>4</v>
      </c>
      <c r="K4353">
        <v>4</v>
      </c>
      <c r="L4353">
        <v>3</v>
      </c>
      <c r="M4353">
        <v>1</v>
      </c>
      <c r="N4353">
        <v>2</v>
      </c>
      <c r="P4353">
        <f>G4353*I4353/100</f>
        <v>609.44400000000007</v>
      </c>
      <c r="Q4353">
        <f t="shared" si="44"/>
        <v>60944.400000000009</v>
      </c>
      <c r="R4353">
        <f>K4353/J4353</f>
        <v>1</v>
      </c>
    </row>
    <row r="4354" spans="1:18" x14ac:dyDescent="0.3">
      <c r="A4354">
        <v>23</v>
      </c>
      <c r="B4354">
        <v>571</v>
      </c>
      <c r="C4354" t="s">
        <v>17</v>
      </c>
      <c r="D4354" t="s">
        <v>18</v>
      </c>
      <c r="E4354">
        <v>78</v>
      </c>
      <c r="F4354" t="s">
        <v>20</v>
      </c>
      <c r="G4354">
        <v>2911.7000000000003</v>
      </c>
      <c r="H4354">
        <v>13672</v>
      </c>
      <c r="I4354">
        <v>13</v>
      </c>
      <c r="J4354">
        <v>5</v>
      </c>
      <c r="K4354">
        <v>5</v>
      </c>
      <c r="L4354">
        <v>2</v>
      </c>
      <c r="M4354">
        <v>1</v>
      </c>
      <c r="N4354">
        <v>4</v>
      </c>
      <c r="P4354">
        <f>G4354*I4354/100</f>
        <v>378.52100000000007</v>
      </c>
      <c r="Q4354">
        <f t="shared" si="44"/>
        <v>34940.400000000001</v>
      </c>
      <c r="R4354">
        <f>K4354/J4354</f>
        <v>1</v>
      </c>
    </row>
    <row r="4355" spans="1:18" x14ac:dyDescent="0.3">
      <c r="A4355">
        <v>40</v>
      </c>
      <c r="B4355">
        <v>692</v>
      </c>
      <c r="C4355" t="s">
        <v>17</v>
      </c>
      <c r="D4355" t="s">
        <v>15</v>
      </c>
      <c r="E4355">
        <v>73</v>
      </c>
      <c r="F4355" t="s">
        <v>20</v>
      </c>
      <c r="G4355">
        <v>6955.3</v>
      </c>
      <c r="H4355">
        <v>26849</v>
      </c>
      <c r="I4355">
        <v>11</v>
      </c>
      <c r="J4355">
        <v>10</v>
      </c>
      <c r="K4355">
        <v>10</v>
      </c>
      <c r="L4355">
        <v>9</v>
      </c>
      <c r="M4355">
        <v>9</v>
      </c>
      <c r="N4355">
        <v>4</v>
      </c>
      <c r="P4355">
        <f>G4355*I4355/100</f>
        <v>765.08300000000008</v>
      </c>
      <c r="Q4355">
        <f t="shared" ref="Q4355:Q4415" si="45">G4355*12</f>
        <v>83463.600000000006</v>
      </c>
      <c r="R4355">
        <f>K4355/J4355</f>
        <v>1</v>
      </c>
    </row>
    <row r="4356" spans="1:18" x14ac:dyDescent="0.3">
      <c r="A4356">
        <v>40</v>
      </c>
      <c r="B4356">
        <v>444</v>
      </c>
      <c r="C4356" t="s">
        <v>14</v>
      </c>
      <c r="D4356" t="s">
        <v>15</v>
      </c>
      <c r="E4356">
        <v>92</v>
      </c>
      <c r="F4356" t="s">
        <v>16</v>
      </c>
      <c r="G4356">
        <v>6244.7000000000007</v>
      </c>
      <c r="H4356">
        <v>4258</v>
      </c>
      <c r="I4356">
        <v>14</v>
      </c>
      <c r="J4356">
        <v>15</v>
      </c>
      <c r="K4356">
        <v>11</v>
      </c>
      <c r="L4356">
        <v>8</v>
      </c>
      <c r="M4356">
        <v>5</v>
      </c>
      <c r="N4356">
        <v>10</v>
      </c>
      <c r="P4356">
        <f>G4356*I4356/100</f>
        <v>874.25800000000015</v>
      </c>
      <c r="Q4356">
        <f t="shared" si="45"/>
        <v>74936.400000000009</v>
      </c>
      <c r="R4356">
        <f>K4356/J4356</f>
        <v>0.73333333333333328</v>
      </c>
    </row>
    <row r="4357" spans="1:18" x14ac:dyDescent="0.3">
      <c r="A4357">
        <v>25</v>
      </c>
      <c r="B4357">
        <v>309</v>
      </c>
      <c r="C4357" t="s">
        <v>26</v>
      </c>
      <c r="D4357" t="s">
        <v>15</v>
      </c>
      <c r="E4357">
        <v>82</v>
      </c>
      <c r="F4357" t="s">
        <v>26</v>
      </c>
      <c r="G4357">
        <v>2405.7000000000003</v>
      </c>
      <c r="H4357">
        <v>19655</v>
      </c>
      <c r="I4357">
        <v>14</v>
      </c>
      <c r="J4357">
        <v>6</v>
      </c>
      <c r="K4357">
        <v>2</v>
      </c>
      <c r="L4357">
        <v>0</v>
      </c>
      <c r="M4357">
        <v>1</v>
      </c>
      <c r="N4357">
        <v>2</v>
      </c>
      <c r="P4357">
        <f>G4357*I4357/100</f>
        <v>336.798</v>
      </c>
      <c r="Q4357">
        <f t="shared" si="45"/>
        <v>28868.400000000001</v>
      </c>
      <c r="R4357">
        <f>K4357/J4357</f>
        <v>0.33333333333333331</v>
      </c>
    </row>
    <row r="4358" spans="1:18" x14ac:dyDescent="0.3">
      <c r="A4358">
        <v>30</v>
      </c>
      <c r="B4358">
        <v>911</v>
      </c>
      <c r="C4358" t="s">
        <v>17</v>
      </c>
      <c r="D4358" t="s">
        <v>18</v>
      </c>
      <c r="E4358">
        <v>76</v>
      </c>
      <c r="F4358" t="s">
        <v>20</v>
      </c>
      <c r="G4358">
        <v>4122.8</v>
      </c>
      <c r="H4358">
        <v>4077</v>
      </c>
      <c r="I4358">
        <v>13</v>
      </c>
      <c r="J4358">
        <v>12</v>
      </c>
      <c r="K4358">
        <v>12</v>
      </c>
      <c r="L4358">
        <v>8</v>
      </c>
      <c r="M4358">
        <v>1</v>
      </c>
      <c r="N4358">
        <v>7</v>
      </c>
      <c r="P4358">
        <f>G4358*I4358/100</f>
        <v>535.96400000000006</v>
      </c>
      <c r="Q4358">
        <f t="shared" si="45"/>
        <v>49473.600000000006</v>
      </c>
      <c r="R4358">
        <f>K4358/J4358</f>
        <v>1</v>
      </c>
    </row>
    <row r="4359" spans="1:18" x14ac:dyDescent="0.3">
      <c r="A4359">
        <v>25</v>
      </c>
      <c r="B4359">
        <v>977</v>
      </c>
      <c r="C4359" t="s">
        <v>17</v>
      </c>
      <c r="D4359" t="s">
        <v>18</v>
      </c>
      <c r="E4359">
        <v>57</v>
      </c>
      <c r="F4359" t="s">
        <v>20</v>
      </c>
      <c r="G4359">
        <v>4374.7000000000007</v>
      </c>
      <c r="H4359">
        <v>7298</v>
      </c>
      <c r="I4359">
        <v>19</v>
      </c>
      <c r="J4359">
        <v>7</v>
      </c>
      <c r="K4359">
        <v>2</v>
      </c>
      <c r="L4359">
        <v>2</v>
      </c>
      <c r="M4359">
        <v>0</v>
      </c>
      <c r="N4359">
        <v>2</v>
      </c>
      <c r="P4359">
        <f>G4359*I4359/100</f>
        <v>831.19300000000021</v>
      </c>
      <c r="Q4359">
        <f t="shared" si="45"/>
        <v>52496.400000000009</v>
      </c>
      <c r="R4359">
        <f>K4359/J4359</f>
        <v>0.2857142857142857</v>
      </c>
    </row>
    <row r="4360" spans="1:18" x14ac:dyDescent="0.3">
      <c r="A4360">
        <v>47</v>
      </c>
      <c r="B4360">
        <v>1180</v>
      </c>
      <c r="C4360" t="s">
        <v>17</v>
      </c>
      <c r="D4360" t="s">
        <v>18</v>
      </c>
      <c r="E4360">
        <v>84</v>
      </c>
      <c r="F4360" t="s">
        <v>22</v>
      </c>
      <c r="G4360">
        <v>9496.3000000000011</v>
      </c>
      <c r="H4360">
        <v>13084</v>
      </c>
      <c r="I4360">
        <v>23</v>
      </c>
      <c r="J4360">
        <v>25</v>
      </c>
      <c r="K4360">
        <v>17</v>
      </c>
      <c r="L4360">
        <v>14</v>
      </c>
      <c r="M4360">
        <v>12</v>
      </c>
      <c r="N4360">
        <v>11</v>
      </c>
      <c r="P4360">
        <f>G4360*I4360/100</f>
        <v>2184.1490000000003</v>
      </c>
      <c r="Q4360">
        <f t="shared" si="45"/>
        <v>113955.6</v>
      </c>
      <c r="R4360">
        <f>K4360/J4360</f>
        <v>0.68</v>
      </c>
    </row>
    <row r="4361" spans="1:18" x14ac:dyDescent="0.3">
      <c r="A4361">
        <v>33</v>
      </c>
      <c r="B4361">
        <v>1313</v>
      </c>
      <c r="C4361" t="s">
        <v>17</v>
      </c>
      <c r="D4361" t="s">
        <v>18</v>
      </c>
      <c r="E4361">
        <v>59</v>
      </c>
      <c r="F4361" t="s">
        <v>20</v>
      </c>
      <c r="G4361">
        <v>2208.8000000000002</v>
      </c>
      <c r="H4361">
        <v>20439</v>
      </c>
      <c r="I4361">
        <v>12</v>
      </c>
      <c r="J4361">
        <v>1</v>
      </c>
      <c r="K4361">
        <v>1</v>
      </c>
      <c r="L4361">
        <v>1</v>
      </c>
      <c r="M4361">
        <v>0</v>
      </c>
      <c r="N4361">
        <v>0</v>
      </c>
      <c r="P4361">
        <f>G4361*I4361/100</f>
        <v>265.05600000000004</v>
      </c>
      <c r="Q4361">
        <f t="shared" si="45"/>
        <v>26505.600000000002</v>
      </c>
      <c r="R4361">
        <f>K4361/J4361</f>
        <v>1</v>
      </c>
    </row>
    <row r="4362" spans="1:18" x14ac:dyDescent="0.3">
      <c r="A4362">
        <v>38</v>
      </c>
      <c r="B4362">
        <v>1321</v>
      </c>
      <c r="C4362" t="s">
        <v>14</v>
      </c>
      <c r="D4362" t="s">
        <v>18</v>
      </c>
      <c r="E4362">
        <v>86</v>
      </c>
      <c r="F4362" t="s">
        <v>16</v>
      </c>
      <c r="G4362">
        <v>4884</v>
      </c>
      <c r="H4362">
        <v>7636</v>
      </c>
      <c r="I4362">
        <v>15</v>
      </c>
      <c r="J4362">
        <v>16</v>
      </c>
      <c r="K4362">
        <v>15</v>
      </c>
      <c r="L4362">
        <v>13</v>
      </c>
      <c r="M4362">
        <v>5</v>
      </c>
      <c r="N4362">
        <v>8</v>
      </c>
      <c r="P4362">
        <f>G4362*I4362/100</f>
        <v>732.6</v>
      </c>
      <c r="Q4362">
        <f t="shared" si="45"/>
        <v>58608</v>
      </c>
      <c r="R4362">
        <f>K4362/J4362</f>
        <v>0.9375</v>
      </c>
    </row>
    <row r="4363" spans="1:18" x14ac:dyDescent="0.3">
      <c r="A4363">
        <v>31</v>
      </c>
      <c r="B4363">
        <v>1154</v>
      </c>
      <c r="C4363" t="s">
        <v>14</v>
      </c>
      <c r="D4363" t="s">
        <v>18</v>
      </c>
      <c r="E4363">
        <v>54</v>
      </c>
      <c r="F4363" t="s">
        <v>24</v>
      </c>
      <c r="G4363">
        <v>3373.7000000000003</v>
      </c>
      <c r="H4363">
        <v>6393</v>
      </c>
      <c r="I4363">
        <v>19</v>
      </c>
      <c r="J4363">
        <v>3</v>
      </c>
      <c r="K4363">
        <v>2</v>
      </c>
      <c r="L4363">
        <v>2</v>
      </c>
      <c r="M4363">
        <v>1</v>
      </c>
      <c r="N4363">
        <v>2</v>
      </c>
      <c r="P4363">
        <f>G4363*I4363/100</f>
        <v>641.00300000000004</v>
      </c>
      <c r="Q4363">
        <f t="shared" si="45"/>
        <v>40484.400000000001</v>
      </c>
      <c r="R4363">
        <f>K4363/J4363</f>
        <v>0.66666666666666663</v>
      </c>
    </row>
    <row r="4364" spans="1:18" x14ac:dyDescent="0.3">
      <c r="A4364">
        <v>38</v>
      </c>
      <c r="B4364">
        <v>508</v>
      </c>
      <c r="C4364" t="s">
        <v>17</v>
      </c>
      <c r="D4364" t="s">
        <v>18</v>
      </c>
      <c r="E4364">
        <v>72</v>
      </c>
      <c r="F4364" t="s">
        <v>21</v>
      </c>
      <c r="G4364">
        <v>5853.1</v>
      </c>
      <c r="H4364">
        <v>14284</v>
      </c>
      <c r="I4364">
        <v>11</v>
      </c>
      <c r="J4364">
        <v>10</v>
      </c>
      <c r="K4364">
        <v>8</v>
      </c>
      <c r="L4364">
        <v>3</v>
      </c>
      <c r="M4364">
        <v>7</v>
      </c>
      <c r="N4364">
        <v>7</v>
      </c>
      <c r="P4364">
        <f>G4364*I4364/100</f>
        <v>643.84100000000001</v>
      </c>
      <c r="Q4364">
        <f t="shared" si="45"/>
        <v>70237.200000000012</v>
      </c>
      <c r="R4364">
        <f>K4364/J4364</f>
        <v>0.8</v>
      </c>
    </row>
    <row r="4365" spans="1:18" x14ac:dyDescent="0.3">
      <c r="A4365">
        <v>42</v>
      </c>
      <c r="B4365">
        <v>557</v>
      </c>
      <c r="C4365" t="s">
        <v>17</v>
      </c>
      <c r="D4365" t="s">
        <v>18</v>
      </c>
      <c r="E4365">
        <v>35</v>
      </c>
      <c r="F4365" t="s">
        <v>19</v>
      </c>
      <c r="G4365">
        <v>5951.0000000000009</v>
      </c>
      <c r="H4365">
        <v>11189</v>
      </c>
      <c r="I4365">
        <v>17</v>
      </c>
      <c r="J4365">
        <v>9</v>
      </c>
      <c r="K4365">
        <v>4</v>
      </c>
      <c r="L4365">
        <v>3</v>
      </c>
      <c r="M4365">
        <v>1</v>
      </c>
      <c r="N4365">
        <v>2</v>
      </c>
      <c r="P4365">
        <f>G4365*I4365/100</f>
        <v>1011.6700000000002</v>
      </c>
      <c r="Q4365">
        <f t="shared" si="45"/>
        <v>71412.000000000015</v>
      </c>
      <c r="R4365">
        <f>K4365/J4365</f>
        <v>0.44444444444444442</v>
      </c>
    </row>
    <row r="4366" spans="1:18" x14ac:dyDescent="0.3">
      <c r="A4366">
        <v>41</v>
      </c>
      <c r="B4366">
        <v>642</v>
      </c>
      <c r="C4366" t="s">
        <v>17</v>
      </c>
      <c r="D4366" t="s">
        <v>18</v>
      </c>
      <c r="E4366">
        <v>76</v>
      </c>
      <c r="F4366" t="s">
        <v>19</v>
      </c>
      <c r="G4366">
        <v>3060.2000000000003</v>
      </c>
      <c r="H4366">
        <v>21412</v>
      </c>
      <c r="I4366">
        <v>22</v>
      </c>
      <c r="J4366">
        <v>12</v>
      </c>
      <c r="K4366">
        <v>5</v>
      </c>
      <c r="L4366">
        <v>3</v>
      </c>
      <c r="M4366">
        <v>1</v>
      </c>
      <c r="N4366">
        <v>0</v>
      </c>
      <c r="P4366">
        <f>G4366*I4366/100</f>
        <v>673.24400000000014</v>
      </c>
      <c r="Q4366">
        <f t="shared" si="45"/>
        <v>36722.400000000001</v>
      </c>
      <c r="R4366">
        <f>K4366/J4366</f>
        <v>0.41666666666666669</v>
      </c>
    </row>
    <row r="4367" spans="1:18" x14ac:dyDescent="0.3">
      <c r="A4367">
        <v>47</v>
      </c>
      <c r="B4367">
        <v>1162</v>
      </c>
      <c r="C4367" t="s">
        <v>17</v>
      </c>
      <c r="D4367" t="s">
        <v>15</v>
      </c>
      <c r="E4367">
        <v>98</v>
      </c>
      <c r="F4367" t="s">
        <v>25</v>
      </c>
      <c r="G4367">
        <v>13152.7</v>
      </c>
      <c r="H4367">
        <v>17231</v>
      </c>
      <c r="I4367">
        <v>18</v>
      </c>
      <c r="J4367">
        <v>14</v>
      </c>
      <c r="K4367">
        <v>13</v>
      </c>
      <c r="L4367">
        <v>8</v>
      </c>
      <c r="M4367">
        <v>5</v>
      </c>
      <c r="N4367">
        <v>12</v>
      </c>
      <c r="P4367">
        <f>G4367*I4367/100</f>
        <v>2367.4859999999999</v>
      </c>
      <c r="Q4367">
        <f t="shared" si="45"/>
        <v>157832.40000000002</v>
      </c>
      <c r="R4367">
        <f>K4367/J4367</f>
        <v>0.9285714285714286</v>
      </c>
    </row>
    <row r="4368" spans="1:18" x14ac:dyDescent="0.3">
      <c r="A4368">
        <v>35</v>
      </c>
      <c r="B4368">
        <v>1490</v>
      </c>
      <c r="C4368" t="s">
        <v>17</v>
      </c>
      <c r="D4368" t="s">
        <v>18</v>
      </c>
      <c r="E4368">
        <v>43</v>
      </c>
      <c r="F4368" t="s">
        <v>20</v>
      </c>
      <c r="G4368">
        <v>2926.0000000000005</v>
      </c>
      <c r="H4368">
        <v>20232</v>
      </c>
      <c r="I4368">
        <v>11</v>
      </c>
      <c r="J4368">
        <v>5</v>
      </c>
      <c r="K4368">
        <v>2</v>
      </c>
      <c r="L4368">
        <v>2</v>
      </c>
      <c r="M4368">
        <v>2</v>
      </c>
      <c r="N4368">
        <v>2</v>
      </c>
      <c r="P4368">
        <f>G4368*I4368/100</f>
        <v>321.86</v>
      </c>
      <c r="Q4368">
        <f t="shared" si="45"/>
        <v>35112.000000000007</v>
      </c>
      <c r="R4368">
        <f>K4368/J4368</f>
        <v>0.4</v>
      </c>
    </row>
    <row r="4369" spans="1:18" x14ac:dyDescent="0.3">
      <c r="A4369">
        <v>22</v>
      </c>
      <c r="B4369">
        <v>581</v>
      </c>
      <c r="C4369" t="s">
        <v>17</v>
      </c>
      <c r="D4369" t="s">
        <v>18</v>
      </c>
      <c r="E4369">
        <v>63</v>
      </c>
      <c r="F4369" t="s">
        <v>19</v>
      </c>
      <c r="G4369">
        <v>3712.5000000000005</v>
      </c>
      <c r="H4369">
        <v>17624</v>
      </c>
      <c r="I4369">
        <v>12</v>
      </c>
      <c r="J4369">
        <v>4</v>
      </c>
      <c r="K4369">
        <v>3</v>
      </c>
      <c r="L4369">
        <v>2</v>
      </c>
      <c r="M4369">
        <v>1</v>
      </c>
      <c r="N4369">
        <v>2</v>
      </c>
      <c r="P4369">
        <f>G4369*I4369/100</f>
        <v>445.50000000000006</v>
      </c>
      <c r="Q4369">
        <f t="shared" si="45"/>
        <v>44550.000000000007</v>
      </c>
      <c r="R4369">
        <f>K4369/J4369</f>
        <v>0.75</v>
      </c>
    </row>
    <row r="4370" spans="1:18" x14ac:dyDescent="0.3">
      <c r="A4370">
        <v>35</v>
      </c>
      <c r="B4370">
        <v>1395</v>
      </c>
      <c r="C4370" t="s">
        <v>17</v>
      </c>
      <c r="D4370" t="s">
        <v>18</v>
      </c>
      <c r="E4370">
        <v>48</v>
      </c>
      <c r="F4370" t="s">
        <v>19</v>
      </c>
      <c r="G4370">
        <v>5607.8</v>
      </c>
      <c r="H4370">
        <v>18698</v>
      </c>
      <c r="I4370">
        <v>19</v>
      </c>
      <c r="J4370">
        <v>10</v>
      </c>
      <c r="K4370">
        <v>10</v>
      </c>
      <c r="L4370">
        <v>7</v>
      </c>
      <c r="M4370">
        <v>0</v>
      </c>
      <c r="N4370">
        <v>8</v>
      </c>
      <c r="P4370">
        <f>G4370*I4370/100</f>
        <v>1065.482</v>
      </c>
      <c r="Q4370">
        <f t="shared" si="45"/>
        <v>67293.600000000006</v>
      </c>
      <c r="R4370">
        <f>K4370/J4370</f>
        <v>1</v>
      </c>
    </row>
    <row r="4371" spans="1:18" x14ac:dyDescent="0.3">
      <c r="A4371">
        <v>33</v>
      </c>
      <c r="B4371">
        <v>501</v>
      </c>
      <c r="C4371" t="s">
        <v>17</v>
      </c>
      <c r="D4371" t="s">
        <v>15</v>
      </c>
      <c r="E4371">
        <v>95</v>
      </c>
      <c r="F4371" t="s">
        <v>22</v>
      </c>
      <c r="G4371">
        <v>5365.8</v>
      </c>
      <c r="H4371">
        <v>21653</v>
      </c>
      <c r="I4371">
        <v>13</v>
      </c>
      <c r="J4371">
        <v>10</v>
      </c>
      <c r="K4371">
        <v>9</v>
      </c>
      <c r="L4371">
        <v>7</v>
      </c>
      <c r="M4371">
        <v>8</v>
      </c>
      <c r="N4371">
        <v>1</v>
      </c>
      <c r="P4371">
        <f>G4371*I4371/100</f>
        <v>697.55400000000009</v>
      </c>
      <c r="Q4371">
        <f t="shared" si="45"/>
        <v>64389.600000000006</v>
      </c>
      <c r="R4371">
        <f>K4371/J4371</f>
        <v>0.9</v>
      </c>
    </row>
    <row r="4372" spans="1:18" x14ac:dyDescent="0.3">
      <c r="A4372">
        <v>32</v>
      </c>
      <c r="B4372">
        <v>267</v>
      </c>
      <c r="C4372" t="s">
        <v>17</v>
      </c>
      <c r="D4372" t="s">
        <v>15</v>
      </c>
      <c r="E4372">
        <v>49</v>
      </c>
      <c r="F4372" t="s">
        <v>20</v>
      </c>
      <c r="G4372">
        <v>3120.7000000000003</v>
      </c>
      <c r="H4372">
        <v>15919</v>
      </c>
      <c r="I4372">
        <v>13</v>
      </c>
      <c r="J4372">
        <v>6</v>
      </c>
      <c r="K4372">
        <v>6</v>
      </c>
      <c r="L4372">
        <v>2</v>
      </c>
      <c r="M4372">
        <v>4</v>
      </c>
      <c r="N4372">
        <v>1</v>
      </c>
      <c r="P4372">
        <f>G4372*I4372/100</f>
        <v>405.69100000000003</v>
      </c>
      <c r="Q4372">
        <f t="shared" si="45"/>
        <v>37448.400000000001</v>
      </c>
      <c r="R4372">
        <f>K4372/J4372</f>
        <v>1</v>
      </c>
    </row>
    <row r="4373" spans="1:18" x14ac:dyDescent="0.3">
      <c r="A4373">
        <v>40</v>
      </c>
      <c r="B4373">
        <v>543</v>
      </c>
      <c r="C4373" t="s">
        <v>17</v>
      </c>
      <c r="D4373" t="s">
        <v>18</v>
      </c>
      <c r="E4373">
        <v>83</v>
      </c>
      <c r="F4373" t="s">
        <v>20</v>
      </c>
      <c r="G4373">
        <v>2646.6000000000004</v>
      </c>
      <c r="H4373">
        <v>4060</v>
      </c>
      <c r="I4373">
        <v>19</v>
      </c>
      <c r="J4373">
        <v>8</v>
      </c>
      <c r="K4373">
        <v>1</v>
      </c>
      <c r="L4373">
        <v>0</v>
      </c>
      <c r="M4373">
        <v>0</v>
      </c>
      <c r="N4373">
        <v>0</v>
      </c>
      <c r="P4373">
        <f>G4373*I4373/100</f>
        <v>502.8540000000001</v>
      </c>
      <c r="Q4373">
        <f t="shared" si="45"/>
        <v>31759.200000000004</v>
      </c>
      <c r="R4373">
        <f>K4373/J4373</f>
        <v>0.125</v>
      </c>
    </row>
    <row r="4374" spans="1:18" x14ac:dyDescent="0.3">
      <c r="A4374">
        <v>32</v>
      </c>
      <c r="B4374">
        <v>234</v>
      </c>
      <c r="C4374" t="s">
        <v>14</v>
      </c>
      <c r="D4374" t="s">
        <v>18</v>
      </c>
      <c r="E4374">
        <v>68</v>
      </c>
      <c r="F4374" t="s">
        <v>24</v>
      </c>
      <c r="G4374">
        <v>2495.9</v>
      </c>
      <c r="H4374">
        <v>18024</v>
      </c>
      <c r="I4374">
        <v>14</v>
      </c>
      <c r="J4374">
        <v>3</v>
      </c>
      <c r="K4374">
        <v>2</v>
      </c>
      <c r="L4374">
        <v>2</v>
      </c>
      <c r="M4374">
        <v>2</v>
      </c>
      <c r="N4374">
        <v>2</v>
      </c>
      <c r="P4374">
        <f>G4374*I4374/100</f>
        <v>349.42599999999999</v>
      </c>
      <c r="Q4374">
        <f t="shared" si="45"/>
        <v>29950.800000000003</v>
      </c>
      <c r="R4374">
        <f>K4374/J4374</f>
        <v>0.66666666666666663</v>
      </c>
    </row>
    <row r="4375" spans="1:18" x14ac:dyDescent="0.3">
      <c r="A4375">
        <v>39</v>
      </c>
      <c r="B4375">
        <v>116</v>
      </c>
      <c r="C4375" t="s">
        <v>17</v>
      </c>
      <c r="D4375" t="s">
        <v>18</v>
      </c>
      <c r="E4375">
        <v>52</v>
      </c>
      <c r="F4375" t="s">
        <v>19</v>
      </c>
      <c r="G4375">
        <v>4518.8</v>
      </c>
      <c r="H4375">
        <v>5340</v>
      </c>
      <c r="I4375">
        <v>13</v>
      </c>
      <c r="J4375">
        <v>18</v>
      </c>
      <c r="K4375">
        <v>7</v>
      </c>
      <c r="L4375">
        <v>7</v>
      </c>
      <c r="M4375">
        <v>1</v>
      </c>
      <c r="N4375">
        <v>7</v>
      </c>
      <c r="P4375">
        <f>G4375*I4375/100</f>
        <v>587.44399999999996</v>
      </c>
      <c r="Q4375">
        <f t="shared" si="45"/>
        <v>54225.600000000006</v>
      </c>
      <c r="R4375">
        <f>K4375/J4375</f>
        <v>0.3888888888888889</v>
      </c>
    </row>
    <row r="4376" spans="1:18" x14ac:dyDescent="0.3">
      <c r="A4376">
        <v>38</v>
      </c>
      <c r="B4376">
        <v>201</v>
      </c>
      <c r="C4376" t="s">
        <v>17</v>
      </c>
      <c r="D4376" t="s">
        <v>15</v>
      </c>
      <c r="E4376">
        <v>99</v>
      </c>
      <c r="F4376" t="s">
        <v>25</v>
      </c>
      <c r="G4376">
        <v>14526.6</v>
      </c>
      <c r="H4376">
        <v>3376</v>
      </c>
      <c r="I4376">
        <v>12</v>
      </c>
      <c r="J4376">
        <v>20</v>
      </c>
      <c r="K4376">
        <v>18</v>
      </c>
      <c r="L4376">
        <v>16</v>
      </c>
      <c r="M4376">
        <v>1</v>
      </c>
      <c r="N4376">
        <v>11</v>
      </c>
      <c r="P4376">
        <f>G4376*I4376/100</f>
        <v>1743.192</v>
      </c>
      <c r="Q4376">
        <f t="shared" si="45"/>
        <v>174319.2</v>
      </c>
      <c r="R4376">
        <f>K4376/J4376</f>
        <v>0.9</v>
      </c>
    </row>
    <row r="4377" spans="1:18" x14ac:dyDescent="0.3">
      <c r="A4377">
        <v>32</v>
      </c>
      <c r="B4377">
        <v>801</v>
      </c>
      <c r="C4377" t="s">
        <v>14</v>
      </c>
      <c r="D4377" t="s">
        <v>15</v>
      </c>
      <c r="E4377">
        <v>48</v>
      </c>
      <c r="F4377" t="s">
        <v>16</v>
      </c>
      <c r="G4377">
        <v>11464.2</v>
      </c>
      <c r="H4377">
        <v>24032</v>
      </c>
      <c r="I4377">
        <v>19</v>
      </c>
      <c r="J4377">
        <v>14</v>
      </c>
      <c r="K4377">
        <v>14</v>
      </c>
      <c r="L4377">
        <v>10</v>
      </c>
      <c r="M4377">
        <v>5</v>
      </c>
      <c r="N4377">
        <v>7</v>
      </c>
      <c r="P4377">
        <f>G4377*I4377/100</f>
        <v>2178.1980000000003</v>
      </c>
      <c r="Q4377">
        <f t="shared" si="45"/>
        <v>137570.40000000002</v>
      </c>
      <c r="R4377">
        <f>K4377/J4377</f>
        <v>1</v>
      </c>
    </row>
    <row r="4378" spans="1:18" x14ac:dyDescent="0.3">
      <c r="A4378">
        <v>37</v>
      </c>
      <c r="B4378">
        <v>161</v>
      </c>
      <c r="C4378" t="s">
        <v>17</v>
      </c>
      <c r="D4378" t="s">
        <v>15</v>
      </c>
      <c r="E4378">
        <v>42</v>
      </c>
      <c r="F4378" t="s">
        <v>25</v>
      </c>
      <c r="G4378">
        <v>15118.400000000001</v>
      </c>
      <c r="H4378">
        <v>15471</v>
      </c>
      <c r="I4378">
        <v>25</v>
      </c>
      <c r="J4378">
        <v>16</v>
      </c>
      <c r="K4378">
        <v>16</v>
      </c>
      <c r="L4378">
        <v>11</v>
      </c>
      <c r="M4378">
        <v>6</v>
      </c>
      <c r="N4378">
        <v>8</v>
      </c>
      <c r="P4378">
        <f>G4378*I4378/100</f>
        <v>3779.6000000000004</v>
      </c>
      <c r="Q4378">
        <f t="shared" si="45"/>
        <v>181420.80000000002</v>
      </c>
      <c r="R4378">
        <f>K4378/J4378</f>
        <v>1</v>
      </c>
    </row>
    <row r="4379" spans="1:18" x14ac:dyDescent="0.3">
      <c r="A4379">
        <v>25</v>
      </c>
      <c r="B4379">
        <v>1382</v>
      </c>
      <c r="C4379" t="s">
        <v>14</v>
      </c>
      <c r="D4379" t="s">
        <v>15</v>
      </c>
      <c r="E4379">
        <v>85</v>
      </c>
      <c r="F4379" t="s">
        <v>16</v>
      </c>
      <c r="G4379">
        <v>5397.7000000000007</v>
      </c>
      <c r="H4379">
        <v>13684</v>
      </c>
      <c r="I4379">
        <v>22</v>
      </c>
      <c r="J4379">
        <v>6</v>
      </c>
      <c r="K4379">
        <v>5</v>
      </c>
      <c r="L4379">
        <v>3</v>
      </c>
      <c r="M4379">
        <v>0</v>
      </c>
      <c r="N4379">
        <v>4</v>
      </c>
      <c r="P4379">
        <f>G4379*I4379/100</f>
        <v>1187.4940000000001</v>
      </c>
      <c r="Q4379">
        <f t="shared" si="45"/>
        <v>64772.400000000009</v>
      </c>
      <c r="R4379">
        <f>K4379/J4379</f>
        <v>0.83333333333333337</v>
      </c>
    </row>
    <row r="4380" spans="1:18" x14ac:dyDescent="0.3">
      <c r="A4380">
        <v>52</v>
      </c>
      <c r="B4380">
        <v>585</v>
      </c>
      <c r="C4380" t="s">
        <v>14</v>
      </c>
      <c r="D4380" t="s">
        <v>18</v>
      </c>
      <c r="E4380">
        <v>40</v>
      </c>
      <c r="F4380" t="s">
        <v>24</v>
      </c>
      <c r="G4380">
        <v>3830.2000000000003</v>
      </c>
      <c r="H4380">
        <v>19788</v>
      </c>
      <c r="I4380">
        <v>15</v>
      </c>
      <c r="J4380">
        <v>16</v>
      </c>
      <c r="K4380">
        <v>9</v>
      </c>
      <c r="L4380">
        <v>8</v>
      </c>
      <c r="M4380">
        <v>0</v>
      </c>
      <c r="N4380">
        <v>0</v>
      </c>
      <c r="P4380">
        <f>G4380*I4380/100</f>
        <v>574.53000000000009</v>
      </c>
      <c r="Q4380">
        <f t="shared" si="45"/>
        <v>45962.400000000001</v>
      </c>
      <c r="R4380">
        <f>K4380/J4380</f>
        <v>0.5625</v>
      </c>
    </row>
    <row r="4381" spans="1:18" x14ac:dyDescent="0.3">
      <c r="A4381">
        <v>44</v>
      </c>
      <c r="B4381">
        <v>1037</v>
      </c>
      <c r="C4381" t="s">
        <v>17</v>
      </c>
      <c r="D4381" t="s">
        <v>18</v>
      </c>
      <c r="E4381">
        <v>42</v>
      </c>
      <c r="F4381" t="s">
        <v>19</v>
      </c>
      <c r="G4381">
        <v>2679.6000000000004</v>
      </c>
      <c r="H4381">
        <v>13422</v>
      </c>
      <c r="I4381">
        <v>12</v>
      </c>
      <c r="J4381">
        <v>6</v>
      </c>
      <c r="K4381">
        <v>4</v>
      </c>
      <c r="L4381">
        <v>3</v>
      </c>
      <c r="M4381">
        <v>1</v>
      </c>
      <c r="N4381">
        <v>2</v>
      </c>
      <c r="P4381">
        <f>G4381*I4381/100</f>
        <v>321.55200000000002</v>
      </c>
      <c r="Q4381">
        <f t="shared" si="45"/>
        <v>32155.200000000004</v>
      </c>
      <c r="R4381">
        <f>K4381/J4381</f>
        <v>0.66666666666666663</v>
      </c>
    </row>
    <row r="4382" spans="1:18" x14ac:dyDescent="0.3">
      <c r="A4382">
        <v>21</v>
      </c>
      <c r="B4382">
        <v>501</v>
      </c>
      <c r="C4382" t="s">
        <v>14</v>
      </c>
      <c r="D4382" t="s">
        <v>18</v>
      </c>
      <c r="E4382">
        <v>58</v>
      </c>
      <c r="F4382" t="s">
        <v>24</v>
      </c>
      <c r="G4382">
        <v>2618</v>
      </c>
      <c r="H4382">
        <v>25479</v>
      </c>
      <c r="I4382">
        <v>11</v>
      </c>
      <c r="J4382">
        <v>2</v>
      </c>
      <c r="K4382">
        <v>2</v>
      </c>
      <c r="L4382">
        <v>2</v>
      </c>
      <c r="M4382">
        <v>1</v>
      </c>
      <c r="N4382">
        <v>2</v>
      </c>
      <c r="P4382">
        <f>G4382*I4382/100</f>
        <v>287.98</v>
      </c>
      <c r="Q4382">
        <f t="shared" si="45"/>
        <v>31416</v>
      </c>
      <c r="R4382">
        <f>K4382/J4382</f>
        <v>1</v>
      </c>
    </row>
    <row r="4383" spans="1:18" x14ac:dyDescent="0.3">
      <c r="A4383">
        <v>39</v>
      </c>
      <c r="B4383">
        <v>105</v>
      </c>
      <c r="C4383" t="s">
        <v>17</v>
      </c>
      <c r="D4383" t="s">
        <v>18</v>
      </c>
      <c r="E4383">
        <v>87</v>
      </c>
      <c r="F4383" t="s">
        <v>23</v>
      </c>
      <c r="G4383">
        <v>21374.100000000002</v>
      </c>
      <c r="H4383">
        <v>15302</v>
      </c>
      <c r="I4383">
        <v>13</v>
      </c>
      <c r="J4383">
        <v>21</v>
      </c>
      <c r="K4383">
        <v>6</v>
      </c>
      <c r="L4383">
        <v>0</v>
      </c>
      <c r="M4383">
        <v>1</v>
      </c>
      <c r="N4383">
        <v>3</v>
      </c>
      <c r="P4383">
        <f>G4383*I4383/100</f>
        <v>2778.6330000000003</v>
      </c>
      <c r="Q4383">
        <f t="shared" si="45"/>
        <v>256489.2</v>
      </c>
      <c r="R4383">
        <f>K4383/J4383</f>
        <v>0.2857142857142857</v>
      </c>
    </row>
    <row r="4384" spans="1:18" x14ac:dyDescent="0.3">
      <c r="A4384">
        <v>23</v>
      </c>
      <c r="B4384">
        <v>638</v>
      </c>
      <c r="C4384" t="s">
        <v>14</v>
      </c>
      <c r="D4384" t="s">
        <v>18</v>
      </c>
      <c r="E4384">
        <v>33</v>
      </c>
      <c r="F4384" t="s">
        <v>24</v>
      </c>
      <c r="G4384">
        <v>1969.0000000000002</v>
      </c>
      <c r="H4384">
        <v>26956</v>
      </c>
      <c r="I4384">
        <v>19</v>
      </c>
      <c r="J4384">
        <v>1</v>
      </c>
      <c r="K4384">
        <v>1</v>
      </c>
      <c r="L4384">
        <v>0</v>
      </c>
      <c r="M4384">
        <v>1</v>
      </c>
      <c r="N4384">
        <v>0</v>
      </c>
      <c r="P4384">
        <f>G4384*I4384/100</f>
        <v>374.11000000000007</v>
      </c>
      <c r="Q4384">
        <f t="shared" si="45"/>
        <v>23628.000000000004</v>
      </c>
      <c r="R4384">
        <f>K4384/J4384</f>
        <v>1</v>
      </c>
    </row>
    <row r="4385" spans="1:18" x14ac:dyDescent="0.3">
      <c r="A4385">
        <v>36</v>
      </c>
      <c r="B4385">
        <v>557</v>
      </c>
      <c r="C4385" t="s">
        <v>14</v>
      </c>
      <c r="D4385" t="s">
        <v>15</v>
      </c>
      <c r="E4385">
        <v>94</v>
      </c>
      <c r="F4385" t="s">
        <v>16</v>
      </c>
      <c r="G4385">
        <v>8408.4000000000015</v>
      </c>
      <c r="H4385">
        <v>12695</v>
      </c>
      <c r="I4385">
        <v>19</v>
      </c>
      <c r="J4385">
        <v>10</v>
      </c>
      <c r="K4385">
        <v>9</v>
      </c>
      <c r="L4385">
        <v>7</v>
      </c>
      <c r="M4385">
        <v>3</v>
      </c>
      <c r="N4385">
        <v>4</v>
      </c>
      <c r="P4385">
        <f>G4385*I4385/100</f>
        <v>1597.5960000000005</v>
      </c>
      <c r="Q4385">
        <f t="shared" si="45"/>
        <v>100900.80000000002</v>
      </c>
      <c r="R4385">
        <f>K4385/J4385</f>
        <v>0.9</v>
      </c>
    </row>
    <row r="4386" spans="1:18" x14ac:dyDescent="0.3">
      <c r="A4386">
        <v>36</v>
      </c>
      <c r="B4386">
        <v>688</v>
      </c>
      <c r="C4386" t="s">
        <v>17</v>
      </c>
      <c r="D4386" t="s">
        <v>15</v>
      </c>
      <c r="E4386">
        <v>97</v>
      </c>
      <c r="F4386" t="s">
        <v>21</v>
      </c>
      <c r="G4386">
        <v>5644.1</v>
      </c>
      <c r="H4386">
        <v>9192</v>
      </c>
      <c r="I4386">
        <v>13</v>
      </c>
      <c r="J4386">
        <v>18</v>
      </c>
      <c r="K4386">
        <v>4</v>
      </c>
      <c r="L4386">
        <v>2</v>
      </c>
      <c r="M4386">
        <v>0</v>
      </c>
      <c r="N4386">
        <v>2</v>
      </c>
      <c r="P4386">
        <f>G4386*I4386/100</f>
        <v>733.73300000000006</v>
      </c>
      <c r="Q4386">
        <f t="shared" si="45"/>
        <v>67729.200000000012</v>
      </c>
      <c r="R4386">
        <f>K4386/J4386</f>
        <v>0.22222222222222221</v>
      </c>
    </row>
    <row r="4387" spans="1:18" x14ac:dyDescent="0.3">
      <c r="A4387">
        <v>56</v>
      </c>
      <c r="B4387">
        <v>667</v>
      </c>
      <c r="C4387" t="s">
        <v>17</v>
      </c>
      <c r="D4387" t="s">
        <v>18</v>
      </c>
      <c r="E4387">
        <v>57</v>
      </c>
      <c r="F4387" t="s">
        <v>22</v>
      </c>
      <c r="G4387">
        <v>6936.6</v>
      </c>
      <c r="H4387">
        <v>26236</v>
      </c>
      <c r="I4387">
        <v>21</v>
      </c>
      <c r="J4387">
        <v>13</v>
      </c>
      <c r="K4387">
        <v>13</v>
      </c>
      <c r="L4387">
        <v>12</v>
      </c>
      <c r="M4387">
        <v>1</v>
      </c>
      <c r="N4387">
        <v>9</v>
      </c>
      <c r="P4387">
        <f>G4387*I4387/100</f>
        <v>1456.6860000000001</v>
      </c>
      <c r="Q4387">
        <f t="shared" si="45"/>
        <v>83239.200000000012</v>
      </c>
      <c r="R4387">
        <f>K4387/J4387</f>
        <v>1</v>
      </c>
    </row>
    <row r="4388" spans="1:18" x14ac:dyDescent="0.3">
      <c r="A4388">
        <v>29</v>
      </c>
      <c r="B4388">
        <v>1092</v>
      </c>
      <c r="C4388" t="s">
        <v>17</v>
      </c>
      <c r="D4388" t="s">
        <v>18</v>
      </c>
      <c r="E4388">
        <v>36</v>
      </c>
      <c r="F4388" t="s">
        <v>19</v>
      </c>
      <c r="G4388">
        <v>5265.7000000000007</v>
      </c>
      <c r="H4388">
        <v>26124</v>
      </c>
      <c r="I4388">
        <v>14</v>
      </c>
      <c r="J4388">
        <v>4</v>
      </c>
      <c r="K4388">
        <v>2</v>
      </c>
      <c r="L4388">
        <v>2</v>
      </c>
      <c r="M4388">
        <v>2</v>
      </c>
      <c r="N4388">
        <v>2</v>
      </c>
      <c r="P4388">
        <f>G4388*I4388/100</f>
        <v>737.19800000000021</v>
      </c>
      <c r="Q4388">
        <f t="shared" si="45"/>
        <v>63188.400000000009</v>
      </c>
      <c r="R4388">
        <f>K4388/J4388</f>
        <v>0.5</v>
      </c>
    </row>
    <row r="4389" spans="1:18" x14ac:dyDescent="0.3">
      <c r="A4389">
        <v>42</v>
      </c>
      <c r="B4389">
        <v>300</v>
      </c>
      <c r="C4389" t="s">
        <v>17</v>
      </c>
      <c r="D4389" t="s">
        <v>18</v>
      </c>
      <c r="E4389">
        <v>56</v>
      </c>
      <c r="F4389" t="s">
        <v>23</v>
      </c>
      <c r="G4389">
        <v>20768</v>
      </c>
      <c r="H4389">
        <v>17312</v>
      </c>
      <c r="I4389">
        <v>11</v>
      </c>
      <c r="J4389">
        <v>24</v>
      </c>
      <c r="K4389">
        <v>22</v>
      </c>
      <c r="L4389">
        <v>6</v>
      </c>
      <c r="M4389">
        <v>4</v>
      </c>
      <c r="N4389">
        <v>14</v>
      </c>
      <c r="P4389">
        <f>G4389*I4389/100</f>
        <v>2284.48</v>
      </c>
      <c r="Q4389">
        <f t="shared" si="45"/>
        <v>249216</v>
      </c>
      <c r="R4389">
        <f>K4389/J4389</f>
        <v>0.91666666666666663</v>
      </c>
    </row>
    <row r="4390" spans="1:18" x14ac:dyDescent="0.3">
      <c r="A4390">
        <v>56</v>
      </c>
      <c r="B4390">
        <v>310</v>
      </c>
      <c r="C4390" t="s">
        <v>17</v>
      </c>
      <c r="D4390" t="s">
        <v>18</v>
      </c>
      <c r="E4390">
        <v>72</v>
      </c>
      <c r="F4390" t="s">
        <v>20</v>
      </c>
      <c r="G4390">
        <v>2572.9</v>
      </c>
      <c r="H4390">
        <v>3666</v>
      </c>
      <c r="I4390">
        <v>11</v>
      </c>
      <c r="J4390">
        <v>14</v>
      </c>
      <c r="K4390">
        <v>10</v>
      </c>
      <c r="L4390">
        <v>9</v>
      </c>
      <c r="M4390">
        <v>9</v>
      </c>
      <c r="N4390">
        <v>8</v>
      </c>
      <c r="P4390">
        <f>G4390*I4390/100</f>
        <v>283.01900000000001</v>
      </c>
      <c r="Q4390">
        <f t="shared" si="45"/>
        <v>30874.800000000003</v>
      </c>
      <c r="R4390">
        <f>K4390/J4390</f>
        <v>0.7142857142857143</v>
      </c>
    </row>
    <row r="4391" spans="1:18" x14ac:dyDescent="0.3">
      <c r="A4391">
        <v>41</v>
      </c>
      <c r="B4391">
        <v>582</v>
      </c>
      <c r="C4391" t="s">
        <v>17</v>
      </c>
      <c r="D4391" t="s">
        <v>15</v>
      </c>
      <c r="E4391">
        <v>60</v>
      </c>
      <c r="F4391" t="s">
        <v>21</v>
      </c>
      <c r="G4391">
        <v>14927.000000000002</v>
      </c>
      <c r="H4391">
        <v>5640</v>
      </c>
      <c r="I4391">
        <v>23</v>
      </c>
      <c r="J4391">
        <v>21</v>
      </c>
      <c r="K4391">
        <v>20</v>
      </c>
      <c r="L4391">
        <v>7</v>
      </c>
      <c r="M4391">
        <v>0</v>
      </c>
      <c r="N4391">
        <v>10</v>
      </c>
      <c r="P4391">
        <f>G4391*I4391/100</f>
        <v>3433.2100000000005</v>
      </c>
      <c r="Q4391">
        <f t="shared" si="45"/>
        <v>179124.00000000003</v>
      </c>
      <c r="R4391">
        <f>K4391/J4391</f>
        <v>0.95238095238095233</v>
      </c>
    </row>
    <row r="4392" spans="1:18" x14ac:dyDescent="0.3">
      <c r="A4392">
        <v>34</v>
      </c>
      <c r="B4392">
        <v>704</v>
      </c>
      <c r="C4392" t="s">
        <v>14</v>
      </c>
      <c r="D4392" t="s">
        <v>15</v>
      </c>
      <c r="E4392">
        <v>95</v>
      </c>
      <c r="F4392" t="s">
        <v>16</v>
      </c>
      <c r="G4392">
        <v>7383.2000000000007</v>
      </c>
      <c r="H4392">
        <v>8978</v>
      </c>
      <c r="I4392">
        <v>21</v>
      </c>
      <c r="J4392">
        <v>8</v>
      </c>
      <c r="K4392">
        <v>8</v>
      </c>
      <c r="L4392">
        <v>7</v>
      </c>
      <c r="M4392">
        <v>1</v>
      </c>
      <c r="N4392">
        <v>7</v>
      </c>
      <c r="P4392">
        <f>G4392*I4392/100</f>
        <v>1550.4720000000002</v>
      </c>
      <c r="Q4392">
        <f t="shared" si="45"/>
        <v>88598.400000000009</v>
      </c>
      <c r="R4392">
        <f>K4392/J4392</f>
        <v>1</v>
      </c>
    </row>
    <row r="4393" spans="1:18" x14ac:dyDescent="0.3">
      <c r="A4393">
        <v>36</v>
      </c>
      <c r="B4393">
        <v>301</v>
      </c>
      <c r="C4393" t="s">
        <v>14</v>
      </c>
      <c r="D4393" t="s">
        <v>18</v>
      </c>
      <c r="E4393">
        <v>88</v>
      </c>
      <c r="F4393" t="s">
        <v>16</v>
      </c>
      <c r="G4393">
        <v>5946.6</v>
      </c>
      <c r="H4393">
        <v>10436</v>
      </c>
      <c r="I4393">
        <v>24</v>
      </c>
      <c r="J4393">
        <v>15</v>
      </c>
      <c r="K4393">
        <v>15</v>
      </c>
      <c r="L4393">
        <v>12</v>
      </c>
      <c r="M4393">
        <v>11</v>
      </c>
      <c r="N4393">
        <v>11</v>
      </c>
      <c r="P4393">
        <f>G4393*I4393/100</f>
        <v>1427.1840000000002</v>
      </c>
      <c r="Q4393">
        <f t="shared" si="45"/>
        <v>71359.200000000012</v>
      </c>
      <c r="R4393">
        <f>K4393/J4393</f>
        <v>1</v>
      </c>
    </row>
    <row r="4394" spans="1:18" x14ac:dyDescent="0.3">
      <c r="A4394">
        <v>41</v>
      </c>
      <c r="B4394">
        <v>930</v>
      </c>
      <c r="C4394" t="s">
        <v>14</v>
      </c>
      <c r="D4394" t="s">
        <v>18</v>
      </c>
      <c r="E4394">
        <v>57</v>
      </c>
      <c r="F4394" t="s">
        <v>16</v>
      </c>
      <c r="G4394">
        <v>9831.8000000000011</v>
      </c>
      <c r="H4394">
        <v>12227</v>
      </c>
      <c r="I4394">
        <v>11</v>
      </c>
      <c r="J4394">
        <v>14</v>
      </c>
      <c r="K4394">
        <v>5</v>
      </c>
      <c r="L4394">
        <v>4</v>
      </c>
      <c r="M4394">
        <v>0</v>
      </c>
      <c r="N4394">
        <v>4</v>
      </c>
      <c r="P4394">
        <f>G4394*I4394/100</f>
        <v>1081.4980000000003</v>
      </c>
      <c r="Q4394">
        <f t="shared" si="45"/>
        <v>117981.6</v>
      </c>
      <c r="R4394">
        <f>K4394/J4394</f>
        <v>0.35714285714285715</v>
      </c>
    </row>
    <row r="4395" spans="1:18" x14ac:dyDescent="0.3">
      <c r="A4395">
        <v>32</v>
      </c>
      <c r="B4395">
        <v>529</v>
      </c>
      <c r="C4395" t="s">
        <v>17</v>
      </c>
      <c r="D4395" t="s">
        <v>18</v>
      </c>
      <c r="E4395">
        <v>78</v>
      </c>
      <c r="F4395" t="s">
        <v>19</v>
      </c>
      <c r="G4395">
        <v>2682.9</v>
      </c>
      <c r="H4395">
        <v>11288</v>
      </c>
      <c r="I4395">
        <v>14</v>
      </c>
      <c r="J4395">
        <v>4</v>
      </c>
      <c r="K4395">
        <v>4</v>
      </c>
      <c r="L4395">
        <v>2</v>
      </c>
      <c r="M4395">
        <v>1</v>
      </c>
      <c r="N4395">
        <v>2</v>
      </c>
      <c r="P4395">
        <f>G4395*I4395/100</f>
        <v>375.60599999999999</v>
      </c>
      <c r="Q4395">
        <f t="shared" si="45"/>
        <v>32194.800000000003</v>
      </c>
      <c r="R4395">
        <f>K4395/J4395</f>
        <v>1</v>
      </c>
    </row>
    <row r="4396" spans="1:18" x14ac:dyDescent="0.3">
      <c r="A4396">
        <v>35</v>
      </c>
      <c r="B4396">
        <v>1146</v>
      </c>
      <c r="C4396" t="s">
        <v>26</v>
      </c>
      <c r="D4396" t="s">
        <v>15</v>
      </c>
      <c r="E4396">
        <v>31</v>
      </c>
      <c r="F4396" t="s">
        <v>26</v>
      </c>
      <c r="G4396">
        <v>9720.7000000000007</v>
      </c>
      <c r="H4396">
        <v>16642</v>
      </c>
      <c r="I4396">
        <v>16</v>
      </c>
      <c r="J4396">
        <v>9</v>
      </c>
      <c r="K4396">
        <v>9</v>
      </c>
      <c r="L4396">
        <v>0</v>
      </c>
      <c r="M4396">
        <v>1</v>
      </c>
      <c r="N4396">
        <v>7</v>
      </c>
      <c r="P4396">
        <f>G4396*I4396/100</f>
        <v>1555.3120000000001</v>
      </c>
      <c r="Q4396">
        <f t="shared" si="45"/>
        <v>116648.40000000001</v>
      </c>
      <c r="R4396">
        <f>K4396/J4396</f>
        <v>1</v>
      </c>
    </row>
    <row r="4397" spans="1:18" x14ac:dyDescent="0.3">
      <c r="A4397">
        <v>38</v>
      </c>
      <c r="B4397">
        <v>345</v>
      </c>
      <c r="C4397" t="s">
        <v>14</v>
      </c>
      <c r="D4397" t="s">
        <v>15</v>
      </c>
      <c r="E4397">
        <v>100</v>
      </c>
      <c r="F4397" t="s">
        <v>16</v>
      </c>
      <c r="G4397">
        <v>5877.3</v>
      </c>
      <c r="H4397">
        <v>5982</v>
      </c>
      <c r="I4397">
        <v>11</v>
      </c>
      <c r="J4397">
        <v>10</v>
      </c>
      <c r="K4397">
        <v>10</v>
      </c>
      <c r="L4397">
        <v>7</v>
      </c>
      <c r="M4397">
        <v>1</v>
      </c>
      <c r="N4397">
        <v>9</v>
      </c>
      <c r="P4397">
        <f>G4397*I4397/100</f>
        <v>646.50300000000004</v>
      </c>
      <c r="Q4397">
        <f t="shared" si="45"/>
        <v>70527.600000000006</v>
      </c>
      <c r="R4397">
        <f>K4397/J4397</f>
        <v>1</v>
      </c>
    </row>
    <row r="4398" spans="1:18" x14ac:dyDescent="0.3">
      <c r="A4398">
        <v>50</v>
      </c>
      <c r="B4398">
        <v>878</v>
      </c>
      <c r="C4398" t="s">
        <v>14</v>
      </c>
      <c r="D4398" t="s">
        <v>18</v>
      </c>
      <c r="E4398">
        <v>94</v>
      </c>
      <c r="F4398" t="s">
        <v>16</v>
      </c>
      <c r="G4398">
        <v>7400.8</v>
      </c>
      <c r="H4398">
        <v>14255</v>
      </c>
      <c r="I4398">
        <v>12</v>
      </c>
      <c r="J4398">
        <v>12</v>
      </c>
      <c r="K4398">
        <v>6</v>
      </c>
      <c r="L4398">
        <v>3</v>
      </c>
      <c r="M4398">
        <v>0</v>
      </c>
      <c r="N4398">
        <v>1</v>
      </c>
      <c r="P4398">
        <f>G4398*I4398/100</f>
        <v>888.096</v>
      </c>
      <c r="Q4398">
        <f t="shared" si="45"/>
        <v>88809.600000000006</v>
      </c>
      <c r="R4398">
        <f>K4398/J4398</f>
        <v>0.5</v>
      </c>
    </row>
    <row r="4399" spans="1:18" x14ac:dyDescent="0.3">
      <c r="A4399">
        <v>36</v>
      </c>
      <c r="B4399">
        <v>1120</v>
      </c>
      <c r="C4399" t="s">
        <v>14</v>
      </c>
      <c r="D4399" t="s">
        <v>15</v>
      </c>
      <c r="E4399">
        <v>100</v>
      </c>
      <c r="F4399" t="s">
        <v>16</v>
      </c>
      <c r="G4399">
        <v>7317.2000000000007</v>
      </c>
      <c r="H4399">
        <v>14369</v>
      </c>
      <c r="I4399">
        <v>13</v>
      </c>
      <c r="J4399">
        <v>8</v>
      </c>
      <c r="K4399">
        <v>6</v>
      </c>
      <c r="L4399">
        <v>3</v>
      </c>
      <c r="M4399">
        <v>0</v>
      </c>
      <c r="N4399">
        <v>0</v>
      </c>
      <c r="P4399">
        <f>G4399*I4399/100</f>
        <v>951.2360000000001</v>
      </c>
      <c r="Q4399">
        <f t="shared" si="45"/>
        <v>87806.400000000009</v>
      </c>
      <c r="R4399">
        <f>K4399/J4399</f>
        <v>0.75</v>
      </c>
    </row>
    <row r="4400" spans="1:18" x14ac:dyDescent="0.3">
      <c r="A4400">
        <v>45</v>
      </c>
      <c r="B4400">
        <v>374</v>
      </c>
      <c r="C4400" t="s">
        <v>14</v>
      </c>
      <c r="D4400" t="s">
        <v>15</v>
      </c>
      <c r="E4400">
        <v>50</v>
      </c>
      <c r="F4400" t="s">
        <v>16</v>
      </c>
      <c r="G4400">
        <v>5335</v>
      </c>
      <c r="H4400">
        <v>23333</v>
      </c>
      <c r="I4400">
        <v>15</v>
      </c>
      <c r="J4400">
        <v>8</v>
      </c>
      <c r="K4400">
        <v>5</v>
      </c>
      <c r="L4400">
        <v>3</v>
      </c>
      <c r="M4400">
        <v>0</v>
      </c>
      <c r="N4400">
        <v>1</v>
      </c>
      <c r="P4400">
        <f>G4400*I4400/100</f>
        <v>800.25</v>
      </c>
      <c r="Q4400">
        <f t="shared" si="45"/>
        <v>64020</v>
      </c>
      <c r="R4400">
        <f>K4400/J4400</f>
        <v>0.625</v>
      </c>
    </row>
    <row r="4401" spans="1:18" x14ac:dyDescent="0.3">
      <c r="A4401">
        <v>40</v>
      </c>
      <c r="B4401">
        <v>1322</v>
      </c>
      <c r="C4401" t="s">
        <v>17</v>
      </c>
      <c r="D4401" t="s">
        <v>18</v>
      </c>
      <c r="E4401">
        <v>52</v>
      </c>
      <c r="F4401" t="s">
        <v>19</v>
      </c>
      <c r="G4401">
        <v>3089.9</v>
      </c>
      <c r="H4401">
        <v>2725</v>
      </c>
      <c r="I4401">
        <v>14</v>
      </c>
      <c r="J4401">
        <v>8</v>
      </c>
      <c r="K4401">
        <v>2</v>
      </c>
      <c r="L4401">
        <v>2</v>
      </c>
      <c r="M4401">
        <v>2</v>
      </c>
      <c r="N4401">
        <v>2</v>
      </c>
      <c r="P4401">
        <f>G4401*I4401/100</f>
        <v>432.58600000000001</v>
      </c>
      <c r="Q4401">
        <f t="shared" si="45"/>
        <v>37078.800000000003</v>
      </c>
      <c r="R4401">
        <f>K4401/J4401</f>
        <v>0.25</v>
      </c>
    </row>
    <row r="4402" spans="1:18" x14ac:dyDescent="0.3">
      <c r="A4402">
        <v>35</v>
      </c>
      <c r="B4402">
        <v>1199</v>
      </c>
      <c r="C4402" t="s">
        <v>17</v>
      </c>
      <c r="D4402" t="s">
        <v>18</v>
      </c>
      <c r="E4402">
        <v>80</v>
      </c>
      <c r="F4402" t="s">
        <v>22</v>
      </c>
      <c r="G4402">
        <v>6257.9000000000005</v>
      </c>
      <c r="H4402">
        <v>24594</v>
      </c>
      <c r="I4402">
        <v>14</v>
      </c>
      <c r="J4402">
        <v>10</v>
      </c>
      <c r="K4402">
        <v>10</v>
      </c>
      <c r="L4402">
        <v>2</v>
      </c>
      <c r="M4402">
        <v>0</v>
      </c>
      <c r="N4402">
        <v>2</v>
      </c>
      <c r="P4402">
        <f>G4402*I4402/100</f>
        <v>876.10600000000011</v>
      </c>
      <c r="Q4402">
        <f t="shared" si="45"/>
        <v>75094.8</v>
      </c>
      <c r="R4402">
        <f>K4402/J4402</f>
        <v>1</v>
      </c>
    </row>
    <row r="4403" spans="1:18" x14ac:dyDescent="0.3">
      <c r="A4403">
        <v>40</v>
      </c>
      <c r="B4403">
        <v>1194</v>
      </c>
      <c r="C4403" t="s">
        <v>17</v>
      </c>
      <c r="D4403" t="s">
        <v>15</v>
      </c>
      <c r="E4403">
        <v>98</v>
      </c>
      <c r="F4403" t="s">
        <v>19</v>
      </c>
      <c r="G4403">
        <v>2201.1000000000004</v>
      </c>
      <c r="H4403">
        <v>12549</v>
      </c>
      <c r="I4403">
        <v>14</v>
      </c>
      <c r="J4403">
        <v>20</v>
      </c>
      <c r="K4403">
        <v>5</v>
      </c>
      <c r="L4403">
        <v>3</v>
      </c>
      <c r="M4403">
        <v>0</v>
      </c>
      <c r="N4403">
        <v>2</v>
      </c>
      <c r="P4403">
        <f>G4403*I4403/100</f>
        <v>308.15400000000005</v>
      </c>
      <c r="Q4403">
        <f t="shared" si="45"/>
        <v>26413.200000000004</v>
      </c>
      <c r="R4403">
        <f>K4403/J4403</f>
        <v>0.25</v>
      </c>
    </row>
    <row r="4404" spans="1:18" x14ac:dyDescent="0.3">
      <c r="A4404">
        <v>35</v>
      </c>
      <c r="B4404">
        <v>287</v>
      </c>
      <c r="C4404" t="s">
        <v>17</v>
      </c>
      <c r="D4404" t="s">
        <v>15</v>
      </c>
      <c r="E4404">
        <v>62</v>
      </c>
      <c r="F4404" t="s">
        <v>19</v>
      </c>
      <c r="G4404">
        <v>3274.7000000000003</v>
      </c>
      <c r="H4404">
        <v>8952</v>
      </c>
      <c r="I4404">
        <v>12</v>
      </c>
      <c r="J4404">
        <v>4</v>
      </c>
      <c r="K4404">
        <v>4</v>
      </c>
      <c r="L4404">
        <v>3</v>
      </c>
      <c r="M4404">
        <v>1</v>
      </c>
      <c r="N4404">
        <v>1</v>
      </c>
      <c r="P4404">
        <f>G4404*I4404/100</f>
        <v>392.964</v>
      </c>
      <c r="Q4404">
        <f t="shared" si="45"/>
        <v>39296.400000000001</v>
      </c>
      <c r="R4404">
        <f>K4404/J4404</f>
        <v>1</v>
      </c>
    </row>
    <row r="4405" spans="1:18" x14ac:dyDescent="0.3">
      <c r="A4405">
        <v>29</v>
      </c>
      <c r="B4405">
        <v>1378</v>
      </c>
      <c r="C4405" t="s">
        <v>17</v>
      </c>
      <c r="D4405" t="s">
        <v>18</v>
      </c>
      <c r="E4405">
        <v>46</v>
      </c>
      <c r="F4405" t="s">
        <v>20</v>
      </c>
      <c r="G4405">
        <v>4427.5</v>
      </c>
      <c r="H4405">
        <v>23679</v>
      </c>
      <c r="I4405">
        <v>13</v>
      </c>
      <c r="J4405">
        <v>10</v>
      </c>
      <c r="K4405">
        <v>4</v>
      </c>
      <c r="L4405">
        <v>3</v>
      </c>
      <c r="M4405">
        <v>0</v>
      </c>
      <c r="N4405">
        <v>3</v>
      </c>
      <c r="P4405">
        <f>G4405*I4405/100</f>
        <v>575.57500000000005</v>
      </c>
      <c r="Q4405">
        <f t="shared" si="45"/>
        <v>53130</v>
      </c>
      <c r="R4405">
        <f>K4405/J4405</f>
        <v>0.4</v>
      </c>
    </row>
    <row r="4406" spans="1:18" x14ac:dyDescent="0.3">
      <c r="A4406">
        <v>29</v>
      </c>
      <c r="B4406">
        <v>468</v>
      </c>
      <c r="C4406" t="s">
        <v>17</v>
      </c>
      <c r="D4406" t="s">
        <v>15</v>
      </c>
      <c r="E4406">
        <v>73</v>
      </c>
      <c r="F4406" t="s">
        <v>19</v>
      </c>
      <c r="G4406">
        <v>4163.5</v>
      </c>
      <c r="H4406">
        <v>8489</v>
      </c>
      <c r="I4406">
        <v>14</v>
      </c>
      <c r="J4406">
        <v>5</v>
      </c>
      <c r="K4406">
        <v>5</v>
      </c>
      <c r="L4406">
        <v>4</v>
      </c>
      <c r="M4406">
        <v>0</v>
      </c>
      <c r="N4406">
        <v>4</v>
      </c>
      <c r="P4406">
        <f>G4406*I4406/100</f>
        <v>582.89</v>
      </c>
      <c r="Q4406">
        <f t="shared" si="45"/>
        <v>49962</v>
      </c>
      <c r="R4406">
        <f>K4406/J4406</f>
        <v>1</v>
      </c>
    </row>
    <row r="4407" spans="1:18" x14ac:dyDescent="0.3">
      <c r="A4407">
        <v>50</v>
      </c>
      <c r="B4407">
        <v>410</v>
      </c>
      <c r="C4407" t="s">
        <v>14</v>
      </c>
      <c r="D4407" t="s">
        <v>18</v>
      </c>
      <c r="E4407">
        <v>39</v>
      </c>
      <c r="F4407" t="s">
        <v>16</v>
      </c>
      <c r="G4407">
        <v>11939.400000000001</v>
      </c>
      <c r="H4407">
        <v>16586</v>
      </c>
      <c r="I4407">
        <v>13</v>
      </c>
      <c r="J4407">
        <v>20</v>
      </c>
      <c r="K4407">
        <v>3</v>
      </c>
      <c r="L4407">
        <v>2</v>
      </c>
      <c r="M4407">
        <v>2</v>
      </c>
      <c r="N4407">
        <v>0</v>
      </c>
      <c r="P4407">
        <f>G4407*I4407/100</f>
        <v>1552.1220000000001</v>
      </c>
      <c r="Q4407">
        <f t="shared" si="45"/>
        <v>143272.80000000002</v>
      </c>
      <c r="R4407">
        <f>K4407/J4407</f>
        <v>0.15</v>
      </c>
    </row>
    <row r="4408" spans="1:18" x14ac:dyDescent="0.3">
      <c r="A4408">
        <v>39</v>
      </c>
      <c r="B4408">
        <v>722</v>
      </c>
      <c r="C4408" t="s">
        <v>14</v>
      </c>
      <c r="D4408" t="s">
        <v>15</v>
      </c>
      <c r="E4408">
        <v>60</v>
      </c>
      <c r="F4408" t="s">
        <v>16</v>
      </c>
      <c r="G4408">
        <v>13234.1</v>
      </c>
      <c r="H4408">
        <v>8828</v>
      </c>
      <c r="I4408">
        <v>11</v>
      </c>
      <c r="J4408">
        <v>21</v>
      </c>
      <c r="K4408">
        <v>20</v>
      </c>
      <c r="L4408">
        <v>9</v>
      </c>
      <c r="M4408">
        <v>9</v>
      </c>
      <c r="N4408">
        <v>6</v>
      </c>
      <c r="P4408">
        <f>G4408*I4408/100</f>
        <v>1455.751</v>
      </c>
      <c r="Q4408">
        <f t="shared" si="45"/>
        <v>158809.20000000001</v>
      </c>
      <c r="R4408">
        <f>K4408/J4408</f>
        <v>0.95238095238095233</v>
      </c>
    </row>
    <row r="4409" spans="1:18" x14ac:dyDescent="0.3">
      <c r="A4409">
        <v>31</v>
      </c>
      <c r="B4409">
        <v>325</v>
      </c>
      <c r="C4409" t="s">
        <v>17</v>
      </c>
      <c r="D4409" t="s">
        <v>18</v>
      </c>
      <c r="E4409">
        <v>74</v>
      </c>
      <c r="F4409" t="s">
        <v>21</v>
      </c>
      <c r="G4409">
        <v>10929.6</v>
      </c>
      <c r="H4409">
        <v>3787</v>
      </c>
      <c r="I4409">
        <v>19</v>
      </c>
      <c r="J4409">
        <v>10</v>
      </c>
      <c r="K4409">
        <v>9</v>
      </c>
      <c r="L4409">
        <v>4</v>
      </c>
      <c r="M4409">
        <v>1</v>
      </c>
      <c r="N4409">
        <v>7</v>
      </c>
      <c r="P4409">
        <f>G4409*I4409/100</f>
        <v>2076.6239999999998</v>
      </c>
      <c r="Q4409">
        <f t="shared" si="45"/>
        <v>131155.20000000001</v>
      </c>
      <c r="R4409">
        <f>K4409/J4409</f>
        <v>0.9</v>
      </c>
    </row>
    <row r="4410" spans="1:18" x14ac:dyDescent="0.3">
      <c r="A4410">
        <v>26</v>
      </c>
      <c r="B4410">
        <v>1167</v>
      </c>
      <c r="C4410" t="s">
        <v>14</v>
      </c>
      <c r="D4410" t="s">
        <v>15</v>
      </c>
      <c r="E4410">
        <v>30</v>
      </c>
      <c r="F4410" t="s">
        <v>24</v>
      </c>
      <c r="G4410">
        <v>3262.6000000000004</v>
      </c>
      <c r="H4410">
        <v>21378</v>
      </c>
      <c r="I4410">
        <v>18</v>
      </c>
      <c r="J4410">
        <v>5</v>
      </c>
      <c r="K4410">
        <v>4</v>
      </c>
      <c r="L4410">
        <v>2</v>
      </c>
      <c r="M4410">
        <v>0</v>
      </c>
      <c r="N4410">
        <v>0</v>
      </c>
      <c r="P4410">
        <f>G4410*I4410/100</f>
        <v>587.26800000000003</v>
      </c>
      <c r="Q4410">
        <f t="shared" si="45"/>
        <v>39151.200000000004</v>
      </c>
      <c r="R4410">
        <f>K4410/J4410</f>
        <v>0.8</v>
      </c>
    </row>
    <row r="4411" spans="1:18" x14ac:dyDescent="0.3">
      <c r="A4411">
        <v>36</v>
      </c>
      <c r="B4411">
        <v>884</v>
      </c>
      <c r="C4411" t="s">
        <v>17</v>
      </c>
      <c r="D4411" t="s">
        <v>18</v>
      </c>
      <c r="E4411">
        <v>41</v>
      </c>
      <c r="F4411" t="s">
        <v>20</v>
      </c>
      <c r="G4411">
        <v>2828.1000000000004</v>
      </c>
      <c r="H4411">
        <v>12290</v>
      </c>
      <c r="I4411">
        <v>17</v>
      </c>
      <c r="J4411">
        <v>17</v>
      </c>
      <c r="K4411">
        <v>5</v>
      </c>
      <c r="L4411">
        <v>2</v>
      </c>
      <c r="M4411">
        <v>0</v>
      </c>
      <c r="N4411">
        <v>3</v>
      </c>
      <c r="P4411">
        <f>G4411*I4411/100</f>
        <v>480.77700000000004</v>
      </c>
      <c r="Q4411">
        <f t="shared" si="45"/>
        <v>33937.200000000004</v>
      </c>
      <c r="R4411">
        <f>K4411/J4411</f>
        <v>0.29411764705882354</v>
      </c>
    </row>
    <row r="4412" spans="1:18" x14ac:dyDescent="0.3">
      <c r="A4412">
        <v>39</v>
      </c>
      <c r="B4412">
        <v>613</v>
      </c>
      <c r="C4412" t="s">
        <v>17</v>
      </c>
      <c r="D4412" t="s">
        <v>18</v>
      </c>
      <c r="E4412">
        <v>42</v>
      </c>
      <c r="F4412" t="s">
        <v>22</v>
      </c>
      <c r="G4412">
        <v>10990.1</v>
      </c>
      <c r="H4412">
        <v>21457</v>
      </c>
      <c r="I4412">
        <v>15</v>
      </c>
      <c r="J4412">
        <v>9</v>
      </c>
      <c r="K4412">
        <v>7</v>
      </c>
      <c r="L4412">
        <v>7</v>
      </c>
      <c r="M4412">
        <v>1</v>
      </c>
      <c r="N4412">
        <v>7</v>
      </c>
      <c r="P4412">
        <f>G4412*I4412/100</f>
        <v>1648.5150000000001</v>
      </c>
      <c r="Q4412">
        <f t="shared" si="45"/>
        <v>131881.20000000001</v>
      </c>
      <c r="R4412">
        <f>K4412/J4412</f>
        <v>0.77777777777777779</v>
      </c>
    </row>
    <row r="4413" spans="1:18" x14ac:dyDescent="0.3">
      <c r="A4413">
        <v>27</v>
      </c>
      <c r="B4413">
        <v>155</v>
      </c>
      <c r="C4413" t="s">
        <v>17</v>
      </c>
      <c r="D4413" t="s">
        <v>18</v>
      </c>
      <c r="E4413">
        <v>87</v>
      </c>
      <c r="F4413" t="s">
        <v>21</v>
      </c>
      <c r="G4413">
        <v>6756.2000000000007</v>
      </c>
      <c r="H4413">
        <v>5174</v>
      </c>
      <c r="I4413">
        <v>20</v>
      </c>
      <c r="J4413">
        <v>6</v>
      </c>
      <c r="K4413">
        <v>6</v>
      </c>
      <c r="L4413">
        <v>2</v>
      </c>
      <c r="M4413">
        <v>0</v>
      </c>
      <c r="N4413">
        <v>3</v>
      </c>
      <c r="P4413">
        <f>G4413*I4413/100</f>
        <v>1351.24</v>
      </c>
      <c r="Q4413">
        <f t="shared" si="45"/>
        <v>81074.400000000009</v>
      </c>
      <c r="R4413">
        <f>K4413/J4413</f>
        <v>1</v>
      </c>
    </row>
    <row r="4414" spans="1:18" x14ac:dyDescent="0.3">
      <c r="A4414">
        <v>49</v>
      </c>
      <c r="B4414">
        <v>1023</v>
      </c>
      <c r="C4414" t="s">
        <v>14</v>
      </c>
      <c r="D4414" t="s">
        <v>18</v>
      </c>
      <c r="E4414">
        <v>63</v>
      </c>
      <c r="F4414" t="s">
        <v>16</v>
      </c>
      <c r="G4414">
        <v>5929.0000000000009</v>
      </c>
      <c r="H4414">
        <v>13243</v>
      </c>
      <c r="I4414">
        <v>14</v>
      </c>
      <c r="J4414">
        <v>17</v>
      </c>
      <c r="K4414">
        <v>9</v>
      </c>
      <c r="L4414">
        <v>6</v>
      </c>
      <c r="M4414">
        <v>0</v>
      </c>
      <c r="N4414">
        <v>8</v>
      </c>
      <c r="P4414">
        <f>G4414*I4414/100</f>
        <v>830.06000000000017</v>
      </c>
      <c r="Q4414">
        <f t="shared" si="45"/>
        <v>71148.000000000015</v>
      </c>
      <c r="R4414">
        <f>K4414/J4414</f>
        <v>0.52941176470588236</v>
      </c>
    </row>
    <row r="4415" spans="1:18" x14ac:dyDescent="0.3">
      <c r="A4415">
        <v>34</v>
      </c>
      <c r="B4415">
        <v>628</v>
      </c>
      <c r="C4415" t="s">
        <v>17</v>
      </c>
      <c r="D4415" t="s">
        <v>18</v>
      </c>
      <c r="E4415">
        <v>82</v>
      </c>
      <c r="F4415" t="s">
        <v>20</v>
      </c>
      <c r="G4415">
        <v>4844.4000000000005</v>
      </c>
      <c r="H4415">
        <v>10228</v>
      </c>
      <c r="I4415">
        <v>12</v>
      </c>
      <c r="J4415">
        <v>6</v>
      </c>
      <c r="K4415">
        <v>4</v>
      </c>
      <c r="L4415">
        <v>3</v>
      </c>
      <c r="M4415">
        <v>1</v>
      </c>
      <c r="N4415">
        <v>2</v>
      </c>
      <c r="P4415">
        <f>G4415*I4415/100</f>
        <v>581.32799999999997</v>
      </c>
      <c r="Q4415">
        <f t="shared" si="45"/>
        <v>58132.800000000003</v>
      </c>
      <c r="R4415">
        <f>K4415/J4415</f>
        <v>0.66666666666666663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Farida Ashraf</cp:lastModifiedBy>
  <dcterms:created xsi:type="dcterms:W3CDTF">2026-03-17T23:42:41Z</dcterms:created>
  <dcterms:modified xsi:type="dcterms:W3CDTF">2026-04-01T14:05:19Z</dcterms:modified>
</cp:coreProperties>
</file>